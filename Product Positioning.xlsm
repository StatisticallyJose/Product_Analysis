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defaultThemeVersion="166925"/>
  <mc:AlternateContent xmlns:mc="http://schemas.openxmlformats.org/markup-compatibility/2006">
    <mc:Choice Requires="x15">
      <x15ac:absPath xmlns:x15ac="http://schemas.microsoft.com/office/spreadsheetml/2010/11/ac" url="/Users/jose/Documents/Projects/"/>
    </mc:Choice>
  </mc:AlternateContent>
  <xr:revisionPtr revIDLastSave="0" documentId="13_ncr:1_{7262D029-760D-744A-A5F2-2AA9D9EEFD8E}" xr6:coauthVersionLast="47" xr6:coauthVersionMax="47" xr10:uidLastSave="{00000000-0000-0000-0000-000000000000}"/>
  <bookViews>
    <workbookView xWindow="0" yWindow="760" windowWidth="34200" windowHeight="21380" activeTab="7" xr2:uid="{00000000-000D-0000-FFFF-FFFF00000000}"/>
  </bookViews>
  <sheets>
    <sheet name="Statistics" sheetId="6" r:id="rId1"/>
    <sheet name="Product Positioning" sheetId="1" r:id="rId2"/>
    <sheet name="Additional Product Info." sheetId="3" r:id="rId3"/>
    <sheet name="Customer Information" sheetId="2" r:id="rId4"/>
    <sheet name="Pivot 1" sheetId="9" r:id="rId5"/>
    <sheet name="Pivot 2" sheetId="10" r:id="rId6"/>
    <sheet name="Pivot 3" sheetId="12" r:id="rId7"/>
    <sheet name="Summary" sheetId="13" r:id="rId8"/>
  </sheets>
  <definedNames>
    <definedName name="Slicer_Product_Position">#N/A</definedName>
    <definedName name="Slicer_Promotion">#N/A</definedName>
    <definedName name="Slicer_Seasonal">#N/A</definedName>
  </definedNames>
  <calcPr calcId="191029"/>
  <pivotCaches>
    <pivotCache cacheId="162" r:id="rId9"/>
    <pivotCache cacheId="17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29" i="1" l="1"/>
  <c r="H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2" i="1"/>
  <c r="L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2" i="1"/>
  <c r="E5" i="6" l="1"/>
  <c r="E4" i="6"/>
  <c r="E6" i="6"/>
  <c r="M498" i="1" s="1"/>
  <c r="M718" i="1" l="1"/>
  <c r="M520" i="1"/>
  <c r="M648" i="1"/>
  <c r="M776" i="1"/>
  <c r="M904" i="1"/>
  <c r="M521" i="1"/>
  <c r="M689" i="1"/>
  <c r="M897" i="1"/>
  <c r="M915" i="1"/>
  <c r="M596" i="1"/>
  <c r="M772" i="1"/>
  <c r="M940" i="1"/>
  <c r="M560" i="1"/>
  <c r="M688" i="1"/>
  <c r="M816" i="1"/>
  <c r="M944" i="1"/>
  <c r="M561" i="1"/>
  <c r="M705" i="1"/>
  <c r="M945" i="1"/>
  <c r="M210" i="1"/>
  <c r="M923" i="1"/>
  <c r="M612" i="1"/>
  <c r="M780" i="1"/>
  <c r="M948" i="1"/>
  <c r="M568" i="1"/>
  <c r="M696" i="1"/>
  <c r="M824" i="1"/>
  <c r="M952" i="1"/>
  <c r="M569" i="1"/>
  <c r="M713" i="1"/>
  <c r="M961" i="1"/>
  <c r="M749" i="1"/>
  <c r="M158" i="1"/>
  <c r="M527" i="1"/>
  <c r="M603" i="1"/>
  <c r="M508" i="1"/>
  <c r="M949" i="1"/>
  <c r="M287" i="1"/>
  <c r="M240" i="1"/>
  <c r="M393" i="1"/>
  <c r="M379" i="1"/>
  <c r="M512" i="1"/>
  <c r="M513" i="1"/>
  <c r="M765" i="1"/>
  <c r="M558" i="1"/>
  <c r="M647" i="1"/>
  <c r="M731" i="1"/>
  <c r="M285" i="1"/>
  <c r="M432" i="1"/>
  <c r="M964" i="1"/>
  <c r="M960" i="1"/>
  <c r="M577" i="1"/>
  <c r="M753" i="1"/>
  <c r="M479" i="1"/>
  <c r="M437" i="1"/>
  <c r="M395" i="1"/>
  <c r="M351" i="1"/>
  <c r="M315" i="1"/>
  <c r="M283" i="1"/>
  <c r="M251" i="1"/>
  <c r="M219" i="1"/>
  <c r="M187" i="1"/>
  <c r="M155" i="1"/>
  <c r="M123" i="1"/>
  <c r="M91" i="1"/>
  <c r="M35" i="1"/>
  <c r="M14" i="1"/>
  <c r="M475" i="1"/>
  <c r="M431" i="1"/>
  <c r="M389" i="1"/>
  <c r="M347" i="1"/>
  <c r="M311" i="1"/>
  <c r="M279" i="1"/>
  <c r="M247" i="1"/>
  <c r="M215" i="1"/>
  <c r="M183" i="1"/>
  <c r="M151" i="1"/>
  <c r="M119" i="1"/>
  <c r="M87" i="1"/>
  <c r="M59" i="1"/>
  <c r="M31" i="1"/>
  <c r="M13" i="1"/>
  <c r="M774" i="1"/>
  <c r="M710" i="1"/>
  <c r="M646" i="1"/>
  <c r="M582" i="1"/>
  <c r="M518" i="1"/>
  <c r="M471" i="1"/>
  <c r="M429" i="1"/>
  <c r="M387" i="1"/>
  <c r="M343" i="1"/>
  <c r="M309" i="1"/>
  <c r="M277" i="1"/>
  <c r="M245" i="1"/>
  <c r="M213" i="1"/>
  <c r="M181" i="1"/>
  <c r="M149" i="1"/>
  <c r="M117" i="1"/>
  <c r="M85" i="1"/>
  <c r="M55" i="1"/>
  <c r="M30" i="1"/>
  <c r="M12" i="1"/>
  <c r="M580" i="1"/>
  <c r="M516" i="1"/>
  <c r="M469" i="1"/>
  <c r="M427" i="1"/>
  <c r="M383" i="1"/>
  <c r="M341" i="1"/>
  <c r="M307" i="1"/>
  <c r="M275" i="1"/>
  <c r="M243" i="1"/>
  <c r="M211" i="1"/>
  <c r="M179" i="1"/>
  <c r="M147" i="1"/>
  <c r="M115" i="1"/>
  <c r="M83" i="1"/>
  <c r="M53" i="1"/>
  <c r="M28" i="1"/>
  <c r="M564" i="1"/>
  <c r="M502" i="1"/>
  <c r="M459" i="1"/>
  <c r="M415" i="1"/>
  <c r="M373" i="1"/>
  <c r="M332" i="1"/>
  <c r="M299" i="1"/>
  <c r="M267" i="1"/>
  <c r="M235" i="1"/>
  <c r="M203" i="1"/>
  <c r="M171" i="1"/>
  <c r="M139" i="1"/>
  <c r="M107" i="1"/>
  <c r="M75" i="1"/>
  <c r="M46" i="1"/>
  <c r="M23" i="1"/>
  <c r="M5" i="1"/>
  <c r="M556" i="1"/>
  <c r="M453" i="1"/>
  <c r="M411" i="1"/>
  <c r="M367" i="1"/>
  <c r="M327" i="1"/>
  <c r="M295" i="1"/>
  <c r="M263" i="1"/>
  <c r="M231" i="1"/>
  <c r="M199" i="1"/>
  <c r="M167" i="1"/>
  <c r="M135" i="1"/>
  <c r="M103" i="1"/>
  <c r="M71" i="1"/>
  <c r="M45" i="1"/>
  <c r="M22" i="1"/>
  <c r="M4" i="1"/>
  <c r="M870" i="1"/>
  <c r="M806" i="1"/>
  <c r="M742" i="1"/>
  <c r="M678" i="1"/>
  <c r="M614" i="1"/>
  <c r="M550" i="1"/>
  <c r="M493" i="1"/>
  <c r="M451" i="1"/>
  <c r="M407" i="1"/>
  <c r="M365" i="1"/>
  <c r="M325" i="1"/>
  <c r="M293" i="1"/>
  <c r="M261" i="1"/>
  <c r="M229" i="1"/>
  <c r="M197" i="1"/>
  <c r="M165" i="1"/>
  <c r="M133" i="1"/>
  <c r="M101" i="1"/>
  <c r="M69" i="1"/>
  <c r="M44" i="1"/>
  <c r="M21" i="1"/>
  <c r="M3" i="1"/>
  <c r="M491" i="1"/>
  <c r="M447" i="1"/>
  <c r="M405" i="1"/>
  <c r="M363" i="1"/>
  <c r="M323" i="1"/>
  <c r="M291" i="1"/>
  <c r="M259" i="1"/>
  <c r="M227" i="1"/>
  <c r="M195" i="1"/>
  <c r="M163" i="1"/>
  <c r="M131" i="1"/>
  <c r="M99" i="1"/>
  <c r="M67" i="1"/>
  <c r="M39" i="1"/>
  <c r="M19" i="1"/>
  <c r="M2" i="1"/>
  <c r="M938" i="1"/>
  <c r="M874" i="1"/>
  <c r="M810" i="1"/>
  <c r="M746" i="1"/>
  <c r="M682" i="1"/>
  <c r="M618" i="1"/>
  <c r="M554" i="1"/>
  <c r="M1001" i="1"/>
  <c r="M937" i="1"/>
  <c r="M873" i="1"/>
  <c r="M809" i="1"/>
  <c r="M745" i="1"/>
  <c r="M681" i="1"/>
  <c r="M617" i="1"/>
  <c r="M553" i="1"/>
  <c r="M1000" i="1"/>
  <c r="M936" i="1"/>
  <c r="M872" i="1"/>
  <c r="M808" i="1"/>
  <c r="M744" i="1"/>
  <c r="M680" i="1"/>
  <c r="M616" i="1"/>
  <c r="M552" i="1"/>
  <c r="M934" i="1"/>
  <c r="M932" i="1"/>
  <c r="M844" i="1"/>
  <c r="M756" i="1"/>
  <c r="M676" i="1"/>
  <c r="M588" i="1"/>
  <c r="M971" i="1"/>
  <c r="M907" i="1"/>
  <c r="M843" i="1"/>
  <c r="M779" i="1"/>
  <c r="M43" i="1"/>
  <c r="M450" i="1"/>
  <c r="M386" i="1"/>
  <c r="M322" i="1"/>
  <c r="M258" i="1"/>
  <c r="M194" i="1"/>
  <c r="M130" i="1"/>
  <c r="M66" i="1"/>
  <c r="M497" i="1"/>
  <c r="M433" i="1"/>
  <c r="M369" i="1"/>
  <c r="M305" i="1"/>
  <c r="M241" i="1"/>
  <c r="M177" i="1"/>
  <c r="M113" i="1"/>
  <c r="M49" i="1"/>
  <c r="M472" i="1"/>
  <c r="M408" i="1"/>
  <c r="M344" i="1"/>
  <c r="M280" i="1"/>
  <c r="M216" i="1"/>
  <c r="M152" i="1"/>
  <c r="M88" i="1"/>
  <c r="M24" i="1"/>
  <c r="M959" i="1"/>
  <c r="M895" i="1"/>
  <c r="M831" i="1"/>
  <c r="M439" i="1"/>
  <c r="M239" i="1"/>
  <c r="M111" i="1"/>
  <c r="M990" i="1"/>
  <c r="M910" i="1"/>
  <c r="M822" i="1"/>
  <c r="M662" i="1"/>
  <c r="M374" i="1"/>
  <c r="M989" i="1"/>
  <c r="M925" i="1"/>
  <c r="M861" i="1"/>
  <c r="M797" i="1"/>
  <c r="M677" i="1"/>
  <c r="M549" i="1"/>
  <c r="M357" i="1"/>
  <c r="M221" i="1"/>
  <c r="M93" i="1"/>
  <c r="M924" i="1"/>
  <c r="M668" i="1"/>
  <c r="M484" i="1"/>
  <c r="M420" i="1"/>
  <c r="M356" i="1"/>
  <c r="M284" i="1"/>
  <c r="M220" i="1"/>
  <c r="M156" i="1"/>
  <c r="M92" i="1"/>
  <c r="M763" i="1"/>
  <c r="M699" i="1"/>
  <c r="M635" i="1"/>
  <c r="M571" i="1"/>
  <c r="M499" i="1"/>
  <c r="M767" i="1"/>
  <c r="M703" i="1"/>
  <c r="M639" i="1"/>
  <c r="M575" i="1"/>
  <c r="M511" i="1"/>
  <c r="M335" i="1"/>
  <c r="M654" i="1"/>
  <c r="M526" i="1"/>
  <c r="M430" i="1"/>
  <c r="M350" i="1"/>
  <c r="M270" i="1"/>
  <c r="M206" i="1"/>
  <c r="M142" i="1"/>
  <c r="M78" i="1"/>
  <c r="M685" i="1"/>
  <c r="M557" i="1"/>
  <c r="M349" i="1"/>
  <c r="M467" i="1"/>
  <c r="M695" i="1"/>
  <c r="M567" i="1"/>
  <c r="M503" i="1"/>
  <c r="M766" i="1"/>
  <c r="M510" i="1"/>
  <c r="M422" i="1"/>
  <c r="M326" i="1"/>
  <c r="M198" i="1"/>
  <c r="M134" i="1"/>
  <c r="M669" i="1"/>
  <c r="M541" i="1"/>
  <c r="M994" i="1"/>
  <c r="M930" i="1"/>
  <c r="M866" i="1"/>
  <c r="M802" i="1"/>
  <c r="M738" i="1"/>
  <c r="M674" i="1"/>
  <c r="M610" i="1"/>
  <c r="M546" i="1"/>
  <c r="M993" i="1"/>
  <c r="M929" i="1"/>
  <c r="M865" i="1"/>
  <c r="M801" i="1"/>
  <c r="M737" i="1"/>
  <c r="M673" i="1"/>
  <c r="M609" i="1"/>
  <c r="M545" i="1"/>
  <c r="M992" i="1"/>
  <c r="M928" i="1"/>
  <c r="M864" i="1"/>
  <c r="M800" i="1"/>
  <c r="M736" i="1"/>
  <c r="M672" i="1"/>
  <c r="M608" i="1"/>
  <c r="M544" i="1"/>
  <c r="M902" i="1"/>
  <c r="M916" i="1"/>
  <c r="M836" i="1"/>
  <c r="M748" i="1"/>
  <c r="M660" i="1"/>
  <c r="M548" i="1"/>
  <c r="M963" i="1"/>
  <c r="M899" i="1"/>
  <c r="M835" i="1"/>
  <c r="M507" i="1"/>
  <c r="M27" i="1"/>
  <c r="M442" i="1"/>
  <c r="M378" i="1"/>
  <c r="M314" i="1"/>
  <c r="M250" i="1"/>
  <c r="M186" i="1"/>
  <c r="M122" i="1"/>
  <c r="M58" i="1"/>
  <c r="M489" i="1"/>
  <c r="M425" i="1"/>
  <c r="M361" i="1"/>
  <c r="M297" i="1"/>
  <c r="M233" i="1"/>
  <c r="M169" i="1"/>
  <c r="M105" i="1"/>
  <c r="M41" i="1"/>
  <c r="M464" i="1"/>
  <c r="M400" i="1"/>
  <c r="M336" i="1"/>
  <c r="M272" i="1"/>
  <c r="M208" i="1"/>
  <c r="M144" i="1"/>
  <c r="M80" i="1"/>
  <c r="M16" i="1"/>
  <c r="M951" i="1"/>
  <c r="M887" i="1"/>
  <c r="M823" i="1"/>
  <c r="M399" i="1"/>
  <c r="M223" i="1"/>
  <c r="M95" i="1"/>
  <c r="M982" i="1"/>
  <c r="M894" i="1"/>
  <c r="M814" i="1"/>
  <c r="M630" i="1"/>
  <c r="M342" i="1"/>
  <c r="M981" i="1"/>
  <c r="M917" i="1"/>
  <c r="M853" i="1"/>
  <c r="M789" i="1"/>
  <c r="M661" i="1"/>
  <c r="M533" i="1"/>
  <c r="M333" i="1"/>
  <c r="M205" i="1"/>
  <c r="M77" i="1"/>
  <c r="M892" i="1"/>
  <c r="M636" i="1"/>
  <c r="M476" i="1"/>
  <c r="M412" i="1"/>
  <c r="M348" i="1"/>
  <c r="M276" i="1"/>
  <c r="M212" i="1"/>
  <c r="M148" i="1"/>
  <c r="M84" i="1"/>
  <c r="M755" i="1"/>
  <c r="M691" i="1"/>
  <c r="M627" i="1"/>
  <c r="M563" i="1"/>
  <c r="M759" i="1"/>
  <c r="M631" i="1"/>
  <c r="M638" i="1"/>
  <c r="M262" i="1"/>
  <c r="M70" i="1"/>
  <c r="M126" i="1"/>
  <c r="M653" i="1"/>
  <c r="M986" i="1"/>
  <c r="M922" i="1"/>
  <c r="M858" i="1"/>
  <c r="M794" i="1"/>
  <c r="M730" i="1"/>
  <c r="M666" i="1"/>
  <c r="M602" i="1"/>
  <c r="M538" i="1"/>
  <c r="M985" i="1"/>
  <c r="M921" i="1"/>
  <c r="M857" i="1"/>
  <c r="M793" i="1"/>
  <c r="M729" i="1"/>
  <c r="M665" i="1"/>
  <c r="M601" i="1"/>
  <c r="M537" i="1"/>
  <c r="M984" i="1"/>
  <c r="M920" i="1"/>
  <c r="M856" i="1"/>
  <c r="M792" i="1"/>
  <c r="M728" i="1"/>
  <c r="M664" i="1"/>
  <c r="M600" i="1"/>
  <c r="M536" i="1"/>
  <c r="M838" i="1"/>
  <c r="M908" i="1"/>
  <c r="M820" i="1"/>
  <c r="M740" i="1"/>
  <c r="M652" i="1"/>
  <c r="M532" i="1"/>
  <c r="M955" i="1"/>
  <c r="M891" i="1"/>
  <c r="M827" i="1"/>
  <c r="M483" i="1"/>
  <c r="M11" i="1"/>
  <c r="M434" i="1"/>
  <c r="M370" i="1"/>
  <c r="M306" i="1"/>
  <c r="M242" i="1"/>
  <c r="M178" i="1"/>
  <c r="M114" i="1"/>
  <c r="M50" i="1"/>
  <c r="M481" i="1"/>
  <c r="M417" i="1"/>
  <c r="M353" i="1"/>
  <c r="M289" i="1"/>
  <c r="M225" i="1"/>
  <c r="M161" i="1"/>
  <c r="M97" i="1"/>
  <c r="M33" i="1"/>
  <c r="M456" i="1"/>
  <c r="M392" i="1"/>
  <c r="M328" i="1"/>
  <c r="M264" i="1"/>
  <c r="M200" i="1"/>
  <c r="M136" i="1"/>
  <c r="M72" i="1"/>
  <c r="M8" i="1"/>
  <c r="M943" i="1"/>
  <c r="M879" i="1"/>
  <c r="M815" i="1"/>
  <c r="M375" i="1"/>
  <c r="M207" i="1"/>
  <c r="M79" i="1"/>
  <c r="M974" i="1"/>
  <c r="M886" i="1"/>
  <c r="M798" i="1"/>
  <c r="M598" i="1"/>
  <c r="M334" i="1"/>
  <c r="M973" i="1"/>
  <c r="M909" i="1"/>
  <c r="M845" i="1"/>
  <c r="M773" i="1"/>
  <c r="M645" i="1"/>
  <c r="M517" i="1"/>
  <c r="M317" i="1"/>
  <c r="M189" i="1"/>
  <c r="M61" i="1"/>
  <c r="M860" i="1"/>
  <c r="M604" i="1"/>
  <c r="M468" i="1"/>
  <c r="M404" i="1"/>
  <c r="M340" i="1"/>
  <c r="M268" i="1"/>
  <c r="M204" i="1"/>
  <c r="M140" i="1"/>
  <c r="M76" i="1"/>
  <c r="M747" i="1"/>
  <c r="M683" i="1"/>
  <c r="M619" i="1"/>
  <c r="M555" i="1"/>
  <c r="M435" i="1"/>
  <c r="M751" i="1"/>
  <c r="M687" i="1"/>
  <c r="M623" i="1"/>
  <c r="M559" i="1"/>
  <c r="M495" i="1"/>
  <c r="M750" i="1"/>
  <c r="M622" i="1"/>
  <c r="M494" i="1"/>
  <c r="M414" i="1"/>
  <c r="M318" i="1"/>
  <c r="M254" i="1"/>
  <c r="M190" i="1"/>
  <c r="M781" i="1"/>
  <c r="M525" i="1"/>
  <c r="M530" i="1"/>
  <c r="M977" i="1"/>
  <c r="M913" i="1"/>
  <c r="M849" i="1"/>
  <c r="M785" i="1"/>
  <c r="M721" i="1"/>
  <c r="M657" i="1"/>
  <c r="M593" i="1"/>
  <c r="M529" i="1"/>
  <c r="M976" i="1"/>
  <c r="M912" i="1"/>
  <c r="M848" i="1"/>
  <c r="M784" i="1"/>
  <c r="M720" i="1"/>
  <c r="M656" i="1"/>
  <c r="M592" i="1"/>
  <c r="M528" i="1"/>
  <c r="M980" i="1"/>
  <c r="M900" i="1"/>
  <c r="M812" i="1"/>
  <c r="M724" i="1"/>
  <c r="M524" i="1"/>
  <c r="M947" i="1"/>
  <c r="M883" i="1"/>
  <c r="M819" i="1"/>
  <c r="M443" i="1"/>
  <c r="M490" i="1"/>
  <c r="M426" i="1"/>
  <c r="M362" i="1"/>
  <c r="M298" i="1"/>
  <c r="M170" i="1"/>
  <c r="M106" i="1"/>
  <c r="M42" i="1"/>
  <c r="M473" i="1"/>
  <c r="M409" i="1"/>
  <c r="M345" i="1"/>
  <c r="M217" i="1"/>
  <c r="M153" i="1"/>
  <c r="M89" i="1"/>
  <c r="M448" i="1"/>
  <c r="M384" i="1"/>
  <c r="M320" i="1"/>
  <c r="M192" i="1"/>
  <c r="M128" i="1"/>
  <c r="M999" i="1"/>
  <c r="M935" i="1"/>
  <c r="M807" i="1"/>
  <c r="M319" i="1"/>
  <c r="M63" i="1"/>
  <c r="M958" i="1"/>
  <c r="M790" i="1"/>
  <c r="M566" i="1"/>
  <c r="M965" i="1"/>
  <c r="M901" i="1"/>
  <c r="M837" i="1"/>
  <c r="M629" i="1"/>
  <c r="M509" i="1"/>
  <c r="M173" i="1"/>
  <c r="M37" i="1"/>
  <c r="M572" i="1"/>
  <c r="M396" i="1"/>
  <c r="M260" i="1"/>
  <c r="M68" i="1"/>
  <c r="M739" i="1"/>
  <c r="M978" i="1"/>
  <c r="M914" i="1"/>
  <c r="M850" i="1"/>
  <c r="M786" i="1"/>
  <c r="M722" i="1"/>
  <c r="M658" i="1"/>
  <c r="M594" i="1"/>
  <c r="M644" i="1"/>
  <c r="M234" i="1"/>
  <c r="M281" i="1"/>
  <c r="M25" i="1"/>
  <c r="M256" i="1"/>
  <c r="M64" i="1"/>
  <c r="M871" i="1"/>
  <c r="M191" i="1"/>
  <c r="M878" i="1"/>
  <c r="M62" i="1"/>
  <c r="M757" i="1"/>
  <c r="M301" i="1"/>
  <c r="M828" i="1"/>
  <c r="M460" i="1"/>
  <c r="M324" i="1"/>
  <c r="M196" i="1"/>
  <c r="M132" i="1"/>
  <c r="M675" i="1"/>
  <c r="M970" i="1"/>
  <c r="M906" i="1"/>
  <c r="M842" i="1"/>
  <c r="M778" i="1"/>
  <c r="M714" i="1"/>
  <c r="M650" i="1"/>
  <c r="M586" i="1"/>
  <c r="M522" i="1"/>
  <c r="M969" i="1"/>
  <c r="M905" i="1"/>
  <c r="M841" i="1"/>
  <c r="M777" i="1"/>
  <c r="M962" i="1"/>
  <c r="M898" i="1"/>
  <c r="M834" i="1"/>
  <c r="M770" i="1"/>
  <c r="M706" i="1"/>
  <c r="M954" i="1"/>
  <c r="M890" i="1"/>
  <c r="M826" i="1"/>
  <c r="M762" i="1"/>
  <c r="M698" i="1"/>
  <c r="M634" i="1"/>
  <c r="M570" i="1"/>
  <c r="M506" i="1"/>
  <c r="M953" i="1"/>
  <c r="M889" i="1"/>
  <c r="M825" i="1"/>
  <c r="M761" i="1"/>
  <c r="M697" i="1"/>
  <c r="M633" i="1"/>
  <c r="M946" i="1"/>
  <c r="M882" i="1"/>
  <c r="M818" i="1"/>
  <c r="M754" i="1"/>
  <c r="M690" i="1"/>
  <c r="M626" i="1"/>
  <c r="M562" i="1"/>
  <c r="M542" i="1"/>
  <c r="M727" i="1"/>
  <c r="M116" i="1"/>
  <c r="M597" i="1"/>
  <c r="M854" i="1"/>
  <c r="M983" i="1"/>
  <c r="M496" i="1"/>
  <c r="M26" i="1"/>
  <c r="M410" i="1"/>
  <c r="M708" i="1"/>
  <c r="M881" i="1"/>
  <c r="M278" i="1"/>
  <c r="M734" i="1"/>
  <c r="M523" i="1"/>
  <c r="M124" i="1"/>
  <c r="M613" i="1"/>
  <c r="M534" i="1"/>
  <c r="M303" i="1"/>
  <c r="M120" i="1"/>
  <c r="M145" i="1"/>
  <c r="M290" i="1"/>
  <c r="M875" i="1"/>
  <c r="M884" i="1"/>
  <c r="M86" i="1"/>
  <c r="M286" i="1"/>
  <c r="M359" i="1"/>
  <c r="M743" i="1"/>
  <c r="M771" i="1"/>
  <c r="M428" i="1"/>
  <c r="M693" i="1"/>
  <c r="M918" i="1"/>
  <c r="M903" i="1"/>
  <c r="M288" i="1"/>
  <c r="M185" i="1"/>
  <c r="M441" i="1"/>
  <c r="M330" i="1"/>
  <c r="M621" i="1"/>
  <c r="M294" i="1"/>
  <c r="M391" i="1"/>
  <c r="M775" i="1"/>
  <c r="M20" i="1"/>
  <c r="M436" i="1"/>
  <c r="M125" i="1"/>
  <c r="M877" i="1"/>
  <c r="M926" i="1"/>
  <c r="M911" i="1"/>
  <c r="M296" i="1"/>
  <c r="M193" i="1"/>
  <c r="M82" i="1"/>
  <c r="M795" i="1"/>
  <c r="M214" i="1"/>
  <c r="M606" i="1"/>
  <c r="M583" i="1"/>
  <c r="M547" i="1"/>
  <c r="M180" i="1"/>
  <c r="M141" i="1"/>
  <c r="M885" i="1"/>
  <c r="M942" i="1"/>
  <c r="M919" i="1"/>
  <c r="M304" i="1"/>
  <c r="M329" i="1"/>
  <c r="M218" i="1"/>
  <c r="M474" i="1"/>
  <c r="M620" i="1"/>
  <c r="M704" i="1"/>
  <c r="M445" i="1"/>
  <c r="M701" i="1"/>
  <c r="M110" i="1"/>
  <c r="M222" i="1"/>
  <c r="M310" i="1"/>
  <c r="M462" i="1"/>
  <c r="M670" i="1"/>
  <c r="M455" i="1"/>
  <c r="M591" i="1"/>
  <c r="M679" i="1"/>
  <c r="M339" i="1"/>
  <c r="M579" i="1"/>
  <c r="M667" i="1"/>
  <c r="M52" i="1"/>
  <c r="M188" i="1"/>
  <c r="M316" i="1"/>
  <c r="M452" i="1"/>
  <c r="M796" i="1"/>
  <c r="M157" i="1"/>
  <c r="M485" i="1"/>
  <c r="M741" i="1"/>
  <c r="M893" i="1"/>
  <c r="M54" i="1"/>
  <c r="M782" i="1"/>
  <c r="M950" i="1"/>
  <c r="M175" i="1"/>
  <c r="M799" i="1"/>
  <c r="M927" i="1"/>
  <c r="M56" i="1"/>
  <c r="M184" i="1"/>
  <c r="M312" i="1"/>
  <c r="M440" i="1"/>
  <c r="M81" i="1"/>
  <c r="M209" i="1"/>
  <c r="M337" i="1"/>
  <c r="M465" i="1"/>
  <c r="M98" i="1"/>
  <c r="M226" i="1"/>
  <c r="M354" i="1"/>
  <c r="M482" i="1"/>
  <c r="M811" i="1"/>
  <c r="M939" i="1"/>
  <c r="M628" i="1"/>
  <c r="M804" i="1"/>
  <c r="M972" i="1"/>
  <c r="M584" i="1"/>
  <c r="M712" i="1"/>
  <c r="M840" i="1"/>
  <c r="M968" i="1"/>
  <c r="M585" i="1"/>
  <c r="M769" i="1"/>
  <c r="M514" i="1"/>
  <c r="M382" i="1"/>
  <c r="M515" i="1"/>
  <c r="M244" i="1"/>
  <c r="M996" i="1"/>
  <c r="M821" i="1"/>
  <c r="M15" i="1"/>
  <c r="M112" i="1"/>
  <c r="M265" i="1"/>
  <c r="M282" i="1"/>
  <c r="M995" i="1"/>
  <c r="M876" i="1"/>
  <c r="M768" i="1"/>
  <c r="M896" i="1"/>
  <c r="M589" i="1"/>
  <c r="M390" i="1"/>
  <c r="M735" i="1"/>
  <c r="M252" i="1"/>
  <c r="M540" i="1"/>
  <c r="M829" i="1"/>
  <c r="M862" i="1"/>
  <c r="M991" i="1"/>
  <c r="M376" i="1"/>
  <c r="M273" i="1"/>
  <c r="M34" i="1"/>
  <c r="M418" i="1"/>
  <c r="M60" i="1"/>
  <c r="M605" i="1"/>
  <c r="M398" i="1"/>
  <c r="M543" i="1"/>
  <c r="M531" i="1"/>
  <c r="M164" i="1"/>
  <c r="M700" i="1"/>
  <c r="M397" i="1"/>
  <c r="M997" i="1"/>
  <c r="M127" i="1"/>
  <c r="M32" i="1"/>
  <c r="M57" i="1"/>
  <c r="M74" i="1"/>
  <c r="M458" i="1"/>
  <c r="M381" i="1"/>
  <c r="M182" i="1"/>
  <c r="M590" i="1"/>
  <c r="M663" i="1"/>
  <c r="M651" i="1"/>
  <c r="M300" i="1"/>
  <c r="M421" i="1"/>
  <c r="M6" i="1"/>
  <c r="M143" i="1"/>
  <c r="M40" i="1"/>
  <c r="M424" i="1"/>
  <c r="M321" i="1"/>
  <c r="M466" i="1"/>
  <c r="M637" i="1"/>
  <c r="M302" i="1"/>
  <c r="M423" i="1"/>
  <c r="M331" i="1"/>
  <c r="M36" i="1"/>
  <c r="M444" i="1"/>
  <c r="M461" i="1"/>
  <c r="M38" i="1"/>
  <c r="M159" i="1"/>
  <c r="M176" i="1"/>
  <c r="M201" i="1"/>
  <c r="M90" i="1"/>
  <c r="M346" i="1"/>
  <c r="M931" i="1"/>
  <c r="M788" i="1"/>
  <c r="M576" i="1"/>
  <c r="M477" i="1"/>
  <c r="M118" i="1"/>
  <c r="M358" i="1"/>
  <c r="M686" i="1"/>
  <c r="M487" i="1"/>
  <c r="M599" i="1"/>
  <c r="M711" i="1"/>
  <c r="M371" i="1"/>
  <c r="M587" i="1"/>
  <c r="M707" i="1"/>
  <c r="M100" i="1"/>
  <c r="M228" i="1"/>
  <c r="M364" i="1"/>
  <c r="M492" i="1"/>
  <c r="M956" i="1"/>
  <c r="M237" i="1"/>
  <c r="M565" i="1"/>
  <c r="M805" i="1"/>
  <c r="M933" i="1"/>
  <c r="M406" i="1"/>
  <c r="M830" i="1"/>
  <c r="M998" i="1"/>
  <c r="M255" i="1"/>
  <c r="M839" i="1"/>
  <c r="M967" i="1"/>
  <c r="M96" i="1"/>
  <c r="M224" i="1"/>
  <c r="M352" i="1"/>
  <c r="M480" i="1"/>
  <c r="M121" i="1"/>
  <c r="M249" i="1"/>
  <c r="M377" i="1"/>
  <c r="M10" i="1"/>
  <c r="M138" i="1"/>
  <c r="M266" i="1"/>
  <c r="M394" i="1"/>
  <c r="M51" i="1"/>
  <c r="M851" i="1"/>
  <c r="M979" i="1"/>
  <c r="M684" i="1"/>
  <c r="M852" i="1"/>
  <c r="M966" i="1"/>
  <c r="M624" i="1"/>
  <c r="M752" i="1"/>
  <c r="M880" i="1"/>
  <c r="M9" i="1"/>
  <c r="M625" i="1"/>
  <c r="M817" i="1"/>
  <c r="M578" i="1"/>
  <c r="M573" i="1"/>
  <c r="M246" i="1"/>
  <c r="M615" i="1"/>
  <c r="M723" i="1"/>
  <c r="M380" i="1"/>
  <c r="M269" i="1"/>
  <c r="M470" i="1"/>
  <c r="M855" i="1"/>
  <c r="M368" i="1"/>
  <c r="M137" i="1"/>
  <c r="M154" i="1"/>
  <c r="M867" i="1"/>
  <c r="M640" i="1"/>
  <c r="M649" i="1"/>
  <c r="M166" i="1"/>
  <c r="M535" i="1"/>
  <c r="M611" i="1"/>
  <c r="M388" i="1"/>
  <c r="M29" i="1"/>
  <c r="M957" i="1"/>
  <c r="M47" i="1"/>
  <c r="M863" i="1"/>
  <c r="M248" i="1"/>
  <c r="M17" i="1"/>
  <c r="M401" i="1"/>
  <c r="M162" i="1"/>
  <c r="M419" i="1"/>
  <c r="M716" i="1"/>
  <c r="M174" i="1"/>
  <c r="M574" i="1"/>
  <c r="M655" i="1"/>
  <c r="M643" i="1"/>
  <c r="M292" i="1"/>
  <c r="M109" i="1"/>
  <c r="M869" i="1"/>
  <c r="M694" i="1"/>
  <c r="M463" i="1"/>
  <c r="M160" i="1"/>
  <c r="M416" i="1"/>
  <c r="M313" i="1"/>
  <c r="M202" i="1"/>
  <c r="M787" i="1"/>
  <c r="M94" i="1"/>
  <c r="M446" i="1"/>
  <c r="M551" i="1"/>
  <c r="M539" i="1"/>
  <c r="M172" i="1"/>
  <c r="M732" i="1"/>
  <c r="M709" i="1"/>
  <c r="M726" i="1"/>
  <c r="M783" i="1"/>
  <c r="M168" i="1"/>
  <c r="M65" i="1"/>
  <c r="M449" i="1"/>
  <c r="M338" i="1"/>
  <c r="M413" i="1"/>
  <c r="M102" i="1"/>
  <c r="M454" i="1"/>
  <c r="M671" i="1"/>
  <c r="M659" i="1"/>
  <c r="M308" i="1"/>
  <c r="M764" i="1"/>
  <c r="M725" i="1"/>
  <c r="M758" i="1"/>
  <c r="M791" i="1"/>
  <c r="M48" i="1"/>
  <c r="M73" i="1"/>
  <c r="M457" i="1"/>
  <c r="M803" i="1"/>
  <c r="M832" i="1"/>
  <c r="M717" i="1"/>
  <c r="M230" i="1"/>
  <c r="M478" i="1"/>
  <c r="M501" i="1"/>
  <c r="M733" i="1"/>
  <c r="M150" i="1"/>
  <c r="M238" i="1"/>
  <c r="M366" i="1"/>
  <c r="M486" i="1"/>
  <c r="M702" i="1"/>
  <c r="M519" i="1"/>
  <c r="M607" i="1"/>
  <c r="M719" i="1"/>
  <c r="M403" i="1"/>
  <c r="M595" i="1"/>
  <c r="M715" i="1"/>
  <c r="M108" i="1"/>
  <c r="M236" i="1"/>
  <c r="M372" i="1"/>
  <c r="M500" i="1"/>
  <c r="M988" i="1"/>
  <c r="M253" i="1"/>
  <c r="M581" i="1"/>
  <c r="M813" i="1"/>
  <c r="M941" i="1"/>
  <c r="M438" i="1"/>
  <c r="M846" i="1"/>
  <c r="M7" i="1"/>
  <c r="M271" i="1"/>
  <c r="M847" i="1"/>
  <c r="M975" i="1"/>
  <c r="M104" i="1"/>
  <c r="M232" i="1"/>
  <c r="M360" i="1"/>
  <c r="M488" i="1"/>
  <c r="M129" i="1"/>
  <c r="M257" i="1"/>
  <c r="M385" i="1"/>
  <c r="M18" i="1"/>
  <c r="M146" i="1"/>
  <c r="M274" i="1"/>
  <c r="M402" i="1"/>
  <c r="M355" i="1"/>
  <c r="M859" i="1"/>
  <c r="M987" i="1"/>
  <c r="M692" i="1"/>
  <c r="M868" i="1"/>
  <c r="M504" i="1"/>
  <c r="M632" i="1"/>
  <c r="M760" i="1"/>
  <c r="M888" i="1"/>
  <c r="M505" i="1"/>
  <c r="M641" i="1"/>
  <c r="M833" i="1"/>
  <c r="M642" i="1"/>
</calcChain>
</file>

<file path=xl/sharedStrings.xml><?xml version="1.0" encoding="utf-8"?>
<sst xmlns="http://schemas.openxmlformats.org/spreadsheetml/2006/main" count="6075" uniqueCount="54">
  <si>
    <t>Product ID</t>
  </si>
  <si>
    <t>Product Position</t>
  </si>
  <si>
    <t>Price</t>
  </si>
  <si>
    <t>Competitor's Price</t>
  </si>
  <si>
    <t>Promotion</t>
  </si>
  <si>
    <t>Foot Traffic</t>
  </si>
  <si>
    <t>Consumer Demographics</t>
  </si>
  <si>
    <t>Product Category</t>
  </si>
  <si>
    <t>Seasonal</t>
  </si>
  <si>
    <t>Sales Volume</t>
  </si>
  <si>
    <t>Aisle</t>
  </si>
  <si>
    <t>No</t>
  </si>
  <si>
    <t>Medium</t>
  </si>
  <si>
    <t>Families</t>
  </si>
  <si>
    <t>Clothing</t>
  </si>
  <si>
    <t>Low</t>
  </si>
  <si>
    <t>Seniors</t>
  </si>
  <si>
    <t>End-cap</t>
  </si>
  <si>
    <t>Yes</t>
  </si>
  <si>
    <t>Young adults</t>
  </si>
  <si>
    <t>Electronics</t>
  </si>
  <si>
    <t>College students</t>
  </si>
  <si>
    <t>Front of Store</t>
  </si>
  <si>
    <t>High</t>
  </si>
  <si>
    <t>Food</t>
  </si>
  <si>
    <t>Customer Demographics</t>
  </si>
  <si>
    <t>Revenue</t>
  </si>
  <si>
    <t>Price Difference</t>
  </si>
  <si>
    <t>Mean</t>
  </si>
  <si>
    <t>Standard Error</t>
  </si>
  <si>
    <t>Median</t>
  </si>
  <si>
    <t>Mode</t>
  </si>
  <si>
    <t>Standard Deviation</t>
  </si>
  <si>
    <t>Sample Variance</t>
  </si>
  <si>
    <t>Kurtosis</t>
  </si>
  <si>
    <t>Skewness</t>
  </si>
  <si>
    <t>Range</t>
  </si>
  <si>
    <t>Minimum</t>
  </si>
  <si>
    <t>Maximum</t>
  </si>
  <si>
    <t>Sum</t>
  </si>
  <si>
    <t>Count</t>
  </si>
  <si>
    <t>Confidence Level(95.0%)</t>
  </si>
  <si>
    <t>1st Quartile</t>
  </si>
  <si>
    <t>2nd Quartile</t>
  </si>
  <si>
    <t>3rd Quartile</t>
  </si>
  <si>
    <t>Variation of Pricing</t>
  </si>
  <si>
    <t>Sum of Revenue</t>
  </si>
  <si>
    <t>Grand Total</t>
  </si>
  <si>
    <t>Average 'Sales Volume' by 'Product Category'</t>
  </si>
  <si>
    <t>Average of Revenue</t>
  </si>
  <si>
    <t>Low Difference</t>
  </si>
  <si>
    <t>High Difference</t>
  </si>
  <si>
    <t>Moderate Difference</t>
  </si>
  <si>
    <t>Total 'Revenue' by 'Product Category' and 'Product 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</si>
</sst>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1"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i/>
      <sz val="12"/>
      <color theme="1"/>
      <name val="Calibri"/>
      <family val="2"/>
      <scheme val="minor"/>
    </font>
    <font>
      <b/>
      <i/>
      <sz val="11"/>
      <color rgb="FF000000"/>
      <name val="Calibri"/>
      <family val="2"/>
      <scheme val="minor"/>
    </font>
    <font>
      <sz val="12"/>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64" fontId="0" fillId="0" borderId="0" xfId="0" applyNumberFormat="1"/>
    <xf numFmtId="0" fontId="0" fillId="0" borderId="10" xfId="0" applyBorder="1"/>
    <xf numFmtId="0" fontId="18" fillId="0" borderId="11" xfId="0" applyFont="1" applyBorder="1" applyAlignment="1">
      <alignment horizontal="centerContinuous"/>
    </xf>
    <xf numFmtId="0" fontId="0" fillId="0" borderId="0" xfId="0" pivotButton="1"/>
    <xf numFmtId="0" fontId="19" fillId="0" borderId="0" xfId="0" applyFont="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1!PivotTable1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2"/>
          </a:solidFill>
          <a:ln>
            <a:noFill/>
          </a:ln>
          <a:effectLst/>
        </c:spPr>
      </c:pivotFmt>
      <c:pivotFmt>
        <c:idx val="14"/>
        <c:spPr>
          <a:solidFill>
            <a:schemeClr val="accent3"/>
          </a:solidFill>
          <a:ln>
            <a:noFill/>
          </a:ln>
          <a:effectLst/>
        </c:spPr>
      </c:pivotFmt>
      <c:pivotFmt>
        <c:idx val="15"/>
        <c:spPr>
          <a:solidFill>
            <a:schemeClr val="accent4"/>
          </a:solidFill>
          <a:ln>
            <a:noFill/>
          </a:ln>
          <a:effectLst/>
        </c:spPr>
      </c:pivotFmt>
    </c:pivotFmts>
    <c:plotArea>
      <c:layout/>
      <c:barChart>
        <c:barDir val="bar"/>
        <c:grouping val="clustered"/>
        <c:varyColors val="0"/>
        <c:ser>
          <c:idx val="0"/>
          <c:order val="0"/>
          <c:tx>
            <c:strRef>
              <c:f>'Pivot 1'!$B$2:$B$3</c:f>
              <c:strCache>
                <c:ptCount val="1"/>
                <c:pt idx="0">
                  <c:v>College students</c:v>
                </c:pt>
              </c:strCache>
            </c:strRef>
          </c:tx>
          <c:spPr>
            <a:solidFill>
              <a:schemeClr val="accent1"/>
            </a:solidFill>
            <a:ln>
              <a:noFill/>
            </a:ln>
            <a:effectLst/>
          </c:spPr>
          <c:invertIfNegative val="0"/>
          <c:cat>
            <c:strRef>
              <c:f>'Pivot 1'!$A$4:$A$7</c:f>
              <c:strCache>
                <c:ptCount val="3"/>
                <c:pt idx="0">
                  <c:v>High</c:v>
                </c:pt>
                <c:pt idx="1">
                  <c:v>Medium</c:v>
                </c:pt>
                <c:pt idx="2">
                  <c:v>Low</c:v>
                </c:pt>
              </c:strCache>
            </c:strRef>
          </c:cat>
          <c:val>
            <c:numRef>
              <c:f>'Pivot 1'!$B$4:$B$7</c:f>
              <c:numCache>
                <c:formatCode>"$"#,##0.00</c:formatCode>
                <c:ptCount val="3"/>
                <c:pt idx="0">
                  <c:v>74387.53</c:v>
                </c:pt>
                <c:pt idx="1">
                  <c:v>369684.17000000004</c:v>
                </c:pt>
                <c:pt idx="2">
                  <c:v>235726.94999999998</c:v>
                </c:pt>
              </c:numCache>
            </c:numRef>
          </c:val>
          <c:extLst>
            <c:ext xmlns:c16="http://schemas.microsoft.com/office/drawing/2014/chart" uri="{C3380CC4-5D6E-409C-BE32-E72D297353CC}">
              <c16:uniqueId val="{00000000-CFCC-F742-84F1-E9FBD272D665}"/>
            </c:ext>
          </c:extLst>
        </c:ser>
        <c:ser>
          <c:idx val="1"/>
          <c:order val="1"/>
          <c:tx>
            <c:strRef>
              <c:f>'Pivot 1'!$C$2:$C$3</c:f>
              <c:strCache>
                <c:ptCount val="1"/>
                <c:pt idx="0">
                  <c:v>Families</c:v>
                </c:pt>
              </c:strCache>
            </c:strRef>
          </c:tx>
          <c:spPr>
            <a:solidFill>
              <a:schemeClr val="accent2"/>
            </a:solidFill>
            <a:ln>
              <a:noFill/>
            </a:ln>
            <a:effectLst/>
          </c:spPr>
          <c:invertIfNegative val="0"/>
          <c:cat>
            <c:strRef>
              <c:f>'Pivot 1'!$A$4:$A$7</c:f>
              <c:strCache>
                <c:ptCount val="3"/>
                <c:pt idx="0">
                  <c:v>High</c:v>
                </c:pt>
                <c:pt idx="1">
                  <c:v>Medium</c:v>
                </c:pt>
                <c:pt idx="2">
                  <c:v>Low</c:v>
                </c:pt>
              </c:strCache>
            </c:strRef>
          </c:cat>
          <c:val>
            <c:numRef>
              <c:f>'Pivot 1'!$C$4:$C$7</c:f>
              <c:numCache>
                <c:formatCode>"$"#,##0.00</c:formatCode>
                <c:ptCount val="3"/>
                <c:pt idx="0">
                  <c:v>456081.44999999995</c:v>
                </c:pt>
                <c:pt idx="1">
                  <c:v>278106.83</c:v>
                </c:pt>
                <c:pt idx="2">
                  <c:v>261444.32</c:v>
                </c:pt>
              </c:numCache>
            </c:numRef>
          </c:val>
          <c:extLst>
            <c:ext xmlns:c16="http://schemas.microsoft.com/office/drawing/2014/chart" uri="{C3380CC4-5D6E-409C-BE32-E72D297353CC}">
              <c16:uniqueId val="{00000001-CFCC-F742-84F1-E9FBD272D665}"/>
            </c:ext>
          </c:extLst>
        </c:ser>
        <c:ser>
          <c:idx val="2"/>
          <c:order val="2"/>
          <c:tx>
            <c:strRef>
              <c:f>'Pivot 1'!$D$2:$D$3</c:f>
              <c:strCache>
                <c:ptCount val="1"/>
                <c:pt idx="0">
                  <c:v>Seniors</c:v>
                </c:pt>
              </c:strCache>
            </c:strRef>
          </c:tx>
          <c:spPr>
            <a:solidFill>
              <a:schemeClr val="accent3"/>
            </a:solidFill>
            <a:ln>
              <a:noFill/>
            </a:ln>
            <a:effectLst/>
          </c:spPr>
          <c:invertIfNegative val="0"/>
          <c:cat>
            <c:strRef>
              <c:f>'Pivot 1'!$A$4:$A$7</c:f>
              <c:strCache>
                <c:ptCount val="3"/>
                <c:pt idx="0">
                  <c:v>High</c:v>
                </c:pt>
                <c:pt idx="1">
                  <c:v>Medium</c:v>
                </c:pt>
                <c:pt idx="2">
                  <c:v>Low</c:v>
                </c:pt>
              </c:strCache>
            </c:strRef>
          </c:cat>
          <c:val>
            <c:numRef>
              <c:f>'Pivot 1'!$D$4:$D$7</c:f>
              <c:numCache>
                <c:formatCode>"$"#,##0.00</c:formatCode>
                <c:ptCount val="3"/>
                <c:pt idx="0">
                  <c:v>602293.02999999991</c:v>
                </c:pt>
                <c:pt idx="1">
                  <c:v>320775.60000000003</c:v>
                </c:pt>
                <c:pt idx="2">
                  <c:v>348055.11</c:v>
                </c:pt>
              </c:numCache>
            </c:numRef>
          </c:val>
          <c:extLst>
            <c:ext xmlns:c16="http://schemas.microsoft.com/office/drawing/2014/chart" uri="{C3380CC4-5D6E-409C-BE32-E72D297353CC}">
              <c16:uniqueId val="{00000002-CFCC-F742-84F1-E9FBD272D665}"/>
            </c:ext>
          </c:extLst>
        </c:ser>
        <c:ser>
          <c:idx val="3"/>
          <c:order val="3"/>
          <c:tx>
            <c:strRef>
              <c:f>'Pivot 1'!$E$2:$E$3</c:f>
              <c:strCache>
                <c:ptCount val="1"/>
                <c:pt idx="0">
                  <c:v>Young adults</c:v>
                </c:pt>
              </c:strCache>
            </c:strRef>
          </c:tx>
          <c:spPr>
            <a:solidFill>
              <a:schemeClr val="accent4"/>
            </a:solidFill>
            <a:ln>
              <a:noFill/>
            </a:ln>
            <a:effectLst/>
          </c:spPr>
          <c:invertIfNegative val="0"/>
          <c:cat>
            <c:strRef>
              <c:f>'Pivot 1'!$A$4:$A$7</c:f>
              <c:strCache>
                <c:ptCount val="3"/>
                <c:pt idx="0">
                  <c:v>High</c:v>
                </c:pt>
                <c:pt idx="1">
                  <c:v>Medium</c:v>
                </c:pt>
                <c:pt idx="2">
                  <c:v>Low</c:v>
                </c:pt>
              </c:strCache>
            </c:strRef>
          </c:cat>
          <c:val>
            <c:numRef>
              <c:f>'Pivot 1'!$E$4:$E$7</c:f>
              <c:numCache>
                <c:formatCode>"$"#,##0.00</c:formatCode>
                <c:ptCount val="3"/>
                <c:pt idx="0">
                  <c:v>340415.87</c:v>
                </c:pt>
                <c:pt idx="1">
                  <c:v>91373.8</c:v>
                </c:pt>
                <c:pt idx="2">
                  <c:v>556238.29</c:v>
                </c:pt>
              </c:numCache>
            </c:numRef>
          </c:val>
          <c:extLst>
            <c:ext xmlns:c16="http://schemas.microsoft.com/office/drawing/2014/chart" uri="{C3380CC4-5D6E-409C-BE32-E72D297353CC}">
              <c16:uniqueId val="{00000003-CFCC-F742-84F1-E9FBD272D665}"/>
            </c:ext>
          </c:extLst>
        </c:ser>
        <c:dLbls>
          <c:showLegendKey val="0"/>
          <c:showVal val="0"/>
          <c:showCatName val="0"/>
          <c:showSerName val="0"/>
          <c:showPercent val="0"/>
          <c:showBubbleSize val="0"/>
        </c:dLbls>
        <c:gapWidth val="150"/>
        <c:axId val="1698996144"/>
        <c:axId val="1699175072"/>
      </c:barChart>
      <c:catAx>
        <c:axId val="16989961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Foot</a:t>
                </a:r>
                <a:r>
                  <a:rPr lang="en-US" baseline="0">
                    <a:solidFill>
                      <a:schemeClr val="tx1"/>
                    </a:solidFill>
                  </a:rPr>
                  <a:t> Traffic</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75072"/>
        <c:crosses val="autoZero"/>
        <c:auto val="1"/>
        <c:lblAlgn val="ctr"/>
        <c:lblOffset val="100"/>
        <c:noMultiLvlLbl val="0"/>
      </c:catAx>
      <c:valAx>
        <c:axId val="1699175072"/>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Revenue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99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2!PivotTable2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2'!$D$5:$D$6</c:f>
              <c:strCache>
                <c:ptCount val="1"/>
                <c:pt idx="0">
                  <c:v>Low Difference</c:v>
                </c:pt>
              </c:strCache>
            </c:strRef>
          </c:tx>
          <c:spPr>
            <a:solidFill>
              <a:schemeClr val="accent1"/>
            </a:solidFill>
            <a:ln>
              <a:noFill/>
            </a:ln>
            <a:effectLst/>
          </c:spPr>
          <c:invertIfNegative val="0"/>
          <c:cat>
            <c:strRef>
              <c:f>'Pivot 2'!$C$7:$C$10</c:f>
              <c:strCache>
                <c:ptCount val="3"/>
                <c:pt idx="0">
                  <c:v>Clothing</c:v>
                </c:pt>
                <c:pt idx="1">
                  <c:v>Electronics</c:v>
                </c:pt>
                <c:pt idx="2">
                  <c:v>Food</c:v>
                </c:pt>
              </c:strCache>
            </c:strRef>
          </c:cat>
          <c:val>
            <c:numRef>
              <c:f>'Pivot 2'!$D$7:$D$10</c:f>
              <c:numCache>
                <c:formatCode>"$"#,##0.00</c:formatCode>
                <c:ptCount val="3"/>
                <c:pt idx="0">
                  <c:v>48766.494285714289</c:v>
                </c:pt>
                <c:pt idx="1">
                  <c:v>66114.392857142855</c:v>
                </c:pt>
                <c:pt idx="2">
                  <c:v>53769.29</c:v>
                </c:pt>
              </c:numCache>
            </c:numRef>
          </c:val>
          <c:extLst>
            <c:ext xmlns:c16="http://schemas.microsoft.com/office/drawing/2014/chart" uri="{C3380CC4-5D6E-409C-BE32-E72D297353CC}">
              <c16:uniqueId val="{00000006-DC1F-3941-9702-488166B7C0C2}"/>
            </c:ext>
          </c:extLst>
        </c:ser>
        <c:ser>
          <c:idx val="1"/>
          <c:order val="1"/>
          <c:tx>
            <c:strRef>
              <c:f>'Pivot 2'!$E$5:$E$6</c:f>
              <c:strCache>
                <c:ptCount val="1"/>
                <c:pt idx="0">
                  <c:v>Moderate Difference</c:v>
                </c:pt>
              </c:strCache>
            </c:strRef>
          </c:tx>
          <c:spPr>
            <a:solidFill>
              <a:schemeClr val="accent2"/>
            </a:solidFill>
            <a:ln>
              <a:noFill/>
            </a:ln>
            <a:effectLst/>
          </c:spPr>
          <c:invertIfNegative val="0"/>
          <c:cat>
            <c:strRef>
              <c:f>'Pivot 2'!$C$7:$C$10</c:f>
              <c:strCache>
                <c:ptCount val="3"/>
                <c:pt idx="0">
                  <c:v>Clothing</c:v>
                </c:pt>
                <c:pt idx="1">
                  <c:v>Electronics</c:v>
                </c:pt>
                <c:pt idx="2">
                  <c:v>Food</c:v>
                </c:pt>
              </c:strCache>
            </c:strRef>
          </c:cat>
          <c:val>
            <c:numRef>
              <c:f>'Pivot 2'!$E$7:$E$10</c:f>
              <c:numCache>
                <c:formatCode>"$"#,##0.00</c:formatCode>
                <c:ptCount val="3"/>
                <c:pt idx="0">
                  <c:v>49196.887333333339</c:v>
                </c:pt>
                <c:pt idx="1">
                  <c:v>46296.591764705881</c:v>
                </c:pt>
                <c:pt idx="2">
                  <c:v>44078.780000000006</c:v>
                </c:pt>
              </c:numCache>
            </c:numRef>
          </c:val>
          <c:extLst>
            <c:ext xmlns:c16="http://schemas.microsoft.com/office/drawing/2014/chart" uri="{C3380CC4-5D6E-409C-BE32-E72D297353CC}">
              <c16:uniqueId val="{00000103-DC1F-3941-9702-488166B7C0C2}"/>
            </c:ext>
          </c:extLst>
        </c:ser>
        <c:ser>
          <c:idx val="2"/>
          <c:order val="2"/>
          <c:tx>
            <c:strRef>
              <c:f>'Pivot 2'!$F$5:$F$6</c:f>
              <c:strCache>
                <c:ptCount val="1"/>
                <c:pt idx="0">
                  <c:v>High Difference</c:v>
                </c:pt>
              </c:strCache>
            </c:strRef>
          </c:tx>
          <c:spPr>
            <a:solidFill>
              <a:schemeClr val="accent3"/>
            </a:solidFill>
            <a:ln>
              <a:noFill/>
            </a:ln>
            <a:effectLst/>
          </c:spPr>
          <c:invertIfNegative val="0"/>
          <c:cat>
            <c:strRef>
              <c:f>'Pivot 2'!$C$7:$C$10</c:f>
              <c:strCache>
                <c:ptCount val="3"/>
                <c:pt idx="0">
                  <c:v>Clothing</c:v>
                </c:pt>
                <c:pt idx="1">
                  <c:v>Electronics</c:v>
                </c:pt>
                <c:pt idx="2">
                  <c:v>Food</c:v>
                </c:pt>
              </c:strCache>
            </c:strRef>
          </c:cat>
          <c:val>
            <c:numRef>
              <c:f>'Pivot 2'!$F$7:$F$10</c:f>
              <c:numCache>
                <c:formatCode>"$"#,##0.00</c:formatCode>
                <c:ptCount val="3"/>
                <c:pt idx="0">
                  <c:v>59206.418888888889</c:v>
                </c:pt>
                <c:pt idx="1">
                  <c:v>30871.356</c:v>
                </c:pt>
                <c:pt idx="2">
                  <c:v>50516.994999999995</c:v>
                </c:pt>
              </c:numCache>
            </c:numRef>
          </c:val>
          <c:extLst>
            <c:ext xmlns:c16="http://schemas.microsoft.com/office/drawing/2014/chart" uri="{C3380CC4-5D6E-409C-BE32-E72D297353CC}">
              <c16:uniqueId val="{00000104-DC1F-3941-9702-488166B7C0C2}"/>
            </c:ext>
          </c:extLst>
        </c:ser>
        <c:dLbls>
          <c:showLegendKey val="0"/>
          <c:showVal val="0"/>
          <c:showCatName val="0"/>
          <c:showSerName val="0"/>
          <c:showPercent val="0"/>
          <c:showBubbleSize val="0"/>
        </c:dLbls>
        <c:gapWidth val="150"/>
        <c:axId val="1637016896"/>
        <c:axId val="1637141040"/>
      </c:barChart>
      <c:catAx>
        <c:axId val="163701689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7141040"/>
        <c:crosses val="autoZero"/>
        <c:auto val="1"/>
        <c:lblAlgn val="ctr"/>
        <c:lblOffset val="100"/>
        <c:noMultiLvlLbl val="0"/>
      </c:catAx>
      <c:valAx>
        <c:axId val="16371410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7016896"/>
        <c:crosses val="max"/>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3!PivotTable3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2"/>
          </a:solidFill>
          <a:ln>
            <a:noFill/>
          </a:ln>
          <a:effectLst/>
        </c:spPr>
      </c:pivotFmt>
      <c:pivotFmt>
        <c:idx val="14"/>
        <c:spPr>
          <a:solidFill>
            <a:schemeClr val="accent3"/>
          </a:solidFill>
          <a:ln>
            <a:noFill/>
          </a:ln>
          <a:effectLst/>
        </c:spPr>
      </c:pivotFmt>
    </c:pivotFmts>
    <c:plotArea>
      <c:layout/>
      <c:barChart>
        <c:barDir val="bar"/>
        <c:grouping val="clustered"/>
        <c:varyColors val="0"/>
        <c:ser>
          <c:idx val="0"/>
          <c:order val="0"/>
          <c:tx>
            <c:strRef>
              <c:f>'Pivot 3'!$D$4:$D$5</c:f>
              <c:strCache>
                <c:ptCount val="1"/>
                <c:pt idx="0">
                  <c:v>Clothing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3'!$D$6:$D$9</c:f>
              <c:numCache>
                <c:formatCode>"$"#,##0.00</c:formatCode>
                <c:ptCount val="3"/>
                <c:pt idx="0">
                  <c:v>50108.321964285708</c:v>
                </c:pt>
                <c:pt idx="1">
                  <c:v>49490.864838709655</c:v>
                </c:pt>
                <c:pt idx="2">
                  <c:v>54477.484056603782</c:v>
                </c:pt>
              </c:numCache>
            </c:numRef>
          </c:val>
          <c:extLst>
            <c:ext xmlns:c16="http://schemas.microsoft.com/office/drawing/2014/chart" uri="{C3380CC4-5D6E-409C-BE32-E72D297353CC}">
              <c16:uniqueId val="{00000000-4E8F-9E45-8A38-FEA03211E2D8}"/>
            </c:ext>
          </c:extLst>
        </c:ser>
        <c:ser>
          <c:idx val="1"/>
          <c:order val="1"/>
          <c:tx>
            <c:strRef>
              <c:f>'Pivot 3'!$E$4:$E$5</c:f>
              <c:strCache>
                <c:ptCount val="1"/>
                <c:pt idx="0">
                  <c:v>Food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3'!$E$6:$E$9</c:f>
              <c:numCache>
                <c:formatCode>"$"#,##0.00</c:formatCode>
                <c:ptCount val="3"/>
                <c:pt idx="0">
                  <c:v>49641.037747747767</c:v>
                </c:pt>
                <c:pt idx="1">
                  <c:v>55108.106836734682</c:v>
                </c:pt>
                <c:pt idx="2">
                  <c:v>47300.043157894695</c:v>
                </c:pt>
              </c:numCache>
            </c:numRef>
          </c:val>
          <c:extLst>
            <c:ext xmlns:c16="http://schemas.microsoft.com/office/drawing/2014/chart" uri="{C3380CC4-5D6E-409C-BE32-E72D297353CC}">
              <c16:uniqueId val="{00000001-4E8F-9E45-8A38-FEA03211E2D8}"/>
            </c:ext>
          </c:extLst>
        </c:ser>
        <c:ser>
          <c:idx val="2"/>
          <c:order val="2"/>
          <c:tx>
            <c:strRef>
              <c:f>'Pivot 3'!$F$4:$F$5</c:f>
              <c:strCache>
                <c:ptCount val="1"/>
                <c:pt idx="0">
                  <c:v>Electronics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3'!$F$6:$F$9</c:f>
              <c:numCache>
                <c:formatCode>"$"#,##0.00</c:formatCode>
                <c:ptCount val="3"/>
                <c:pt idx="0">
                  <c:v>48006.573706896525</c:v>
                </c:pt>
                <c:pt idx="1">
                  <c:v>49965.768151260498</c:v>
                </c:pt>
                <c:pt idx="2">
                  <c:v>46662.741800000003</c:v>
                </c:pt>
              </c:numCache>
            </c:numRef>
          </c:val>
          <c:extLst>
            <c:ext xmlns:c16="http://schemas.microsoft.com/office/drawing/2014/chart" uri="{C3380CC4-5D6E-409C-BE32-E72D297353CC}">
              <c16:uniqueId val="{00000002-4E8F-9E45-8A38-FEA03211E2D8}"/>
            </c:ext>
          </c:extLst>
        </c:ser>
        <c:dLbls>
          <c:showLegendKey val="0"/>
          <c:showVal val="1"/>
          <c:showCatName val="0"/>
          <c:showSerName val="0"/>
          <c:showPercent val="0"/>
          <c:showBubbleSize val="0"/>
        </c:dLbls>
        <c:gapWidth val="75"/>
        <c:axId val="770002464"/>
        <c:axId val="1290417552"/>
      </c:barChart>
      <c:catAx>
        <c:axId val="770002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417552"/>
        <c:crosses val="autoZero"/>
        <c:auto val="1"/>
        <c:lblAlgn val="ctr"/>
        <c:lblOffset val="100"/>
        <c:noMultiLvlLbl val="0"/>
      </c:catAx>
      <c:valAx>
        <c:axId val="1290417552"/>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02464"/>
        <c:crosses val="max"/>
        <c:crossBetween val="between"/>
        <c:dispUnits>
          <c:builtInUnit val="thousand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1!PivotTable1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2"/>
          </a:solidFill>
          <a:ln>
            <a:noFill/>
          </a:ln>
          <a:effectLst/>
        </c:spPr>
      </c:pivotFmt>
      <c:pivotFmt>
        <c:idx val="14"/>
        <c:spPr>
          <a:solidFill>
            <a:schemeClr val="accent3"/>
          </a:solidFill>
          <a:ln>
            <a:noFill/>
          </a:ln>
          <a:effectLst/>
        </c:spPr>
      </c:pivotFmt>
      <c:pivotFmt>
        <c:idx val="15"/>
        <c:spPr>
          <a:solidFill>
            <a:schemeClr val="accent4"/>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1'!$B$2:$B$3</c:f>
              <c:strCache>
                <c:ptCount val="1"/>
                <c:pt idx="0">
                  <c:v>College students</c:v>
                </c:pt>
              </c:strCache>
            </c:strRef>
          </c:tx>
          <c:spPr>
            <a:solidFill>
              <a:schemeClr val="accent1"/>
            </a:solidFill>
            <a:ln>
              <a:noFill/>
            </a:ln>
            <a:effectLst/>
          </c:spPr>
          <c:invertIfNegative val="0"/>
          <c:cat>
            <c:strRef>
              <c:f>'Pivot 1'!$A$4:$A$7</c:f>
              <c:strCache>
                <c:ptCount val="3"/>
                <c:pt idx="0">
                  <c:v>High</c:v>
                </c:pt>
                <c:pt idx="1">
                  <c:v>Medium</c:v>
                </c:pt>
                <c:pt idx="2">
                  <c:v>Low</c:v>
                </c:pt>
              </c:strCache>
            </c:strRef>
          </c:cat>
          <c:val>
            <c:numRef>
              <c:f>'Pivot 1'!$B$4:$B$7</c:f>
              <c:numCache>
                <c:formatCode>"$"#,##0.00</c:formatCode>
                <c:ptCount val="3"/>
                <c:pt idx="0">
                  <c:v>74387.53</c:v>
                </c:pt>
                <c:pt idx="1">
                  <c:v>369684.17000000004</c:v>
                </c:pt>
                <c:pt idx="2">
                  <c:v>235726.94999999998</c:v>
                </c:pt>
              </c:numCache>
            </c:numRef>
          </c:val>
          <c:extLst>
            <c:ext xmlns:c16="http://schemas.microsoft.com/office/drawing/2014/chart" uri="{C3380CC4-5D6E-409C-BE32-E72D297353CC}">
              <c16:uniqueId val="{00000000-F717-6E44-B7A3-D46A6638929E}"/>
            </c:ext>
          </c:extLst>
        </c:ser>
        <c:ser>
          <c:idx val="1"/>
          <c:order val="1"/>
          <c:tx>
            <c:strRef>
              <c:f>'Pivot 1'!$C$2:$C$3</c:f>
              <c:strCache>
                <c:ptCount val="1"/>
                <c:pt idx="0">
                  <c:v>Families</c:v>
                </c:pt>
              </c:strCache>
            </c:strRef>
          </c:tx>
          <c:spPr>
            <a:solidFill>
              <a:schemeClr val="accent2"/>
            </a:solidFill>
            <a:ln>
              <a:noFill/>
            </a:ln>
            <a:effectLst/>
          </c:spPr>
          <c:invertIfNegative val="0"/>
          <c:cat>
            <c:strRef>
              <c:f>'Pivot 1'!$A$4:$A$7</c:f>
              <c:strCache>
                <c:ptCount val="3"/>
                <c:pt idx="0">
                  <c:v>High</c:v>
                </c:pt>
                <c:pt idx="1">
                  <c:v>Medium</c:v>
                </c:pt>
                <c:pt idx="2">
                  <c:v>Low</c:v>
                </c:pt>
              </c:strCache>
            </c:strRef>
          </c:cat>
          <c:val>
            <c:numRef>
              <c:f>'Pivot 1'!$C$4:$C$7</c:f>
              <c:numCache>
                <c:formatCode>"$"#,##0.00</c:formatCode>
                <c:ptCount val="3"/>
                <c:pt idx="0">
                  <c:v>456081.44999999995</c:v>
                </c:pt>
                <c:pt idx="1">
                  <c:v>278106.83</c:v>
                </c:pt>
                <c:pt idx="2">
                  <c:v>261444.32</c:v>
                </c:pt>
              </c:numCache>
            </c:numRef>
          </c:val>
          <c:extLst>
            <c:ext xmlns:c16="http://schemas.microsoft.com/office/drawing/2014/chart" uri="{C3380CC4-5D6E-409C-BE32-E72D297353CC}">
              <c16:uniqueId val="{00000001-F717-6E44-B7A3-D46A6638929E}"/>
            </c:ext>
          </c:extLst>
        </c:ser>
        <c:ser>
          <c:idx val="2"/>
          <c:order val="2"/>
          <c:tx>
            <c:strRef>
              <c:f>'Pivot 1'!$D$2:$D$3</c:f>
              <c:strCache>
                <c:ptCount val="1"/>
                <c:pt idx="0">
                  <c:v>Seniors</c:v>
                </c:pt>
              </c:strCache>
            </c:strRef>
          </c:tx>
          <c:spPr>
            <a:solidFill>
              <a:schemeClr val="accent3"/>
            </a:solidFill>
            <a:ln>
              <a:noFill/>
            </a:ln>
            <a:effectLst/>
          </c:spPr>
          <c:invertIfNegative val="0"/>
          <c:cat>
            <c:strRef>
              <c:f>'Pivot 1'!$A$4:$A$7</c:f>
              <c:strCache>
                <c:ptCount val="3"/>
                <c:pt idx="0">
                  <c:v>High</c:v>
                </c:pt>
                <c:pt idx="1">
                  <c:v>Medium</c:v>
                </c:pt>
                <c:pt idx="2">
                  <c:v>Low</c:v>
                </c:pt>
              </c:strCache>
            </c:strRef>
          </c:cat>
          <c:val>
            <c:numRef>
              <c:f>'Pivot 1'!$D$4:$D$7</c:f>
              <c:numCache>
                <c:formatCode>"$"#,##0.00</c:formatCode>
                <c:ptCount val="3"/>
                <c:pt idx="0">
                  <c:v>602293.02999999991</c:v>
                </c:pt>
                <c:pt idx="1">
                  <c:v>320775.60000000003</c:v>
                </c:pt>
                <c:pt idx="2">
                  <c:v>348055.11</c:v>
                </c:pt>
              </c:numCache>
            </c:numRef>
          </c:val>
          <c:extLst>
            <c:ext xmlns:c16="http://schemas.microsoft.com/office/drawing/2014/chart" uri="{C3380CC4-5D6E-409C-BE32-E72D297353CC}">
              <c16:uniqueId val="{00000002-F717-6E44-B7A3-D46A6638929E}"/>
            </c:ext>
          </c:extLst>
        </c:ser>
        <c:ser>
          <c:idx val="3"/>
          <c:order val="3"/>
          <c:tx>
            <c:strRef>
              <c:f>'Pivot 1'!$E$2:$E$3</c:f>
              <c:strCache>
                <c:ptCount val="1"/>
                <c:pt idx="0">
                  <c:v>Young adults</c:v>
                </c:pt>
              </c:strCache>
            </c:strRef>
          </c:tx>
          <c:spPr>
            <a:solidFill>
              <a:schemeClr val="accent4"/>
            </a:solidFill>
            <a:ln>
              <a:noFill/>
            </a:ln>
            <a:effectLst/>
          </c:spPr>
          <c:invertIfNegative val="0"/>
          <c:cat>
            <c:strRef>
              <c:f>'Pivot 1'!$A$4:$A$7</c:f>
              <c:strCache>
                <c:ptCount val="3"/>
                <c:pt idx="0">
                  <c:v>High</c:v>
                </c:pt>
                <c:pt idx="1">
                  <c:v>Medium</c:v>
                </c:pt>
                <c:pt idx="2">
                  <c:v>Low</c:v>
                </c:pt>
              </c:strCache>
            </c:strRef>
          </c:cat>
          <c:val>
            <c:numRef>
              <c:f>'Pivot 1'!$E$4:$E$7</c:f>
              <c:numCache>
                <c:formatCode>"$"#,##0.00</c:formatCode>
                <c:ptCount val="3"/>
                <c:pt idx="0">
                  <c:v>340415.87</c:v>
                </c:pt>
                <c:pt idx="1">
                  <c:v>91373.8</c:v>
                </c:pt>
                <c:pt idx="2">
                  <c:v>556238.29</c:v>
                </c:pt>
              </c:numCache>
            </c:numRef>
          </c:val>
          <c:extLst>
            <c:ext xmlns:c16="http://schemas.microsoft.com/office/drawing/2014/chart" uri="{C3380CC4-5D6E-409C-BE32-E72D297353CC}">
              <c16:uniqueId val="{00000003-F717-6E44-B7A3-D46A6638929E}"/>
            </c:ext>
          </c:extLst>
        </c:ser>
        <c:dLbls>
          <c:showLegendKey val="0"/>
          <c:showVal val="0"/>
          <c:showCatName val="0"/>
          <c:showSerName val="0"/>
          <c:showPercent val="0"/>
          <c:showBubbleSize val="0"/>
        </c:dLbls>
        <c:gapWidth val="150"/>
        <c:axId val="1698996144"/>
        <c:axId val="1699175072"/>
      </c:barChart>
      <c:catAx>
        <c:axId val="16989961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Foot</a:t>
                </a:r>
                <a:r>
                  <a:rPr lang="en-US" baseline="0">
                    <a:solidFill>
                      <a:schemeClr val="tx1"/>
                    </a:solidFill>
                  </a:rPr>
                  <a:t> Traffic</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75072"/>
        <c:crosses val="autoZero"/>
        <c:auto val="1"/>
        <c:lblAlgn val="ctr"/>
        <c:lblOffset val="100"/>
        <c:noMultiLvlLbl val="0"/>
      </c:catAx>
      <c:valAx>
        <c:axId val="1699175072"/>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Revenue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99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2!PivotTable2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2'!$D$5:$D$6</c:f>
              <c:strCache>
                <c:ptCount val="1"/>
                <c:pt idx="0">
                  <c:v>Low Difference</c:v>
                </c:pt>
              </c:strCache>
            </c:strRef>
          </c:tx>
          <c:spPr>
            <a:solidFill>
              <a:schemeClr val="accent1"/>
            </a:solidFill>
            <a:ln>
              <a:noFill/>
            </a:ln>
            <a:effectLst/>
          </c:spPr>
          <c:invertIfNegative val="0"/>
          <c:cat>
            <c:strRef>
              <c:f>'Pivot 2'!$C$7:$C$10</c:f>
              <c:strCache>
                <c:ptCount val="3"/>
                <c:pt idx="0">
                  <c:v>Clothing</c:v>
                </c:pt>
                <c:pt idx="1">
                  <c:v>Electronics</c:v>
                </c:pt>
                <c:pt idx="2">
                  <c:v>Food</c:v>
                </c:pt>
              </c:strCache>
            </c:strRef>
          </c:cat>
          <c:val>
            <c:numRef>
              <c:f>'Pivot 2'!$D$7:$D$10</c:f>
              <c:numCache>
                <c:formatCode>"$"#,##0.00</c:formatCode>
                <c:ptCount val="3"/>
                <c:pt idx="0">
                  <c:v>48766.494285714289</c:v>
                </c:pt>
                <c:pt idx="1">
                  <c:v>66114.392857142855</c:v>
                </c:pt>
                <c:pt idx="2">
                  <c:v>53769.29</c:v>
                </c:pt>
              </c:numCache>
            </c:numRef>
          </c:val>
          <c:extLst>
            <c:ext xmlns:c16="http://schemas.microsoft.com/office/drawing/2014/chart" uri="{C3380CC4-5D6E-409C-BE32-E72D297353CC}">
              <c16:uniqueId val="{00000000-A0AA-B448-9A9F-2D0676611D25}"/>
            </c:ext>
          </c:extLst>
        </c:ser>
        <c:ser>
          <c:idx val="1"/>
          <c:order val="1"/>
          <c:tx>
            <c:strRef>
              <c:f>'Pivot 2'!$E$5:$E$6</c:f>
              <c:strCache>
                <c:ptCount val="1"/>
                <c:pt idx="0">
                  <c:v>Moderate Difference</c:v>
                </c:pt>
              </c:strCache>
            </c:strRef>
          </c:tx>
          <c:spPr>
            <a:solidFill>
              <a:schemeClr val="accent2"/>
            </a:solidFill>
            <a:ln>
              <a:noFill/>
            </a:ln>
            <a:effectLst/>
          </c:spPr>
          <c:invertIfNegative val="0"/>
          <c:cat>
            <c:strRef>
              <c:f>'Pivot 2'!$C$7:$C$10</c:f>
              <c:strCache>
                <c:ptCount val="3"/>
                <c:pt idx="0">
                  <c:v>Clothing</c:v>
                </c:pt>
                <c:pt idx="1">
                  <c:v>Electronics</c:v>
                </c:pt>
                <c:pt idx="2">
                  <c:v>Food</c:v>
                </c:pt>
              </c:strCache>
            </c:strRef>
          </c:cat>
          <c:val>
            <c:numRef>
              <c:f>'Pivot 2'!$E$7:$E$10</c:f>
              <c:numCache>
                <c:formatCode>"$"#,##0.00</c:formatCode>
                <c:ptCount val="3"/>
                <c:pt idx="0">
                  <c:v>49196.887333333339</c:v>
                </c:pt>
                <c:pt idx="1">
                  <c:v>46296.591764705881</c:v>
                </c:pt>
                <c:pt idx="2">
                  <c:v>44078.780000000006</c:v>
                </c:pt>
              </c:numCache>
            </c:numRef>
          </c:val>
          <c:extLst>
            <c:ext xmlns:c16="http://schemas.microsoft.com/office/drawing/2014/chart" uri="{C3380CC4-5D6E-409C-BE32-E72D297353CC}">
              <c16:uniqueId val="{00000001-A0AA-B448-9A9F-2D0676611D25}"/>
            </c:ext>
          </c:extLst>
        </c:ser>
        <c:ser>
          <c:idx val="2"/>
          <c:order val="2"/>
          <c:tx>
            <c:strRef>
              <c:f>'Pivot 2'!$F$5:$F$6</c:f>
              <c:strCache>
                <c:ptCount val="1"/>
                <c:pt idx="0">
                  <c:v>High Difference</c:v>
                </c:pt>
              </c:strCache>
            </c:strRef>
          </c:tx>
          <c:spPr>
            <a:solidFill>
              <a:schemeClr val="accent3"/>
            </a:solidFill>
            <a:ln>
              <a:noFill/>
            </a:ln>
            <a:effectLst/>
          </c:spPr>
          <c:invertIfNegative val="0"/>
          <c:cat>
            <c:strRef>
              <c:f>'Pivot 2'!$C$7:$C$10</c:f>
              <c:strCache>
                <c:ptCount val="3"/>
                <c:pt idx="0">
                  <c:v>Clothing</c:v>
                </c:pt>
                <c:pt idx="1">
                  <c:v>Electronics</c:v>
                </c:pt>
                <c:pt idx="2">
                  <c:v>Food</c:v>
                </c:pt>
              </c:strCache>
            </c:strRef>
          </c:cat>
          <c:val>
            <c:numRef>
              <c:f>'Pivot 2'!$F$7:$F$10</c:f>
              <c:numCache>
                <c:formatCode>"$"#,##0.00</c:formatCode>
                <c:ptCount val="3"/>
                <c:pt idx="0">
                  <c:v>59206.418888888889</c:v>
                </c:pt>
                <c:pt idx="1">
                  <c:v>30871.356</c:v>
                </c:pt>
                <c:pt idx="2">
                  <c:v>50516.994999999995</c:v>
                </c:pt>
              </c:numCache>
            </c:numRef>
          </c:val>
          <c:extLst>
            <c:ext xmlns:c16="http://schemas.microsoft.com/office/drawing/2014/chart" uri="{C3380CC4-5D6E-409C-BE32-E72D297353CC}">
              <c16:uniqueId val="{00000002-A0AA-B448-9A9F-2D0676611D25}"/>
            </c:ext>
          </c:extLst>
        </c:ser>
        <c:dLbls>
          <c:showLegendKey val="0"/>
          <c:showVal val="0"/>
          <c:showCatName val="0"/>
          <c:showSerName val="0"/>
          <c:showPercent val="0"/>
          <c:showBubbleSize val="0"/>
        </c:dLbls>
        <c:gapWidth val="150"/>
        <c:axId val="1637016896"/>
        <c:axId val="1637141040"/>
      </c:barChart>
      <c:catAx>
        <c:axId val="163701689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7141040"/>
        <c:crosses val="autoZero"/>
        <c:auto val="1"/>
        <c:lblAlgn val="ctr"/>
        <c:lblOffset val="100"/>
        <c:noMultiLvlLbl val="0"/>
      </c:catAx>
      <c:valAx>
        <c:axId val="16371410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7016896"/>
        <c:crosses val="max"/>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Positioning.xlsm]Pivot 3!PivotTable3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2"/>
          </a:solidFill>
          <a:ln>
            <a:noFill/>
          </a:ln>
          <a:effectLst/>
        </c:spPr>
      </c:pivotFmt>
      <c:pivotFmt>
        <c:idx val="14"/>
        <c:spPr>
          <a:solidFill>
            <a:schemeClr val="accent3"/>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3'!$D$4:$D$5</c:f>
              <c:strCache>
                <c:ptCount val="1"/>
                <c:pt idx="0">
                  <c:v>Clothing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3'!$D$6:$D$9</c:f>
              <c:numCache>
                <c:formatCode>"$"#,##0.00</c:formatCode>
                <c:ptCount val="3"/>
                <c:pt idx="0">
                  <c:v>50108.321964285708</c:v>
                </c:pt>
                <c:pt idx="1">
                  <c:v>49490.864838709655</c:v>
                </c:pt>
                <c:pt idx="2">
                  <c:v>54477.484056603782</c:v>
                </c:pt>
              </c:numCache>
            </c:numRef>
          </c:val>
          <c:extLst>
            <c:ext xmlns:c16="http://schemas.microsoft.com/office/drawing/2014/chart" uri="{C3380CC4-5D6E-409C-BE32-E72D297353CC}">
              <c16:uniqueId val="{00000000-F014-A847-BEEE-7AA57CEEA07A}"/>
            </c:ext>
          </c:extLst>
        </c:ser>
        <c:ser>
          <c:idx val="1"/>
          <c:order val="1"/>
          <c:tx>
            <c:strRef>
              <c:f>'Pivot 3'!$E$4:$E$5</c:f>
              <c:strCache>
                <c:ptCount val="1"/>
                <c:pt idx="0">
                  <c:v>Food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3'!$E$6:$E$9</c:f>
              <c:numCache>
                <c:formatCode>"$"#,##0.00</c:formatCode>
                <c:ptCount val="3"/>
                <c:pt idx="0">
                  <c:v>49641.037747747767</c:v>
                </c:pt>
                <c:pt idx="1">
                  <c:v>55108.106836734682</c:v>
                </c:pt>
                <c:pt idx="2">
                  <c:v>47300.043157894695</c:v>
                </c:pt>
              </c:numCache>
            </c:numRef>
          </c:val>
          <c:extLst>
            <c:ext xmlns:c16="http://schemas.microsoft.com/office/drawing/2014/chart" uri="{C3380CC4-5D6E-409C-BE32-E72D297353CC}">
              <c16:uniqueId val="{00000001-F014-A847-BEEE-7AA57CEEA07A}"/>
            </c:ext>
          </c:extLst>
        </c:ser>
        <c:ser>
          <c:idx val="2"/>
          <c:order val="2"/>
          <c:tx>
            <c:strRef>
              <c:f>'Pivot 3'!$F$4:$F$5</c:f>
              <c:strCache>
                <c:ptCount val="1"/>
                <c:pt idx="0">
                  <c:v>Electronics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3'!$C$6:$C$9</c:f>
              <c:strCache>
                <c:ptCount val="3"/>
                <c:pt idx="0">
                  <c:v>Aisle</c:v>
                </c:pt>
                <c:pt idx="1">
                  <c:v>End-cap</c:v>
                </c:pt>
                <c:pt idx="2">
                  <c:v>Front of Store</c:v>
                </c:pt>
              </c:strCache>
            </c:strRef>
          </c:cat>
          <c:val>
            <c:numRef>
              <c:f>'Pivot 3'!$F$6:$F$9</c:f>
              <c:numCache>
                <c:formatCode>"$"#,##0.00</c:formatCode>
                <c:ptCount val="3"/>
                <c:pt idx="0">
                  <c:v>48006.573706896525</c:v>
                </c:pt>
                <c:pt idx="1">
                  <c:v>49965.768151260498</c:v>
                </c:pt>
                <c:pt idx="2">
                  <c:v>46662.741800000003</c:v>
                </c:pt>
              </c:numCache>
            </c:numRef>
          </c:val>
          <c:extLst>
            <c:ext xmlns:c16="http://schemas.microsoft.com/office/drawing/2014/chart" uri="{C3380CC4-5D6E-409C-BE32-E72D297353CC}">
              <c16:uniqueId val="{00000002-F014-A847-BEEE-7AA57CEEA07A}"/>
            </c:ext>
          </c:extLst>
        </c:ser>
        <c:dLbls>
          <c:showLegendKey val="0"/>
          <c:showVal val="1"/>
          <c:showCatName val="0"/>
          <c:showSerName val="0"/>
          <c:showPercent val="0"/>
          <c:showBubbleSize val="0"/>
        </c:dLbls>
        <c:gapWidth val="75"/>
        <c:axId val="770002464"/>
        <c:axId val="1290417552"/>
      </c:barChart>
      <c:catAx>
        <c:axId val="770002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417552"/>
        <c:crosses val="autoZero"/>
        <c:auto val="1"/>
        <c:lblAlgn val="ctr"/>
        <c:lblOffset val="100"/>
        <c:noMultiLvlLbl val="0"/>
      </c:catAx>
      <c:valAx>
        <c:axId val="1290417552"/>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02464"/>
        <c:crosses val="max"/>
        <c:crossBetween val="between"/>
        <c:dispUnits>
          <c:builtInUnit val="thousand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4</xdr:row>
          <xdr:rowOff>0</xdr:rowOff>
        </xdr:from>
        <xdr:to>
          <xdr:col>15</xdr:col>
          <xdr:colOff>330200</xdr:colOff>
          <xdr:row>5</xdr:row>
          <xdr:rowOff>177800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215900</xdr:colOff>
      <xdr:row>10</xdr:row>
      <xdr:rowOff>0</xdr:rowOff>
    </xdr:from>
    <xdr:to>
      <xdr:col>7</xdr:col>
      <xdr:colOff>749300</xdr:colOff>
      <xdr:row>32</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152400</xdr:colOff>
      <xdr:row>1</xdr:row>
      <xdr:rowOff>76200</xdr:rowOff>
    </xdr:from>
    <xdr:to>
      <xdr:col>8</xdr:col>
      <xdr:colOff>330200</xdr:colOff>
      <xdr:row>7</xdr:row>
      <xdr:rowOff>53972</xdr:rowOff>
    </xdr:to>
    <mc:AlternateContent xmlns:mc="http://schemas.openxmlformats.org/markup-compatibility/2006" xmlns:a14="http://schemas.microsoft.com/office/drawing/2010/main">
      <mc:Choice Requires="a14">
        <xdr:graphicFrame macro="">
          <xdr:nvGraphicFramePr>
            <xdr:cNvPr id="6" name="Seasonal">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Seasonal"/>
            </a:graphicData>
          </a:graphic>
        </xdr:graphicFrame>
      </mc:Choice>
      <mc:Fallback xmlns="">
        <xdr:sp macro="" textlink="">
          <xdr:nvSpPr>
            <xdr:cNvPr id="0" name=""/>
            <xdr:cNvSpPr>
              <a:spLocks noTextEdit="1"/>
            </xdr:cNvSpPr>
          </xdr:nvSpPr>
          <xdr:spPr>
            <a:xfrm>
              <a:off x="9563100" y="279400"/>
              <a:ext cx="1828800" cy="1196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368300</xdr:colOff>
      <xdr:row>1</xdr:row>
      <xdr:rowOff>76200</xdr:rowOff>
    </xdr:from>
    <xdr:to>
      <xdr:col>10</xdr:col>
      <xdr:colOff>546100</xdr:colOff>
      <xdr:row>7</xdr:row>
      <xdr:rowOff>53972</xdr:rowOff>
    </xdr:to>
    <mc:AlternateContent xmlns:mc="http://schemas.openxmlformats.org/markup-compatibility/2006" xmlns:a14="http://schemas.microsoft.com/office/drawing/2010/main">
      <mc:Choice Requires="a14">
        <xdr:graphicFrame macro="">
          <xdr:nvGraphicFramePr>
            <xdr:cNvPr id="7" name="Product Position">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Product Position"/>
            </a:graphicData>
          </a:graphic>
        </xdr:graphicFrame>
      </mc:Choice>
      <mc:Fallback xmlns="">
        <xdr:sp macro="" textlink="">
          <xdr:nvSpPr>
            <xdr:cNvPr id="0" name=""/>
            <xdr:cNvSpPr>
              <a:spLocks noTextEdit="1"/>
            </xdr:cNvSpPr>
          </xdr:nvSpPr>
          <xdr:spPr>
            <a:xfrm>
              <a:off x="11430000" y="279400"/>
              <a:ext cx="1828800" cy="1196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546100</xdr:colOff>
      <xdr:row>1</xdr:row>
      <xdr:rowOff>76200</xdr:rowOff>
    </xdr:from>
    <xdr:to>
      <xdr:col>12</xdr:col>
      <xdr:colOff>723900</xdr:colOff>
      <xdr:row>7</xdr:row>
      <xdr:rowOff>53972</xdr:rowOff>
    </xdr:to>
    <mc:AlternateContent xmlns:mc="http://schemas.openxmlformats.org/markup-compatibility/2006" xmlns:a14="http://schemas.microsoft.com/office/drawing/2010/main">
      <mc:Choice Requires="a14">
        <xdr:graphicFrame macro="">
          <xdr:nvGraphicFramePr>
            <xdr:cNvPr id="8" name="Promotion">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Promotion"/>
            </a:graphicData>
          </a:graphic>
        </xdr:graphicFrame>
      </mc:Choice>
      <mc:Fallback xmlns="">
        <xdr:sp macro="" textlink="">
          <xdr:nvSpPr>
            <xdr:cNvPr id="0" name=""/>
            <xdr:cNvSpPr>
              <a:spLocks noTextEdit="1"/>
            </xdr:cNvSpPr>
          </xdr:nvSpPr>
          <xdr:spPr>
            <a:xfrm>
              <a:off x="13258800" y="279400"/>
              <a:ext cx="1828800" cy="1196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1373909</xdr:colOff>
      <xdr:row>14</xdr:row>
      <xdr:rowOff>0</xdr:rowOff>
    </xdr:from>
    <xdr:to>
      <xdr:col>9</xdr:col>
      <xdr:colOff>816840</xdr:colOff>
      <xdr:row>41</xdr:row>
      <xdr:rowOff>101600</xdr:rowOff>
    </xdr:to>
    <xdr:graphicFrame macro="">
      <xdr:nvGraphicFramePr>
        <xdr:cNvPr id="2" name="Chart 1" descr="Chart type: Clustered Bar. 'Sales Volume' by 'Product Category'&#10;&#10;Description automatically generated">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3</xdr:row>
      <xdr:rowOff>0</xdr:rowOff>
    </xdr:from>
    <xdr:to>
      <xdr:col>18</xdr:col>
      <xdr:colOff>0</xdr:colOff>
      <xdr:row>39</xdr:row>
      <xdr:rowOff>0</xdr:rowOff>
    </xdr:to>
    <xdr:graphicFrame macro="">
      <xdr:nvGraphicFramePr>
        <xdr:cNvPr id="2" name="Chart 1" descr="Chart type: Clustered Bar. 'Revenue' by 'Product Category' and 'Product Position'&#10;&#10;Description automatically generated">
          <a:extLst>
            <a:ext uri="{FF2B5EF4-FFF2-40B4-BE49-F238E27FC236}">
              <a16:creationId xmlns:a16="http://schemas.microsoft.com/office/drawing/2014/main" id="{83563A7F-EA7F-3C10-3970-B080CBB4EF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203200</xdr:colOff>
      <xdr:row>14</xdr:row>
      <xdr:rowOff>16933</xdr:rowOff>
    </xdr:from>
    <xdr:to>
      <xdr:col>12</xdr:col>
      <xdr:colOff>103332</xdr:colOff>
      <xdr:row>49</xdr:row>
      <xdr:rowOff>16933</xdr:rowOff>
    </xdr:to>
    <xdr:graphicFrame macro="">
      <xdr:nvGraphicFramePr>
        <xdr:cNvPr id="2" name="Chart 1">
          <a:extLst>
            <a:ext uri="{FF2B5EF4-FFF2-40B4-BE49-F238E27FC236}">
              <a16:creationId xmlns:a16="http://schemas.microsoft.com/office/drawing/2014/main" id="{D376CDEA-D7D4-E84E-96DC-4EC1AF9138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103331</xdr:colOff>
      <xdr:row>14</xdr:row>
      <xdr:rowOff>16932</xdr:rowOff>
    </xdr:from>
    <xdr:to>
      <xdr:col>26</xdr:col>
      <xdr:colOff>-1</xdr:colOff>
      <xdr:row>48</xdr:row>
      <xdr:rowOff>203199</xdr:rowOff>
    </xdr:to>
    <xdr:graphicFrame macro="">
      <xdr:nvGraphicFramePr>
        <xdr:cNvPr id="3" name="Chart 2" descr="Chart type: Clustered Bar. 'Sales Volume' by 'Product Category'&#10;&#10;Description automatically generated">
          <a:extLst>
            <a:ext uri="{FF2B5EF4-FFF2-40B4-BE49-F238E27FC236}">
              <a16:creationId xmlns:a16="http://schemas.microsoft.com/office/drawing/2014/main" id="{C187A52B-83CE-FE40-B394-E0768DAA7D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203200</xdr:colOff>
      <xdr:row>49</xdr:row>
      <xdr:rowOff>0</xdr:rowOff>
    </xdr:from>
    <xdr:to>
      <xdr:col>11</xdr:col>
      <xdr:colOff>762000</xdr:colOff>
      <xdr:row>85</xdr:row>
      <xdr:rowOff>0</xdr:rowOff>
    </xdr:to>
    <xdr:graphicFrame macro="">
      <xdr:nvGraphicFramePr>
        <xdr:cNvPr id="4" name="Chart 3" descr="Chart type: Clustered Bar. 'Revenue' by 'Product Category' and 'Product Position'&#10;&#10;Description automatically generated">
          <a:extLst>
            <a:ext uri="{FF2B5EF4-FFF2-40B4-BE49-F238E27FC236}">
              <a16:creationId xmlns:a16="http://schemas.microsoft.com/office/drawing/2014/main" id="{94388CF2-6A9D-844E-9FCF-FAEC94A2FF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6</xdr:row>
      <xdr:rowOff>76200</xdr:rowOff>
    </xdr:from>
    <xdr:to>
      <xdr:col>3</xdr:col>
      <xdr:colOff>330200</xdr:colOff>
      <xdr:row>12</xdr:row>
      <xdr:rowOff>53972</xdr:rowOff>
    </xdr:to>
    <mc:AlternateContent xmlns:mc="http://schemas.openxmlformats.org/markup-compatibility/2006">
      <mc:Choice xmlns:a14="http://schemas.microsoft.com/office/drawing/2010/main" Requires="a14">
        <xdr:graphicFrame macro="">
          <xdr:nvGraphicFramePr>
            <xdr:cNvPr id="5" name="Seasonal 1">
              <a:extLst>
                <a:ext uri="{FF2B5EF4-FFF2-40B4-BE49-F238E27FC236}">
                  <a16:creationId xmlns:a16="http://schemas.microsoft.com/office/drawing/2014/main" id="{0E43885F-12D5-A445-B897-EAFDB017F050}"/>
                </a:ext>
              </a:extLst>
            </xdr:cNvPr>
            <xdr:cNvGraphicFramePr/>
          </xdr:nvGraphicFramePr>
          <xdr:xfrm>
            <a:off x="0" y="0"/>
            <a:ext cx="0" cy="0"/>
          </xdr:xfrm>
          <a:graphic>
            <a:graphicData uri="http://schemas.microsoft.com/office/drawing/2010/slicer">
              <sle:slicer xmlns:sle="http://schemas.microsoft.com/office/drawing/2010/slicer" name="Seasonal 1"/>
            </a:graphicData>
          </a:graphic>
        </xdr:graphicFrame>
      </mc:Choice>
      <mc:Fallback>
        <xdr:sp macro="" textlink="">
          <xdr:nvSpPr>
            <xdr:cNvPr id="0" name=""/>
            <xdr:cNvSpPr>
              <a:spLocks noTextEdit="1"/>
            </xdr:cNvSpPr>
          </xdr:nvSpPr>
          <xdr:spPr>
            <a:xfrm>
              <a:off x="978665" y="1269694"/>
              <a:ext cx="1830330" cy="1171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368300</xdr:colOff>
      <xdr:row>6</xdr:row>
      <xdr:rowOff>76200</xdr:rowOff>
    </xdr:from>
    <xdr:to>
      <xdr:col>5</xdr:col>
      <xdr:colOff>546100</xdr:colOff>
      <xdr:row>12</xdr:row>
      <xdr:rowOff>53972</xdr:rowOff>
    </xdr:to>
    <mc:AlternateContent xmlns:mc="http://schemas.openxmlformats.org/markup-compatibility/2006">
      <mc:Choice xmlns:a14="http://schemas.microsoft.com/office/drawing/2010/main" Requires="a14">
        <xdr:graphicFrame macro="">
          <xdr:nvGraphicFramePr>
            <xdr:cNvPr id="6" name="Product Position 1">
              <a:extLst>
                <a:ext uri="{FF2B5EF4-FFF2-40B4-BE49-F238E27FC236}">
                  <a16:creationId xmlns:a16="http://schemas.microsoft.com/office/drawing/2014/main" id="{8C7E2238-0310-7946-A2DB-A73E95527117}"/>
                </a:ext>
              </a:extLst>
            </xdr:cNvPr>
            <xdr:cNvGraphicFramePr/>
          </xdr:nvGraphicFramePr>
          <xdr:xfrm>
            <a:off x="0" y="0"/>
            <a:ext cx="0" cy="0"/>
          </xdr:xfrm>
          <a:graphic>
            <a:graphicData uri="http://schemas.microsoft.com/office/drawing/2010/slicer">
              <sle:slicer xmlns:sle="http://schemas.microsoft.com/office/drawing/2010/slicer" name="Product Position 1"/>
            </a:graphicData>
          </a:graphic>
        </xdr:graphicFrame>
      </mc:Choice>
      <mc:Fallback>
        <xdr:sp macro="" textlink="">
          <xdr:nvSpPr>
            <xdr:cNvPr id="0" name=""/>
            <xdr:cNvSpPr>
              <a:spLocks noTextEdit="1"/>
            </xdr:cNvSpPr>
          </xdr:nvSpPr>
          <xdr:spPr>
            <a:xfrm>
              <a:off x="2847095" y="1269694"/>
              <a:ext cx="1830330" cy="1171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546100</xdr:colOff>
      <xdr:row>6</xdr:row>
      <xdr:rowOff>76200</xdr:rowOff>
    </xdr:from>
    <xdr:to>
      <xdr:col>7</xdr:col>
      <xdr:colOff>723900</xdr:colOff>
      <xdr:row>12</xdr:row>
      <xdr:rowOff>53972</xdr:rowOff>
    </xdr:to>
    <mc:AlternateContent xmlns:mc="http://schemas.openxmlformats.org/markup-compatibility/2006">
      <mc:Choice xmlns:a14="http://schemas.microsoft.com/office/drawing/2010/main" Requires="a14">
        <xdr:graphicFrame macro="">
          <xdr:nvGraphicFramePr>
            <xdr:cNvPr id="7" name="Promotion 1">
              <a:extLst>
                <a:ext uri="{FF2B5EF4-FFF2-40B4-BE49-F238E27FC236}">
                  <a16:creationId xmlns:a16="http://schemas.microsoft.com/office/drawing/2014/main" id="{64D2F71A-FE17-BF48-8576-53F4E517DD99}"/>
                </a:ext>
              </a:extLst>
            </xdr:cNvPr>
            <xdr:cNvGraphicFramePr/>
          </xdr:nvGraphicFramePr>
          <xdr:xfrm>
            <a:off x="0" y="0"/>
            <a:ext cx="0" cy="0"/>
          </xdr:xfrm>
          <a:graphic>
            <a:graphicData uri="http://schemas.microsoft.com/office/drawing/2010/slicer">
              <sle:slicer xmlns:sle="http://schemas.microsoft.com/office/drawing/2010/slicer" name="Promotion 1"/>
            </a:graphicData>
          </a:graphic>
        </xdr:graphicFrame>
      </mc:Choice>
      <mc:Fallback>
        <xdr:sp macro="" textlink="">
          <xdr:nvSpPr>
            <xdr:cNvPr id="0" name=""/>
            <xdr:cNvSpPr>
              <a:spLocks noTextEdit="1"/>
            </xdr:cNvSpPr>
          </xdr:nvSpPr>
          <xdr:spPr>
            <a:xfrm>
              <a:off x="4677425" y="1269694"/>
              <a:ext cx="1830330" cy="1171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Angel Torres" refreshedDate="45517.172344085651" createdVersion="8" refreshedVersion="8" minRefreshableVersion="3" recordCount="1000" xr:uid="{00000000-000A-0000-FFFF-FFFF9E000000}">
  <cacheSource type="worksheet">
    <worksheetSource ref="A1:M1001" sheet="Product Positioning"/>
  </cacheSource>
  <cacheFields count="13">
    <cacheField name="Product ID" numFmtId="0">
      <sharedItems containsSemiMixedTypes="0" containsString="0" containsNumber="1" containsInteger="1" minValue="110033" maxValue="199976"/>
    </cacheField>
    <cacheField name="Price" numFmtId="164">
      <sharedItems containsSemiMixedTypes="0" containsString="0" containsNumber="1" minValue="5.0599999999999996" maxValue="49.98"/>
    </cacheField>
    <cacheField name="Competitor's Price" numFmtId="164">
      <sharedItems containsSemiMixedTypes="0" containsString="0" containsNumber="1" minValue="0.72" maxValue="49.85"/>
    </cacheField>
    <cacheField name="Sales Volume" numFmtId="0">
      <sharedItems containsSemiMixedTypes="0" containsString="0" containsNumber="1" containsInteger="1" minValue="507" maxValue="2999"/>
    </cacheField>
    <cacheField name="Foot Traffic" numFmtId="0">
      <sharedItems count="3">
        <s v="Medium"/>
        <s v="Low"/>
        <s v="High"/>
      </sharedItems>
    </cacheField>
    <cacheField name="Customer Demographics" numFmtId="0">
      <sharedItems count="4">
        <s v="Families"/>
        <s v="Seniors"/>
        <s v="Young adults"/>
        <s v="College students"/>
      </sharedItems>
    </cacheField>
    <cacheField name="Promotion" numFmtId="0">
      <sharedItems count="2">
        <s v="No"/>
        <s v="Yes"/>
      </sharedItems>
    </cacheField>
    <cacheField name="Product Position" numFmtId="0">
      <sharedItems count="3">
        <s v="Aisle"/>
        <s v="End-cap"/>
        <s v="Front of Store"/>
      </sharedItems>
    </cacheField>
    <cacheField name="Product Category" numFmtId="0">
      <sharedItems count="3">
        <s v="Clothing"/>
        <s v="Electronics"/>
        <s v="Food"/>
      </sharedItems>
    </cacheField>
    <cacheField name="Seasonal" numFmtId="0">
      <sharedItems count="2">
        <s v="No"/>
        <s v="Yes"/>
      </sharedItems>
    </cacheField>
    <cacheField name="Revenue" numFmtId="164">
      <sharedItems containsSemiMixedTypes="0" containsString="0" containsNumber="1" minValue="3352.8" maxValue="145366.19999999998"/>
    </cacheField>
    <cacheField name="Price Difference" numFmtId="164">
      <sharedItems containsSemiMixedTypes="0" containsString="0" containsNumber="1" minValue="0" maxValue="4.990000000000002"/>
    </cacheField>
    <cacheField name="Variation of Pricing" numFmtId="0">
      <sharedItems count="6">
        <s v="Low Difference"/>
        <s v="High Difference"/>
        <s v="Moderate Difference"/>
        <s v="Low Impact" u="1"/>
        <s v="High Impact" u="1"/>
        <s v="Moderate Impact" u="1"/>
      </sharedItems>
    </cacheField>
  </cacheFields>
  <extLst>
    <ext xmlns:x14="http://schemas.microsoft.com/office/spreadsheetml/2009/9/main" uri="{725AE2AE-9491-48be-B2B4-4EB974FC3084}">
      <x14:pivotCacheDefinition pivotCacheId="119151775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Angel Torres" refreshedDate="45517.705556018518" createdVersion="8" refreshedVersion="8" minRefreshableVersion="3" recordCount="1000" xr:uid="{53763DA5-441F-7545-9859-65A01B8F2C22}">
  <cacheSource type="worksheet">
    <worksheetSource name="Table1"/>
  </cacheSource>
  <cacheFields count="13">
    <cacheField name="Product ID" numFmtId="0">
      <sharedItems containsSemiMixedTypes="0" containsString="0" containsNumber="1" containsInteger="1" minValue="110033" maxValue="199976"/>
    </cacheField>
    <cacheField name="Price" numFmtId="164">
      <sharedItems containsSemiMixedTypes="0" containsString="0" containsNumber="1" minValue="5.0599999999999996" maxValue="49.98"/>
    </cacheField>
    <cacheField name="Competitor's Price" numFmtId="164">
      <sharedItems containsSemiMixedTypes="0" containsString="0" containsNumber="1" minValue="0.72" maxValue="49.85"/>
    </cacheField>
    <cacheField name="Sales Volume" numFmtId="0">
      <sharedItems containsSemiMixedTypes="0" containsString="0" containsNumber="1" containsInteger="1" minValue="507" maxValue="2999"/>
    </cacheField>
    <cacheField name="Foot Traffic" numFmtId="0">
      <sharedItems/>
    </cacheField>
    <cacheField name="Customer Demographics" numFmtId="0">
      <sharedItems/>
    </cacheField>
    <cacheField name="Promotion" numFmtId="0">
      <sharedItems/>
    </cacheField>
    <cacheField name="Product Position" numFmtId="0">
      <sharedItems count="3">
        <s v="Aisle"/>
        <s v="End-cap"/>
        <s v="Front of Store"/>
      </sharedItems>
    </cacheField>
    <cacheField name="Product Category" numFmtId="0">
      <sharedItems count="3">
        <s v="Clothing"/>
        <s v="Electronics"/>
        <s v="Food"/>
      </sharedItems>
    </cacheField>
    <cacheField name="Seasonal" numFmtId="0">
      <sharedItems/>
    </cacheField>
    <cacheField name="Revenue" numFmtId="164">
      <sharedItems containsSemiMixedTypes="0" containsString="0" containsNumber="1" minValue="3352.8" maxValue="145366.19999999998"/>
    </cacheField>
    <cacheField name="Price Difference" numFmtId="164">
      <sharedItems containsSemiMixedTypes="0" containsString="0" containsNumber="1" minValue="0" maxValue="4.990000000000002"/>
    </cacheField>
    <cacheField name="Variation of Pricing"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purl.oclc.org/ooxml/spreadsheetml/main" xmlns:r="http://purl.oclc.org/ooxml/officeDocument/relationships" count="1000">
  <r>
    <n v="185102"/>
    <n v="17.07"/>
    <n v="16.16"/>
    <n v="2823"/>
    <x v="0"/>
    <x v="0"/>
    <x v="0"/>
    <x v="0"/>
    <x v="0"/>
    <x v="0"/>
    <n v="48188.61"/>
    <n v="0.91000000000000014"/>
    <x v="0"/>
  </r>
  <r>
    <n v="188771"/>
    <n v="17.41"/>
    <n v="13.13"/>
    <n v="654"/>
    <x v="1"/>
    <x v="1"/>
    <x v="0"/>
    <x v="0"/>
    <x v="0"/>
    <x v="0"/>
    <n v="11386.14"/>
    <n v="4.2799999999999994"/>
    <x v="1"/>
  </r>
  <r>
    <n v="180176"/>
    <n v="43.16"/>
    <n v="38.369999999999997"/>
    <n v="2220"/>
    <x v="0"/>
    <x v="2"/>
    <x v="1"/>
    <x v="1"/>
    <x v="1"/>
    <x v="1"/>
    <n v="95815.2"/>
    <n v="4.7899999999999991"/>
    <x v="1"/>
  </r>
  <r>
    <n v="112917"/>
    <n v="42.26"/>
    <n v="38.979999999999997"/>
    <n v="1568"/>
    <x v="1"/>
    <x v="0"/>
    <x v="1"/>
    <x v="0"/>
    <x v="0"/>
    <x v="1"/>
    <n v="66263.679999999993"/>
    <n v="3.2800000000000011"/>
    <x v="2"/>
  </r>
  <r>
    <n v="192936"/>
    <n v="47.94"/>
    <n v="45.59"/>
    <n v="2942"/>
    <x v="0"/>
    <x v="3"/>
    <x v="0"/>
    <x v="1"/>
    <x v="0"/>
    <x v="1"/>
    <n v="141039.47999999998"/>
    <n v="2.3499999999999943"/>
    <x v="2"/>
  </r>
  <r>
    <n v="117590"/>
    <n v="34.5"/>
    <n v="34.340000000000003"/>
    <n v="2968"/>
    <x v="0"/>
    <x v="1"/>
    <x v="0"/>
    <x v="1"/>
    <x v="0"/>
    <x v="0"/>
    <n v="102396"/>
    <n v="0.15999999999999659"/>
    <x v="0"/>
  </r>
  <r>
    <n v="189118"/>
    <n v="41.11"/>
    <n v="40.15"/>
    <n v="952"/>
    <x v="2"/>
    <x v="3"/>
    <x v="1"/>
    <x v="2"/>
    <x v="0"/>
    <x v="1"/>
    <n v="39136.720000000001"/>
    <n v="0.96000000000000085"/>
    <x v="0"/>
  </r>
  <r>
    <n v="182157"/>
    <n v="15.75"/>
    <n v="12.3"/>
    <n v="2421"/>
    <x v="1"/>
    <x v="3"/>
    <x v="0"/>
    <x v="0"/>
    <x v="0"/>
    <x v="0"/>
    <n v="38130.75"/>
    <n v="3.4499999999999993"/>
    <x v="2"/>
  </r>
  <r>
    <n v="141861"/>
    <n v="30.07"/>
    <n v="26.75"/>
    <n v="1916"/>
    <x v="2"/>
    <x v="0"/>
    <x v="1"/>
    <x v="0"/>
    <x v="1"/>
    <x v="1"/>
    <n v="57614.12"/>
    <n v="3.3200000000000003"/>
    <x v="2"/>
  </r>
  <r>
    <n v="137121"/>
    <n v="38"/>
    <n v="33.380000000000003"/>
    <n v="656"/>
    <x v="2"/>
    <x v="0"/>
    <x v="0"/>
    <x v="0"/>
    <x v="1"/>
    <x v="1"/>
    <n v="24928"/>
    <n v="4.6199999999999974"/>
    <x v="1"/>
  </r>
  <r>
    <n v="113143"/>
    <n v="27.42"/>
    <n v="22.82"/>
    <n v="2663"/>
    <x v="2"/>
    <x v="3"/>
    <x v="1"/>
    <x v="0"/>
    <x v="2"/>
    <x v="1"/>
    <n v="73019.460000000006"/>
    <n v="4.6000000000000014"/>
    <x v="1"/>
  </r>
  <r>
    <n v="140028"/>
    <n v="12.15"/>
    <n v="9.39"/>
    <n v="1260"/>
    <x v="2"/>
    <x v="3"/>
    <x v="1"/>
    <x v="0"/>
    <x v="2"/>
    <x v="1"/>
    <n v="15309"/>
    <n v="2.76"/>
    <x v="2"/>
  </r>
  <r>
    <n v="134693"/>
    <n v="31.45"/>
    <n v="28.93"/>
    <n v="2124"/>
    <x v="1"/>
    <x v="3"/>
    <x v="1"/>
    <x v="0"/>
    <x v="2"/>
    <x v="0"/>
    <n v="66799.8"/>
    <n v="2.5199999999999996"/>
    <x v="2"/>
  </r>
  <r>
    <n v="151396"/>
    <n v="19.809999999999999"/>
    <n v="17.04"/>
    <n v="729"/>
    <x v="0"/>
    <x v="0"/>
    <x v="1"/>
    <x v="2"/>
    <x v="2"/>
    <x v="1"/>
    <n v="14441.49"/>
    <n v="2.7699999999999996"/>
    <x v="2"/>
  </r>
  <r>
    <n v="132889"/>
    <n v="15.74"/>
    <n v="12.8"/>
    <n v="2265"/>
    <x v="1"/>
    <x v="0"/>
    <x v="1"/>
    <x v="0"/>
    <x v="2"/>
    <x v="1"/>
    <n v="35651.1"/>
    <n v="2.9399999999999995"/>
    <x v="2"/>
  </r>
  <r>
    <n v="152174"/>
    <n v="13.16"/>
    <n v="12.94"/>
    <n v="2226"/>
    <x v="0"/>
    <x v="2"/>
    <x v="0"/>
    <x v="1"/>
    <x v="0"/>
    <x v="0"/>
    <n v="29294.16"/>
    <n v="0.22000000000000064"/>
    <x v="0"/>
  </r>
  <r>
    <n v="129906"/>
    <n v="14.58"/>
    <n v="14.49"/>
    <n v="2089"/>
    <x v="0"/>
    <x v="2"/>
    <x v="0"/>
    <x v="0"/>
    <x v="2"/>
    <x v="0"/>
    <n v="30457.62"/>
    <n v="8.9999999999999858E-2"/>
    <x v="0"/>
  </r>
  <r>
    <n v="195879"/>
    <n v="21.03"/>
    <n v="18.54"/>
    <n v="2339"/>
    <x v="0"/>
    <x v="2"/>
    <x v="1"/>
    <x v="2"/>
    <x v="2"/>
    <x v="1"/>
    <n v="49189.170000000006"/>
    <n v="2.490000000000002"/>
    <x v="2"/>
  </r>
  <r>
    <n v="155050"/>
    <n v="19.920000000000002"/>
    <n v="14.93"/>
    <n v="2321"/>
    <x v="2"/>
    <x v="3"/>
    <x v="0"/>
    <x v="0"/>
    <x v="0"/>
    <x v="1"/>
    <n v="46234.320000000007"/>
    <n v="4.990000000000002"/>
    <x v="1"/>
  </r>
  <r>
    <n v="194410"/>
    <n v="36.200000000000003"/>
    <n v="32.49"/>
    <n v="669"/>
    <x v="1"/>
    <x v="2"/>
    <x v="0"/>
    <x v="1"/>
    <x v="1"/>
    <x v="0"/>
    <n v="24217.800000000003"/>
    <n v="3.7100000000000009"/>
    <x v="1"/>
  </r>
  <r>
    <n v="141904"/>
    <n v="27.36"/>
    <n v="23.03"/>
    <n v="1712"/>
    <x v="0"/>
    <x v="3"/>
    <x v="1"/>
    <x v="1"/>
    <x v="2"/>
    <x v="1"/>
    <n v="46840.32"/>
    <n v="4.3299999999999983"/>
    <x v="1"/>
  </r>
  <r>
    <n v="124981"/>
    <n v="42.74"/>
    <n v="40.29"/>
    <n v="1832"/>
    <x v="1"/>
    <x v="0"/>
    <x v="0"/>
    <x v="2"/>
    <x v="0"/>
    <x v="1"/>
    <n v="78299.680000000008"/>
    <n v="2.4500000000000028"/>
    <x v="2"/>
  </r>
  <r>
    <n v="161909"/>
    <n v="22.16"/>
    <n v="20.85"/>
    <n v="1290"/>
    <x v="0"/>
    <x v="2"/>
    <x v="1"/>
    <x v="0"/>
    <x v="1"/>
    <x v="0"/>
    <n v="28586.400000000001"/>
    <n v="1.3099999999999987"/>
    <x v="2"/>
  </r>
  <r>
    <n v="129152"/>
    <n v="48.51"/>
    <n v="47.56"/>
    <n v="2356"/>
    <x v="1"/>
    <x v="1"/>
    <x v="0"/>
    <x v="1"/>
    <x v="1"/>
    <x v="0"/>
    <n v="114289.56"/>
    <n v="0.94999999999999574"/>
    <x v="0"/>
  </r>
  <r>
    <n v="183243"/>
    <n v="39.32"/>
    <n v="37.119999999999997"/>
    <n v="1524"/>
    <x v="1"/>
    <x v="0"/>
    <x v="1"/>
    <x v="2"/>
    <x v="2"/>
    <x v="0"/>
    <n v="59923.68"/>
    <n v="2.2000000000000028"/>
    <x v="2"/>
  </r>
  <r>
    <n v="198248"/>
    <n v="27.81"/>
    <n v="23.4"/>
    <n v="1644"/>
    <x v="2"/>
    <x v="1"/>
    <x v="1"/>
    <x v="2"/>
    <x v="0"/>
    <x v="0"/>
    <n v="45719.64"/>
    <n v="4.41"/>
    <x v="1"/>
  </r>
  <r>
    <n v="191230"/>
    <n v="49.95"/>
    <n v="45.65"/>
    <n v="966"/>
    <x v="2"/>
    <x v="2"/>
    <x v="0"/>
    <x v="1"/>
    <x v="0"/>
    <x v="0"/>
    <n v="48251.700000000004"/>
    <n v="4.3000000000000043"/>
    <x v="1"/>
  </r>
  <r>
    <n v="187234"/>
    <n v="39.270000000000003"/>
    <n v="35.549999999999997"/>
    <n v="2575"/>
    <x v="1"/>
    <x v="3"/>
    <x v="1"/>
    <x v="2"/>
    <x v="0"/>
    <x v="1"/>
    <n v="101120.25000000001"/>
    <n v="3.720000000000006"/>
    <x v="1"/>
  </r>
  <r>
    <n v="148888"/>
    <n v="16.920000000000002"/>
    <n v="14.44"/>
    <n v="2774"/>
    <x v="1"/>
    <x v="0"/>
    <x v="0"/>
    <x v="2"/>
    <x v="0"/>
    <x v="0"/>
    <n v="46936.08"/>
    <n v="2.4800000000000022"/>
    <x v="2"/>
  </r>
  <r>
    <n v="110805"/>
    <n v="35.909999999999997"/>
    <n v="34.74"/>
    <n v="2477"/>
    <x v="0"/>
    <x v="2"/>
    <x v="1"/>
    <x v="2"/>
    <x v="2"/>
    <x v="0"/>
    <n v="88949.069999999992"/>
    <n v="1.1699999999999946"/>
    <x v="2"/>
  </r>
  <r>
    <n v="179801"/>
    <n v="46.81"/>
    <n v="43.04"/>
    <n v="2608"/>
    <x v="1"/>
    <x v="3"/>
    <x v="0"/>
    <x v="2"/>
    <x v="1"/>
    <x v="1"/>
    <n v="122080.48000000001"/>
    <n v="3.7700000000000031"/>
    <x v="1"/>
  </r>
  <r>
    <n v="134927"/>
    <n v="6.1"/>
    <n v="5.37"/>
    <n v="2252"/>
    <x v="2"/>
    <x v="0"/>
    <x v="1"/>
    <x v="0"/>
    <x v="1"/>
    <x v="1"/>
    <n v="13737.199999999999"/>
    <n v="0.72999999999999954"/>
    <x v="0"/>
  </r>
  <r>
    <n v="123150"/>
    <n v="37.03"/>
    <n v="34.9"/>
    <n v="2074"/>
    <x v="0"/>
    <x v="1"/>
    <x v="1"/>
    <x v="1"/>
    <x v="1"/>
    <x v="0"/>
    <n v="76800.22"/>
    <n v="2.1300000000000026"/>
    <x v="2"/>
  </r>
  <r>
    <n v="159145"/>
    <n v="19.010000000000002"/>
    <n v="18.27"/>
    <n v="2579"/>
    <x v="2"/>
    <x v="1"/>
    <x v="1"/>
    <x v="1"/>
    <x v="1"/>
    <x v="0"/>
    <n v="49026.79"/>
    <n v="0.74000000000000199"/>
    <x v="0"/>
  </r>
  <r>
    <n v="172364"/>
    <n v="12.3"/>
    <n v="10.3"/>
    <n v="2931"/>
    <x v="2"/>
    <x v="3"/>
    <x v="1"/>
    <x v="0"/>
    <x v="0"/>
    <x v="0"/>
    <n v="36051.300000000003"/>
    <n v="2"/>
    <x v="2"/>
  </r>
  <r>
    <n v="178281"/>
    <n v="11.64"/>
    <n v="7.89"/>
    <n v="1145"/>
    <x v="1"/>
    <x v="3"/>
    <x v="0"/>
    <x v="1"/>
    <x v="1"/>
    <x v="1"/>
    <n v="13327.800000000001"/>
    <n v="3.7500000000000009"/>
    <x v="1"/>
  </r>
  <r>
    <n v="194339"/>
    <n v="18.2"/>
    <n v="16.18"/>
    <n v="1792"/>
    <x v="1"/>
    <x v="1"/>
    <x v="0"/>
    <x v="1"/>
    <x v="0"/>
    <x v="0"/>
    <n v="32614.399999999998"/>
    <n v="2.0199999999999996"/>
    <x v="2"/>
  </r>
  <r>
    <n v="174412"/>
    <n v="23.93"/>
    <n v="19.71"/>
    <n v="1796"/>
    <x v="1"/>
    <x v="2"/>
    <x v="0"/>
    <x v="0"/>
    <x v="1"/>
    <x v="1"/>
    <n v="42978.28"/>
    <n v="4.2199999999999989"/>
    <x v="1"/>
  </r>
  <r>
    <n v="114877"/>
    <n v="21.76"/>
    <n v="21.09"/>
    <n v="1860"/>
    <x v="0"/>
    <x v="3"/>
    <x v="0"/>
    <x v="0"/>
    <x v="0"/>
    <x v="0"/>
    <n v="40473.600000000006"/>
    <n v="0.67000000000000171"/>
    <x v="0"/>
  </r>
  <r>
    <n v="140727"/>
    <n v="15.89"/>
    <n v="12.07"/>
    <n v="1002"/>
    <x v="2"/>
    <x v="0"/>
    <x v="1"/>
    <x v="1"/>
    <x v="0"/>
    <x v="1"/>
    <n v="15921.78"/>
    <n v="3.8200000000000003"/>
    <x v="1"/>
  </r>
  <r>
    <n v="133109"/>
    <n v="36.130000000000003"/>
    <n v="31.33"/>
    <n v="2063"/>
    <x v="2"/>
    <x v="0"/>
    <x v="0"/>
    <x v="2"/>
    <x v="0"/>
    <x v="1"/>
    <n v="74536.19"/>
    <n v="4.8000000000000043"/>
    <x v="1"/>
  </r>
  <r>
    <n v="127296"/>
    <n v="34.020000000000003"/>
    <n v="32.31"/>
    <n v="1165"/>
    <x v="1"/>
    <x v="0"/>
    <x v="0"/>
    <x v="0"/>
    <x v="2"/>
    <x v="0"/>
    <n v="39633.300000000003"/>
    <n v="1.7100000000000009"/>
    <x v="2"/>
  </r>
  <r>
    <n v="133757"/>
    <n v="7.38"/>
    <n v="3.97"/>
    <n v="2071"/>
    <x v="2"/>
    <x v="0"/>
    <x v="1"/>
    <x v="0"/>
    <x v="1"/>
    <x v="0"/>
    <n v="15283.98"/>
    <n v="3.4099999999999997"/>
    <x v="2"/>
  </r>
  <r>
    <n v="111760"/>
    <n v="19.3"/>
    <n v="17.41"/>
    <n v="1474"/>
    <x v="1"/>
    <x v="3"/>
    <x v="0"/>
    <x v="1"/>
    <x v="0"/>
    <x v="0"/>
    <n v="28448.2"/>
    <n v="1.8900000000000006"/>
    <x v="2"/>
  </r>
  <r>
    <n v="198375"/>
    <n v="7.1"/>
    <n v="6.84"/>
    <n v="2202"/>
    <x v="1"/>
    <x v="1"/>
    <x v="0"/>
    <x v="1"/>
    <x v="0"/>
    <x v="0"/>
    <n v="15634.199999999999"/>
    <n v="0.25999999999999979"/>
    <x v="0"/>
  </r>
  <r>
    <n v="168837"/>
    <n v="43.43"/>
    <n v="38.54"/>
    <n v="665"/>
    <x v="1"/>
    <x v="0"/>
    <x v="0"/>
    <x v="0"/>
    <x v="1"/>
    <x v="0"/>
    <n v="28880.95"/>
    <n v="4.8900000000000006"/>
    <x v="1"/>
  </r>
  <r>
    <n v="138505"/>
    <n v="46.72"/>
    <n v="42.48"/>
    <n v="2478"/>
    <x v="1"/>
    <x v="1"/>
    <x v="0"/>
    <x v="2"/>
    <x v="2"/>
    <x v="0"/>
    <n v="115772.16"/>
    <n v="4.240000000000002"/>
    <x v="1"/>
  </r>
  <r>
    <n v="116228"/>
    <n v="36.32"/>
    <n v="32.950000000000003"/>
    <n v="647"/>
    <x v="0"/>
    <x v="0"/>
    <x v="1"/>
    <x v="1"/>
    <x v="0"/>
    <x v="0"/>
    <n v="23499.040000000001"/>
    <n v="3.3699999999999974"/>
    <x v="2"/>
  </r>
  <r>
    <n v="167592"/>
    <n v="17.760000000000002"/>
    <n v="16.84"/>
    <n v="707"/>
    <x v="0"/>
    <x v="1"/>
    <x v="1"/>
    <x v="2"/>
    <x v="2"/>
    <x v="0"/>
    <n v="12556.320000000002"/>
    <n v="0.92000000000000171"/>
    <x v="0"/>
  </r>
  <r>
    <n v="133100"/>
    <n v="47.78"/>
    <n v="43.18"/>
    <n v="2729"/>
    <x v="0"/>
    <x v="0"/>
    <x v="1"/>
    <x v="1"/>
    <x v="0"/>
    <x v="0"/>
    <n v="130391.62000000001"/>
    <n v="4.6000000000000014"/>
    <x v="1"/>
  </r>
  <r>
    <n v="119955"/>
    <n v="34.119999999999997"/>
    <n v="32.94"/>
    <n v="1590"/>
    <x v="2"/>
    <x v="2"/>
    <x v="0"/>
    <x v="2"/>
    <x v="1"/>
    <x v="0"/>
    <n v="54250.799999999996"/>
    <n v="1.1799999999999997"/>
    <x v="2"/>
  </r>
  <r>
    <n v="189349"/>
    <n v="45.91"/>
    <n v="42.91"/>
    <n v="1245"/>
    <x v="0"/>
    <x v="1"/>
    <x v="1"/>
    <x v="1"/>
    <x v="1"/>
    <x v="0"/>
    <n v="57157.95"/>
    <n v="3"/>
    <x v="2"/>
  </r>
  <r>
    <n v="127478"/>
    <n v="29.3"/>
    <n v="26.06"/>
    <n v="2498"/>
    <x v="1"/>
    <x v="2"/>
    <x v="0"/>
    <x v="2"/>
    <x v="0"/>
    <x v="1"/>
    <n v="73191.400000000009"/>
    <n v="3.240000000000002"/>
    <x v="2"/>
  </r>
  <r>
    <n v="180661"/>
    <n v="39.96"/>
    <n v="36.049999999999997"/>
    <n v="1041"/>
    <x v="2"/>
    <x v="2"/>
    <x v="0"/>
    <x v="2"/>
    <x v="2"/>
    <x v="1"/>
    <n v="41598.36"/>
    <n v="3.9100000000000037"/>
    <x v="1"/>
  </r>
  <r>
    <n v="186681"/>
    <n v="39.46"/>
    <n v="35.1"/>
    <n v="1717"/>
    <x v="1"/>
    <x v="2"/>
    <x v="0"/>
    <x v="1"/>
    <x v="2"/>
    <x v="1"/>
    <n v="67752.820000000007"/>
    <n v="4.3599999999999994"/>
    <x v="1"/>
  </r>
  <r>
    <n v="133183"/>
    <n v="45.07"/>
    <n v="44.26"/>
    <n v="2859"/>
    <x v="1"/>
    <x v="0"/>
    <x v="1"/>
    <x v="2"/>
    <x v="1"/>
    <x v="1"/>
    <n v="128855.13"/>
    <n v="0.81000000000000227"/>
    <x v="0"/>
  </r>
  <r>
    <n v="173508"/>
    <n v="13.67"/>
    <n v="13.18"/>
    <n v="1658"/>
    <x v="2"/>
    <x v="0"/>
    <x v="1"/>
    <x v="0"/>
    <x v="2"/>
    <x v="0"/>
    <n v="22664.86"/>
    <n v="0.49000000000000021"/>
    <x v="0"/>
  </r>
  <r>
    <n v="187930"/>
    <n v="19.95"/>
    <n v="19.190000000000001"/>
    <n v="706"/>
    <x v="0"/>
    <x v="3"/>
    <x v="0"/>
    <x v="1"/>
    <x v="1"/>
    <x v="1"/>
    <n v="14084.699999999999"/>
    <n v="0.75999999999999801"/>
    <x v="0"/>
  </r>
  <r>
    <n v="124088"/>
    <n v="48.71"/>
    <n v="46.44"/>
    <n v="2065"/>
    <x v="2"/>
    <x v="2"/>
    <x v="1"/>
    <x v="1"/>
    <x v="1"/>
    <x v="1"/>
    <n v="100586.15000000001"/>
    <n v="2.2700000000000031"/>
    <x v="2"/>
  </r>
  <r>
    <n v="190238"/>
    <n v="34.67"/>
    <n v="32.6"/>
    <n v="1917"/>
    <x v="2"/>
    <x v="1"/>
    <x v="0"/>
    <x v="2"/>
    <x v="0"/>
    <x v="1"/>
    <n v="66462.39"/>
    <n v="2.0700000000000003"/>
    <x v="2"/>
  </r>
  <r>
    <n v="151925"/>
    <n v="47.63"/>
    <n v="42.99"/>
    <n v="2179"/>
    <x v="0"/>
    <x v="1"/>
    <x v="1"/>
    <x v="1"/>
    <x v="2"/>
    <x v="1"/>
    <n v="103785.77"/>
    <n v="4.6400000000000006"/>
    <x v="1"/>
  </r>
  <r>
    <n v="163234"/>
    <n v="12.03"/>
    <n v="7.97"/>
    <n v="1633"/>
    <x v="0"/>
    <x v="2"/>
    <x v="0"/>
    <x v="2"/>
    <x v="0"/>
    <x v="0"/>
    <n v="19644.989999999998"/>
    <n v="4.0599999999999996"/>
    <x v="1"/>
  </r>
  <r>
    <n v="135610"/>
    <n v="36.04"/>
    <n v="35.590000000000003"/>
    <n v="1513"/>
    <x v="2"/>
    <x v="3"/>
    <x v="1"/>
    <x v="0"/>
    <x v="1"/>
    <x v="1"/>
    <n v="54528.52"/>
    <n v="0.44999999999999574"/>
    <x v="0"/>
  </r>
  <r>
    <n v="117065"/>
    <n v="47.39"/>
    <n v="47.31"/>
    <n v="758"/>
    <x v="2"/>
    <x v="1"/>
    <x v="1"/>
    <x v="0"/>
    <x v="1"/>
    <x v="1"/>
    <n v="35921.620000000003"/>
    <n v="7.9999999999998295E-2"/>
    <x v="0"/>
  </r>
  <r>
    <n v="149315"/>
    <n v="24.71"/>
    <n v="24.08"/>
    <n v="718"/>
    <x v="1"/>
    <x v="0"/>
    <x v="1"/>
    <x v="1"/>
    <x v="1"/>
    <x v="0"/>
    <n v="17741.78"/>
    <n v="0.63000000000000256"/>
    <x v="0"/>
  </r>
  <r>
    <n v="149510"/>
    <n v="36.18"/>
    <n v="34.020000000000003"/>
    <n v="1412"/>
    <x v="2"/>
    <x v="2"/>
    <x v="0"/>
    <x v="0"/>
    <x v="0"/>
    <x v="1"/>
    <n v="51086.159999999996"/>
    <n v="2.1599999999999966"/>
    <x v="2"/>
  </r>
  <r>
    <n v="137990"/>
    <n v="12.01"/>
    <n v="10.23"/>
    <n v="2929"/>
    <x v="2"/>
    <x v="1"/>
    <x v="0"/>
    <x v="0"/>
    <x v="0"/>
    <x v="0"/>
    <n v="35177.29"/>
    <n v="1.7799999999999994"/>
    <x v="2"/>
  </r>
  <r>
    <n v="154016"/>
    <n v="46.04"/>
    <n v="42.05"/>
    <n v="2366"/>
    <x v="2"/>
    <x v="1"/>
    <x v="1"/>
    <x v="1"/>
    <x v="2"/>
    <x v="1"/>
    <n v="108930.64"/>
    <n v="3.990000000000002"/>
    <x v="1"/>
  </r>
  <r>
    <n v="117751"/>
    <n v="10"/>
    <n v="5.63"/>
    <n v="2749"/>
    <x v="0"/>
    <x v="1"/>
    <x v="0"/>
    <x v="0"/>
    <x v="1"/>
    <x v="0"/>
    <n v="27490"/>
    <n v="4.37"/>
    <x v="1"/>
  </r>
  <r>
    <n v="182362"/>
    <n v="14.1"/>
    <n v="13.51"/>
    <n v="2019"/>
    <x v="1"/>
    <x v="0"/>
    <x v="0"/>
    <x v="2"/>
    <x v="1"/>
    <x v="0"/>
    <n v="28467.899999999998"/>
    <n v="0.58999999999999986"/>
    <x v="0"/>
  </r>
  <r>
    <n v="117725"/>
    <n v="40.15"/>
    <n v="35.86"/>
    <n v="1506"/>
    <x v="1"/>
    <x v="1"/>
    <x v="0"/>
    <x v="0"/>
    <x v="2"/>
    <x v="1"/>
    <n v="60465.9"/>
    <n v="4.2899999999999991"/>
    <x v="1"/>
  </r>
  <r>
    <n v="145289"/>
    <n v="30.65"/>
    <n v="30.08"/>
    <n v="1012"/>
    <x v="2"/>
    <x v="0"/>
    <x v="0"/>
    <x v="1"/>
    <x v="0"/>
    <x v="0"/>
    <n v="31017.8"/>
    <n v="0.57000000000000028"/>
    <x v="0"/>
  </r>
  <r>
    <n v="173576"/>
    <n v="46.74"/>
    <n v="46.32"/>
    <n v="1838"/>
    <x v="0"/>
    <x v="3"/>
    <x v="1"/>
    <x v="1"/>
    <x v="1"/>
    <x v="0"/>
    <n v="85908.12000000001"/>
    <n v="0.42000000000000171"/>
    <x v="0"/>
  </r>
  <r>
    <n v="175059"/>
    <n v="19.16"/>
    <n v="18.62"/>
    <n v="2170"/>
    <x v="2"/>
    <x v="1"/>
    <x v="1"/>
    <x v="0"/>
    <x v="2"/>
    <x v="0"/>
    <n v="41577.199999999997"/>
    <n v="0.53999999999999915"/>
    <x v="0"/>
  </r>
  <r>
    <n v="199368"/>
    <n v="31.93"/>
    <n v="27.22"/>
    <n v="1061"/>
    <x v="1"/>
    <x v="0"/>
    <x v="0"/>
    <x v="2"/>
    <x v="0"/>
    <x v="1"/>
    <n v="33877.730000000003"/>
    <n v="4.7100000000000009"/>
    <x v="1"/>
  </r>
  <r>
    <n v="162883"/>
    <n v="18.3"/>
    <n v="14.19"/>
    <n v="786"/>
    <x v="1"/>
    <x v="1"/>
    <x v="1"/>
    <x v="2"/>
    <x v="2"/>
    <x v="0"/>
    <n v="14383.800000000001"/>
    <n v="4.1100000000000012"/>
    <x v="1"/>
  </r>
  <r>
    <n v="135490"/>
    <n v="18.72"/>
    <n v="17.29"/>
    <n v="1094"/>
    <x v="0"/>
    <x v="0"/>
    <x v="0"/>
    <x v="2"/>
    <x v="0"/>
    <x v="0"/>
    <n v="20479.68"/>
    <n v="1.4299999999999997"/>
    <x v="2"/>
  </r>
  <r>
    <n v="125408"/>
    <n v="21.79"/>
    <n v="18.920000000000002"/>
    <n v="2220"/>
    <x v="2"/>
    <x v="3"/>
    <x v="1"/>
    <x v="1"/>
    <x v="0"/>
    <x v="1"/>
    <n v="48373.799999999996"/>
    <n v="2.8699999999999974"/>
    <x v="2"/>
  </r>
  <r>
    <n v="134763"/>
    <n v="18.75"/>
    <n v="17.420000000000002"/>
    <n v="2048"/>
    <x v="1"/>
    <x v="3"/>
    <x v="0"/>
    <x v="2"/>
    <x v="0"/>
    <x v="1"/>
    <n v="38400"/>
    <n v="1.3299999999999983"/>
    <x v="2"/>
  </r>
  <r>
    <n v="143231"/>
    <n v="44.2"/>
    <n v="42.72"/>
    <n v="2578"/>
    <x v="1"/>
    <x v="0"/>
    <x v="0"/>
    <x v="0"/>
    <x v="2"/>
    <x v="0"/>
    <n v="113947.6"/>
    <n v="1.480000000000004"/>
    <x v="2"/>
  </r>
  <r>
    <n v="125409"/>
    <n v="42.55"/>
    <n v="40.35"/>
    <n v="2040"/>
    <x v="2"/>
    <x v="3"/>
    <x v="1"/>
    <x v="1"/>
    <x v="0"/>
    <x v="0"/>
    <n v="86802"/>
    <n v="2.1999999999999957"/>
    <x v="2"/>
  </r>
  <r>
    <n v="183074"/>
    <n v="34.15"/>
    <n v="30.46"/>
    <n v="2791"/>
    <x v="1"/>
    <x v="3"/>
    <x v="0"/>
    <x v="0"/>
    <x v="0"/>
    <x v="0"/>
    <n v="95312.65"/>
    <n v="3.6899999999999977"/>
    <x v="2"/>
  </r>
  <r>
    <n v="147947"/>
    <n v="19.239999999999998"/>
    <n v="15.64"/>
    <n v="1249"/>
    <x v="2"/>
    <x v="2"/>
    <x v="1"/>
    <x v="0"/>
    <x v="0"/>
    <x v="1"/>
    <n v="24030.76"/>
    <n v="3.5999999999999979"/>
    <x v="2"/>
  </r>
  <r>
    <n v="174171"/>
    <n v="8.01"/>
    <n v="5.34"/>
    <n v="2273"/>
    <x v="0"/>
    <x v="1"/>
    <x v="1"/>
    <x v="2"/>
    <x v="2"/>
    <x v="1"/>
    <n v="18206.73"/>
    <n v="2.67"/>
    <x v="2"/>
  </r>
  <r>
    <n v="183064"/>
    <n v="19.25"/>
    <n v="17.13"/>
    <n v="1773"/>
    <x v="1"/>
    <x v="2"/>
    <x v="1"/>
    <x v="2"/>
    <x v="1"/>
    <x v="0"/>
    <n v="34130.25"/>
    <n v="2.120000000000001"/>
    <x v="2"/>
  </r>
  <r>
    <n v="177131"/>
    <n v="47.16"/>
    <n v="43.78"/>
    <n v="1733"/>
    <x v="2"/>
    <x v="0"/>
    <x v="1"/>
    <x v="0"/>
    <x v="2"/>
    <x v="1"/>
    <n v="81728.28"/>
    <n v="3.3799999999999955"/>
    <x v="2"/>
  </r>
  <r>
    <n v="128179"/>
    <n v="38.75"/>
    <n v="35.22"/>
    <n v="2060"/>
    <x v="2"/>
    <x v="1"/>
    <x v="1"/>
    <x v="1"/>
    <x v="1"/>
    <x v="0"/>
    <n v="79825"/>
    <n v="3.5300000000000011"/>
    <x v="2"/>
  </r>
  <r>
    <n v="152723"/>
    <n v="44.16"/>
    <n v="42.34"/>
    <n v="2849"/>
    <x v="2"/>
    <x v="1"/>
    <x v="0"/>
    <x v="0"/>
    <x v="2"/>
    <x v="1"/>
    <n v="125811.84"/>
    <n v="1.8199999999999932"/>
    <x v="2"/>
  </r>
  <r>
    <n v="123824"/>
    <n v="32.35"/>
    <n v="28.97"/>
    <n v="2277"/>
    <x v="1"/>
    <x v="0"/>
    <x v="1"/>
    <x v="0"/>
    <x v="1"/>
    <x v="0"/>
    <n v="73660.95"/>
    <n v="3.3800000000000026"/>
    <x v="2"/>
  </r>
  <r>
    <n v="166345"/>
    <n v="40.770000000000003"/>
    <n v="39.729999999999997"/>
    <n v="1135"/>
    <x v="1"/>
    <x v="1"/>
    <x v="0"/>
    <x v="0"/>
    <x v="1"/>
    <x v="1"/>
    <n v="46273.950000000004"/>
    <n v="1.0400000000000063"/>
    <x v="0"/>
  </r>
  <r>
    <n v="199279"/>
    <n v="18.36"/>
    <n v="15.23"/>
    <n v="1770"/>
    <x v="1"/>
    <x v="1"/>
    <x v="0"/>
    <x v="0"/>
    <x v="1"/>
    <x v="0"/>
    <n v="32497.200000000001"/>
    <n v="3.129999999999999"/>
    <x v="2"/>
  </r>
  <r>
    <n v="167981"/>
    <n v="37.4"/>
    <n v="37.29"/>
    <n v="730"/>
    <x v="2"/>
    <x v="3"/>
    <x v="0"/>
    <x v="1"/>
    <x v="0"/>
    <x v="0"/>
    <n v="27302"/>
    <n v="0.10999999999999943"/>
    <x v="0"/>
  </r>
  <r>
    <n v="146839"/>
    <n v="10.039999999999999"/>
    <n v="7.54"/>
    <n v="1525"/>
    <x v="0"/>
    <x v="3"/>
    <x v="0"/>
    <x v="0"/>
    <x v="2"/>
    <x v="0"/>
    <n v="15310.999999999998"/>
    <n v="2.4999999999999991"/>
    <x v="2"/>
  </r>
  <r>
    <n v="187180"/>
    <n v="47.5"/>
    <n v="46.74"/>
    <n v="647"/>
    <x v="2"/>
    <x v="0"/>
    <x v="0"/>
    <x v="2"/>
    <x v="1"/>
    <x v="1"/>
    <n v="30732.5"/>
    <n v="0.75999999999999801"/>
    <x v="0"/>
  </r>
  <r>
    <n v="167640"/>
    <n v="46.56"/>
    <n v="43.71"/>
    <n v="1017"/>
    <x v="2"/>
    <x v="0"/>
    <x v="1"/>
    <x v="1"/>
    <x v="1"/>
    <x v="1"/>
    <n v="47351.520000000004"/>
    <n v="2.8500000000000014"/>
    <x v="2"/>
  </r>
  <r>
    <n v="165158"/>
    <n v="40.44"/>
    <n v="37.89"/>
    <n v="1622"/>
    <x v="1"/>
    <x v="3"/>
    <x v="0"/>
    <x v="2"/>
    <x v="2"/>
    <x v="0"/>
    <n v="65593.679999999993"/>
    <n v="2.5499999999999972"/>
    <x v="2"/>
  </r>
  <r>
    <n v="111521"/>
    <n v="31.98"/>
    <n v="27.82"/>
    <n v="2553"/>
    <x v="2"/>
    <x v="1"/>
    <x v="1"/>
    <x v="2"/>
    <x v="2"/>
    <x v="1"/>
    <n v="81644.94"/>
    <n v="4.16"/>
    <x v="1"/>
  </r>
  <r>
    <n v="120228"/>
    <n v="15.92"/>
    <n v="13.41"/>
    <n v="2347"/>
    <x v="2"/>
    <x v="1"/>
    <x v="0"/>
    <x v="1"/>
    <x v="2"/>
    <x v="0"/>
    <n v="37364.239999999998"/>
    <n v="2.5099999999999998"/>
    <x v="2"/>
  </r>
  <r>
    <n v="133078"/>
    <n v="48.34"/>
    <n v="45.21"/>
    <n v="2535"/>
    <x v="1"/>
    <x v="0"/>
    <x v="0"/>
    <x v="0"/>
    <x v="0"/>
    <x v="1"/>
    <n v="122541.90000000001"/>
    <n v="3.1300000000000026"/>
    <x v="2"/>
  </r>
  <r>
    <n v="137598"/>
    <n v="38.21"/>
    <n v="37.69"/>
    <n v="2839"/>
    <x v="0"/>
    <x v="0"/>
    <x v="0"/>
    <x v="0"/>
    <x v="1"/>
    <x v="1"/>
    <n v="108478.19"/>
    <n v="0.52000000000000313"/>
    <x v="0"/>
  </r>
  <r>
    <n v="138779"/>
    <n v="44.97"/>
    <n v="42.24"/>
    <n v="2801"/>
    <x v="1"/>
    <x v="0"/>
    <x v="1"/>
    <x v="2"/>
    <x v="0"/>
    <x v="1"/>
    <n v="125960.97"/>
    <n v="2.7299999999999969"/>
    <x v="2"/>
  </r>
  <r>
    <n v="198329"/>
    <n v="19.55"/>
    <n v="15.77"/>
    <n v="628"/>
    <x v="1"/>
    <x v="2"/>
    <x v="1"/>
    <x v="2"/>
    <x v="1"/>
    <x v="1"/>
    <n v="12277.4"/>
    <n v="3.7800000000000011"/>
    <x v="1"/>
  </r>
  <r>
    <n v="110295"/>
    <n v="13.1"/>
    <n v="8.4700000000000006"/>
    <n v="1448"/>
    <x v="1"/>
    <x v="2"/>
    <x v="1"/>
    <x v="1"/>
    <x v="1"/>
    <x v="0"/>
    <n v="18968.8"/>
    <n v="4.629999999999999"/>
    <x v="1"/>
  </r>
  <r>
    <n v="196427"/>
    <n v="36.729999999999997"/>
    <n v="31.98"/>
    <n v="1401"/>
    <x v="1"/>
    <x v="0"/>
    <x v="1"/>
    <x v="0"/>
    <x v="1"/>
    <x v="0"/>
    <n v="51458.729999999996"/>
    <n v="4.7499999999999964"/>
    <x v="1"/>
  </r>
  <r>
    <n v="110075"/>
    <n v="42.96"/>
    <n v="41.45"/>
    <n v="2185"/>
    <x v="0"/>
    <x v="3"/>
    <x v="1"/>
    <x v="2"/>
    <x v="1"/>
    <x v="1"/>
    <n v="93867.6"/>
    <n v="1.509999999999998"/>
    <x v="2"/>
  </r>
  <r>
    <n v="132322"/>
    <n v="37.74"/>
    <n v="34.99"/>
    <n v="2135"/>
    <x v="1"/>
    <x v="0"/>
    <x v="1"/>
    <x v="2"/>
    <x v="0"/>
    <x v="0"/>
    <n v="80574.900000000009"/>
    <n v="2.75"/>
    <x v="2"/>
  </r>
  <r>
    <n v="199631"/>
    <n v="14.8"/>
    <n v="14.51"/>
    <n v="1269"/>
    <x v="0"/>
    <x v="0"/>
    <x v="1"/>
    <x v="2"/>
    <x v="1"/>
    <x v="0"/>
    <n v="18781.2"/>
    <n v="0.29000000000000092"/>
    <x v="0"/>
  </r>
  <r>
    <n v="182306"/>
    <n v="5.93"/>
    <n v="5.84"/>
    <n v="2805"/>
    <x v="0"/>
    <x v="1"/>
    <x v="0"/>
    <x v="2"/>
    <x v="2"/>
    <x v="0"/>
    <n v="16633.649999999998"/>
    <n v="8.9999999999999858E-2"/>
    <x v="0"/>
  </r>
  <r>
    <n v="194915"/>
    <n v="23.91"/>
    <n v="21.1"/>
    <n v="1796"/>
    <x v="1"/>
    <x v="1"/>
    <x v="1"/>
    <x v="0"/>
    <x v="2"/>
    <x v="0"/>
    <n v="42942.36"/>
    <n v="2.8099999999999987"/>
    <x v="2"/>
  </r>
  <r>
    <n v="131298"/>
    <n v="41.46"/>
    <n v="37.69"/>
    <n v="2133"/>
    <x v="0"/>
    <x v="3"/>
    <x v="1"/>
    <x v="1"/>
    <x v="1"/>
    <x v="0"/>
    <n v="88434.180000000008"/>
    <n v="3.7700000000000031"/>
    <x v="1"/>
  </r>
  <r>
    <n v="168571"/>
    <n v="10.78"/>
    <n v="6.39"/>
    <n v="1778"/>
    <x v="2"/>
    <x v="1"/>
    <x v="0"/>
    <x v="0"/>
    <x v="1"/>
    <x v="0"/>
    <n v="19166.84"/>
    <n v="4.3899999999999997"/>
    <x v="1"/>
  </r>
  <r>
    <n v="154224"/>
    <n v="22.69"/>
    <n v="21.79"/>
    <n v="2474"/>
    <x v="0"/>
    <x v="0"/>
    <x v="1"/>
    <x v="1"/>
    <x v="2"/>
    <x v="0"/>
    <n v="56135.060000000005"/>
    <n v="0.90000000000000213"/>
    <x v="0"/>
  </r>
  <r>
    <n v="171061"/>
    <n v="23.25"/>
    <n v="22.71"/>
    <n v="2032"/>
    <x v="1"/>
    <x v="3"/>
    <x v="0"/>
    <x v="0"/>
    <x v="1"/>
    <x v="1"/>
    <n v="47244"/>
    <n v="0.53999999999999915"/>
    <x v="0"/>
  </r>
  <r>
    <n v="119049"/>
    <n v="16.239999999999998"/>
    <n v="11.33"/>
    <n v="1659"/>
    <x v="1"/>
    <x v="1"/>
    <x v="0"/>
    <x v="0"/>
    <x v="0"/>
    <x v="1"/>
    <n v="26942.159999999996"/>
    <n v="4.9099999999999984"/>
    <x v="1"/>
  </r>
  <r>
    <n v="158781"/>
    <n v="19.91"/>
    <n v="16.77"/>
    <n v="2443"/>
    <x v="0"/>
    <x v="2"/>
    <x v="1"/>
    <x v="1"/>
    <x v="0"/>
    <x v="1"/>
    <n v="48640.13"/>
    <n v="3.1400000000000006"/>
    <x v="2"/>
  </r>
  <r>
    <n v="151438"/>
    <n v="5.41"/>
    <n v="2.73"/>
    <n v="1137"/>
    <x v="0"/>
    <x v="1"/>
    <x v="0"/>
    <x v="0"/>
    <x v="2"/>
    <x v="1"/>
    <n v="6151.17"/>
    <n v="2.68"/>
    <x v="2"/>
  </r>
  <r>
    <n v="152871"/>
    <n v="13.39"/>
    <n v="12.76"/>
    <n v="1847"/>
    <x v="2"/>
    <x v="0"/>
    <x v="0"/>
    <x v="1"/>
    <x v="0"/>
    <x v="1"/>
    <n v="24731.33"/>
    <n v="0.63000000000000078"/>
    <x v="0"/>
  </r>
  <r>
    <n v="126806"/>
    <n v="40.270000000000003"/>
    <n v="37.159999999999997"/>
    <n v="2404"/>
    <x v="2"/>
    <x v="2"/>
    <x v="1"/>
    <x v="1"/>
    <x v="0"/>
    <x v="1"/>
    <n v="96809.08"/>
    <n v="3.1100000000000065"/>
    <x v="2"/>
  </r>
  <r>
    <n v="134104"/>
    <n v="23.84"/>
    <n v="21.61"/>
    <n v="1466"/>
    <x v="0"/>
    <x v="3"/>
    <x v="0"/>
    <x v="1"/>
    <x v="1"/>
    <x v="1"/>
    <n v="34949.440000000002"/>
    <n v="2.2300000000000004"/>
    <x v="2"/>
  </r>
  <r>
    <n v="120266"/>
    <n v="20.04"/>
    <n v="16.05"/>
    <n v="2328"/>
    <x v="2"/>
    <x v="0"/>
    <x v="0"/>
    <x v="2"/>
    <x v="1"/>
    <x v="0"/>
    <n v="46653.119999999995"/>
    <n v="3.9899999999999984"/>
    <x v="1"/>
  </r>
  <r>
    <n v="173550"/>
    <n v="33"/>
    <n v="29.46"/>
    <n v="1431"/>
    <x v="0"/>
    <x v="0"/>
    <x v="0"/>
    <x v="1"/>
    <x v="1"/>
    <x v="1"/>
    <n v="47223"/>
    <n v="3.5399999999999991"/>
    <x v="2"/>
  </r>
  <r>
    <n v="175927"/>
    <n v="22.25"/>
    <n v="21.68"/>
    <n v="1506"/>
    <x v="0"/>
    <x v="2"/>
    <x v="0"/>
    <x v="1"/>
    <x v="0"/>
    <x v="1"/>
    <n v="33508.5"/>
    <n v="0.57000000000000028"/>
    <x v="0"/>
  </r>
  <r>
    <n v="154278"/>
    <n v="17.07"/>
    <n v="16.29"/>
    <n v="2749"/>
    <x v="0"/>
    <x v="1"/>
    <x v="0"/>
    <x v="1"/>
    <x v="0"/>
    <x v="1"/>
    <n v="46925.43"/>
    <n v="0.78000000000000114"/>
    <x v="0"/>
  </r>
  <r>
    <n v="183537"/>
    <n v="40.64"/>
    <n v="36.61"/>
    <n v="2434"/>
    <x v="1"/>
    <x v="3"/>
    <x v="1"/>
    <x v="2"/>
    <x v="1"/>
    <x v="1"/>
    <n v="98917.759999999995"/>
    <n v="4.0300000000000011"/>
    <x v="1"/>
  </r>
  <r>
    <n v="150424"/>
    <n v="25.47"/>
    <n v="25.19"/>
    <n v="2067"/>
    <x v="0"/>
    <x v="2"/>
    <x v="0"/>
    <x v="2"/>
    <x v="2"/>
    <x v="1"/>
    <n v="52646.49"/>
    <n v="0.27999999999999758"/>
    <x v="0"/>
  </r>
  <r>
    <n v="183825"/>
    <n v="42.7"/>
    <n v="40.51"/>
    <n v="2989"/>
    <x v="1"/>
    <x v="0"/>
    <x v="1"/>
    <x v="0"/>
    <x v="0"/>
    <x v="1"/>
    <n v="127630.3"/>
    <n v="2.1900000000000048"/>
    <x v="2"/>
  </r>
  <r>
    <n v="144012"/>
    <n v="33.28"/>
    <n v="31.57"/>
    <n v="743"/>
    <x v="1"/>
    <x v="0"/>
    <x v="1"/>
    <x v="2"/>
    <x v="1"/>
    <x v="0"/>
    <n v="24727.040000000001"/>
    <n v="1.7100000000000009"/>
    <x v="2"/>
  </r>
  <r>
    <n v="147051"/>
    <n v="31.59"/>
    <n v="28.91"/>
    <n v="2325"/>
    <x v="1"/>
    <x v="2"/>
    <x v="0"/>
    <x v="2"/>
    <x v="1"/>
    <x v="0"/>
    <n v="73446.75"/>
    <n v="2.6799999999999997"/>
    <x v="2"/>
  </r>
  <r>
    <n v="185800"/>
    <n v="24.2"/>
    <n v="21.33"/>
    <n v="1841"/>
    <x v="0"/>
    <x v="3"/>
    <x v="0"/>
    <x v="1"/>
    <x v="1"/>
    <x v="1"/>
    <n v="44552.2"/>
    <n v="2.870000000000001"/>
    <x v="2"/>
  </r>
  <r>
    <n v="197524"/>
    <n v="31.52"/>
    <n v="28.79"/>
    <n v="2231"/>
    <x v="1"/>
    <x v="1"/>
    <x v="1"/>
    <x v="0"/>
    <x v="0"/>
    <x v="1"/>
    <n v="70321.119999999995"/>
    <n v="2.7300000000000004"/>
    <x v="2"/>
  </r>
  <r>
    <n v="148823"/>
    <n v="12.31"/>
    <n v="8.65"/>
    <n v="2211"/>
    <x v="1"/>
    <x v="1"/>
    <x v="0"/>
    <x v="0"/>
    <x v="0"/>
    <x v="1"/>
    <n v="27217.41"/>
    <n v="3.66"/>
    <x v="2"/>
  </r>
  <r>
    <n v="114550"/>
    <n v="28.13"/>
    <n v="25.72"/>
    <n v="2114"/>
    <x v="1"/>
    <x v="2"/>
    <x v="0"/>
    <x v="1"/>
    <x v="0"/>
    <x v="0"/>
    <n v="59466.82"/>
    <n v="2.41"/>
    <x v="2"/>
  </r>
  <r>
    <n v="125398"/>
    <n v="48.12"/>
    <n v="43.56"/>
    <n v="1350"/>
    <x v="2"/>
    <x v="3"/>
    <x v="1"/>
    <x v="0"/>
    <x v="1"/>
    <x v="1"/>
    <n v="64962"/>
    <n v="4.5599999999999952"/>
    <x v="1"/>
  </r>
  <r>
    <n v="123985"/>
    <n v="9.52"/>
    <n v="6.43"/>
    <n v="2240"/>
    <x v="2"/>
    <x v="1"/>
    <x v="0"/>
    <x v="1"/>
    <x v="1"/>
    <x v="0"/>
    <n v="21324.799999999999"/>
    <n v="3.09"/>
    <x v="2"/>
  </r>
  <r>
    <n v="186638"/>
    <n v="18.78"/>
    <n v="17.11"/>
    <n v="1296"/>
    <x v="2"/>
    <x v="3"/>
    <x v="1"/>
    <x v="1"/>
    <x v="1"/>
    <x v="0"/>
    <n v="24338.880000000001"/>
    <n v="1.6700000000000017"/>
    <x v="2"/>
  </r>
  <r>
    <n v="167281"/>
    <n v="19.489999999999998"/>
    <n v="16.8"/>
    <n v="892"/>
    <x v="2"/>
    <x v="0"/>
    <x v="1"/>
    <x v="1"/>
    <x v="1"/>
    <x v="1"/>
    <n v="17385.079999999998"/>
    <n v="2.6899999999999977"/>
    <x v="2"/>
  </r>
  <r>
    <n v="118578"/>
    <n v="9.07"/>
    <n v="6.59"/>
    <n v="1678"/>
    <x v="2"/>
    <x v="1"/>
    <x v="0"/>
    <x v="1"/>
    <x v="0"/>
    <x v="1"/>
    <n v="15219.460000000001"/>
    <n v="2.4800000000000004"/>
    <x v="2"/>
  </r>
  <r>
    <n v="174041"/>
    <n v="5.0599999999999996"/>
    <n v="4.51"/>
    <n v="2016"/>
    <x v="0"/>
    <x v="1"/>
    <x v="0"/>
    <x v="1"/>
    <x v="1"/>
    <x v="0"/>
    <n v="10200.959999999999"/>
    <n v="0.54999999999999982"/>
    <x v="0"/>
  </r>
  <r>
    <n v="127644"/>
    <n v="36.479999999999997"/>
    <n v="36.14"/>
    <n v="1498"/>
    <x v="1"/>
    <x v="2"/>
    <x v="0"/>
    <x v="2"/>
    <x v="0"/>
    <x v="1"/>
    <n v="54647.039999999994"/>
    <n v="0.33999999999999631"/>
    <x v="0"/>
  </r>
  <r>
    <n v="132007"/>
    <n v="38.630000000000003"/>
    <n v="35.08"/>
    <n v="2491"/>
    <x v="1"/>
    <x v="0"/>
    <x v="0"/>
    <x v="0"/>
    <x v="0"/>
    <x v="1"/>
    <n v="96227.33"/>
    <n v="3.5500000000000043"/>
    <x v="2"/>
  </r>
  <r>
    <n v="147998"/>
    <n v="36.43"/>
    <n v="34.909999999999997"/>
    <n v="2556"/>
    <x v="1"/>
    <x v="2"/>
    <x v="0"/>
    <x v="0"/>
    <x v="0"/>
    <x v="0"/>
    <n v="93115.08"/>
    <n v="1.5200000000000031"/>
    <x v="2"/>
  </r>
  <r>
    <n v="176666"/>
    <n v="43.93"/>
    <n v="41.71"/>
    <n v="2852"/>
    <x v="1"/>
    <x v="0"/>
    <x v="1"/>
    <x v="0"/>
    <x v="2"/>
    <x v="0"/>
    <n v="125288.36"/>
    <n v="2.2199999999999989"/>
    <x v="2"/>
  </r>
  <r>
    <n v="193686"/>
    <n v="25.07"/>
    <n v="21.6"/>
    <n v="1899"/>
    <x v="0"/>
    <x v="3"/>
    <x v="1"/>
    <x v="0"/>
    <x v="2"/>
    <x v="0"/>
    <n v="47607.93"/>
    <n v="3.4699999999999989"/>
    <x v="2"/>
  </r>
  <r>
    <n v="163610"/>
    <n v="39.369999999999997"/>
    <n v="36.119999999999997"/>
    <n v="2466"/>
    <x v="2"/>
    <x v="0"/>
    <x v="1"/>
    <x v="2"/>
    <x v="2"/>
    <x v="0"/>
    <n v="97086.42"/>
    <n v="3.25"/>
    <x v="2"/>
  </r>
  <r>
    <n v="170364"/>
    <n v="7.88"/>
    <n v="6.55"/>
    <n v="818"/>
    <x v="0"/>
    <x v="3"/>
    <x v="0"/>
    <x v="0"/>
    <x v="2"/>
    <x v="0"/>
    <n v="6445.84"/>
    <n v="1.33"/>
    <x v="2"/>
  </r>
  <r>
    <n v="167599"/>
    <n v="13.94"/>
    <n v="11.06"/>
    <n v="1500"/>
    <x v="0"/>
    <x v="2"/>
    <x v="0"/>
    <x v="0"/>
    <x v="0"/>
    <x v="0"/>
    <n v="20910"/>
    <n v="2.879999999999999"/>
    <x v="2"/>
  </r>
  <r>
    <n v="166421"/>
    <n v="44.85"/>
    <n v="39.96"/>
    <n v="2878"/>
    <x v="2"/>
    <x v="2"/>
    <x v="1"/>
    <x v="1"/>
    <x v="0"/>
    <x v="0"/>
    <n v="129078.3"/>
    <n v="4.8900000000000006"/>
    <x v="1"/>
  </r>
  <r>
    <n v="129247"/>
    <n v="47.79"/>
    <n v="45.05"/>
    <n v="2386"/>
    <x v="1"/>
    <x v="3"/>
    <x v="1"/>
    <x v="2"/>
    <x v="1"/>
    <x v="0"/>
    <n v="114026.94"/>
    <n v="2.740000000000002"/>
    <x v="2"/>
  </r>
  <r>
    <n v="127314"/>
    <n v="13.34"/>
    <n v="11.51"/>
    <n v="2076"/>
    <x v="0"/>
    <x v="0"/>
    <x v="1"/>
    <x v="1"/>
    <x v="2"/>
    <x v="1"/>
    <n v="27693.84"/>
    <n v="1.83"/>
    <x v="2"/>
  </r>
  <r>
    <n v="111979"/>
    <n v="21.28"/>
    <n v="19.52"/>
    <n v="2734"/>
    <x v="0"/>
    <x v="0"/>
    <x v="0"/>
    <x v="2"/>
    <x v="2"/>
    <x v="0"/>
    <n v="58179.520000000004"/>
    <n v="1.7600000000000016"/>
    <x v="2"/>
  </r>
  <r>
    <n v="120354"/>
    <n v="37.15"/>
    <n v="35.979999999999997"/>
    <n v="2836"/>
    <x v="2"/>
    <x v="1"/>
    <x v="1"/>
    <x v="0"/>
    <x v="2"/>
    <x v="0"/>
    <n v="105357.4"/>
    <n v="1.1700000000000017"/>
    <x v="2"/>
  </r>
  <r>
    <n v="144848"/>
    <n v="18.579999999999998"/>
    <n v="16.190000000000001"/>
    <n v="2193"/>
    <x v="0"/>
    <x v="3"/>
    <x v="0"/>
    <x v="2"/>
    <x v="0"/>
    <x v="0"/>
    <n v="40745.939999999995"/>
    <n v="2.389999999999997"/>
    <x v="2"/>
  </r>
  <r>
    <n v="111957"/>
    <n v="37.86"/>
    <n v="33.729999999999997"/>
    <n v="2164"/>
    <x v="2"/>
    <x v="1"/>
    <x v="1"/>
    <x v="0"/>
    <x v="2"/>
    <x v="0"/>
    <n v="81929.039999999994"/>
    <n v="4.1300000000000026"/>
    <x v="1"/>
  </r>
  <r>
    <n v="160763"/>
    <n v="20.34"/>
    <n v="17.62"/>
    <n v="991"/>
    <x v="2"/>
    <x v="3"/>
    <x v="1"/>
    <x v="2"/>
    <x v="1"/>
    <x v="1"/>
    <n v="20156.939999999999"/>
    <n v="2.7199999999999989"/>
    <x v="2"/>
  </r>
  <r>
    <n v="168270"/>
    <n v="37.619999999999997"/>
    <n v="37.33"/>
    <n v="1525"/>
    <x v="0"/>
    <x v="2"/>
    <x v="1"/>
    <x v="1"/>
    <x v="0"/>
    <x v="1"/>
    <n v="57370.499999999993"/>
    <n v="0.28999999999999915"/>
    <x v="0"/>
  </r>
  <r>
    <n v="195082"/>
    <n v="16.739999999999998"/>
    <n v="14.22"/>
    <n v="923"/>
    <x v="1"/>
    <x v="0"/>
    <x v="0"/>
    <x v="2"/>
    <x v="1"/>
    <x v="0"/>
    <n v="15451.019999999999"/>
    <n v="2.5199999999999978"/>
    <x v="2"/>
  </r>
  <r>
    <n v="110329"/>
    <n v="44.11"/>
    <n v="43.31"/>
    <n v="2397"/>
    <x v="1"/>
    <x v="3"/>
    <x v="0"/>
    <x v="2"/>
    <x v="0"/>
    <x v="1"/>
    <n v="105731.67"/>
    <n v="0.79999999999999716"/>
    <x v="0"/>
  </r>
  <r>
    <n v="147449"/>
    <n v="12.89"/>
    <n v="10.18"/>
    <n v="1191"/>
    <x v="1"/>
    <x v="0"/>
    <x v="0"/>
    <x v="1"/>
    <x v="1"/>
    <x v="0"/>
    <n v="15351.99"/>
    <n v="2.7100000000000009"/>
    <x v="2"/>
  </r>
  <r>
    <n v="193332"/>
    <n v="37.729999999999997"/>
    <n v="36.700000000000003"/>
    <n v="1237"/>
    <x v="1"/>
    <x v="3"/>
    <x v="1"/>
    <x v="0"/>
    <x v="1"/>
    <x v="0"/>
    <n v="46672.009999999995"/>
    <n v="1.029999999999994"/>
    <x v="0"/>
  </r>
  <r>
    <n v="146804"/>
    <n v="14.38"/>
    <n v="11.45"/>
    <n v="1504"/>
    <x v="0"/>
    <x v="0"/>
    <x v="1"/>
    <x v="0"/>
    <x v="2"/>
    <x v="0"/>
    <n v="21627.52"/>
    <n v="2.9300000000000015"/>
    <x v="2"/>
  </r>
  <r>
    <n v="188909"/>
    <n v="16.989999999999998"/>
    <n v="16.98"/>
    <n v="2863"/>
    <x v="0"/>
    <x v="1"/>
    <x v="1"/>
    <x v="0"/>
    <x v="2"/>
    <x v="1"/>
    <n v="48642.369999999995"/>
    <n v="9.9999999999980105E-3"/>
    <x v="0"/>
  </r>
  <r>
    <n v="165910"/>
    <n v="39.26"/>
    <n v="37.799999999999997"/>
    <n v="2760"/>
    <x v="2"/>
    <x v="3"/>
    <x v="1"/>
    <x v="1"/>
    <x v="0"/>
    <x v="0"/>
    <n v="108357.59999999999"/>
    <n v="1.4600000000000009"/>
    <x v="2"/>
  </r>
  <r>
    <n v="136738"/>
    <n v="36.520000000000003"/>
    <n v="31.9"/>
    <n v="542"/>
    <x v="1"/>
    <x v="1"/>
    <x v="0"/>
    <x v="2"/>
    <x v="1"/>
    <x v="1"/>
    <n v="19793.84"/>
    <n v="4.6200000000000045"/>
    <x v="1"/>
  </r>
  <r>
    <n v="144497"/>
    <n v="31.39"/>
    <n v="28.18"/>
    <n v="1105"/>
    <x v="1"/>
    <x v="2"/>
    <x v="1"/>
    <x v="1"/>
    <x v="2"/>
    <x v="1"/>
    <n v="34685.949999999997"/>
    <n v="3.2100000000000009"/>
    <x v="2"/>
  </r>
  <r>
    <n v="135036"/>
    <n v="46.1"/>
    <n v="42.07"/>
    <n v="1435"/>
    <x v="1"/>
    <x v="3"/>
    <x v="1"/>
    <x v="1"/>
    <x v="0"/>
    <x v="0"/>
    <n v="66153.5"/>
    <n v="4.0300000000000011"/>
    <x v="1"/>
  </r>
  <r>
    <n v="166331"/>
    <n v="19.28"/>
    <n v="17.22"/>
    <n v="2877"/>
    <x v="1"/>
    <x v="0"/>
    <x v="1"/>
    <x v="0"/>
    <x v="1"/>
    <x v="1"/>
    <n v="55468.560000000005"/>
    <n v="2.0600000000000023"/>
    <x v="2"/>
  </r>
  <r>
    <n v="139789"/>
    <n v="6.22"/>
    <n v="3.38"/>
    <n v="1094"/>
    <x v="2"/>
    <x v="0"/>
    <x v="0"/>
    <x v="0"/>
    <x v="2"/>
    <x v="1"/>
    <n v="6804.6799999999994"/>
    <n v="2.84"/>
    <x v="2"/>
  </r>
  <r>
    <n v="118569"/>
    <n v="40.06"/>
    <n v="39.409999999999997"/>
    <n v="994"/>
    <x v="0"/>
    <x v="2"/>
    <x v="0"/>
    <x v="0"/>
    <x v="0"/>
    <x v="1"/>
    <n v="39819.64"/>
    <n v="0.65000000000000568"/>
    <x v="0"/>
  </r>
  <r>
    <n v="155848"/>
    <n v="46.91"/>
    <n v="46.85"/>
    <n v="1942"/>
    <x v="0"/>
    <x v="1"/>
    <x v="1"/>
    <x v="1"/>
    <x v="1"/>
    <x v="0"/>
    <n v="91099.219999999987"/>
    <n v="5.9999999999995168E-2"/>
    <x v="0"/>
  </r>
  <r>
    <n v="152563"/>
    <n v="42.42"/>
    <n v="40.6"/>
    <n v="2572"/>
    <x v="1"/>
    <x v="3"/>
    <x v="0"/>
    <x v="2"/>
    <x v="1"/>
    <x v="1"/>
    <n v="109104.24"/>
    <n v="1.8200000000000003"/>
    <x v="2"/>
  </r>
  <r>
    <n v="115153"/>
    <n v="30.55"/>
    <n v="26.84"/>
    <n v="1736"/>
    <x v="0"/>
    <x v="0"/>
    <x v="0"/>
    <x v="0"/>
    <x v="1"/>
    <x v="0"/>
    <n v="53034.8"/>
    <n v="3.7100000000000009"/>
    <x v="1"/>
  </r>
  <r>
    <n v="125938"/>
    <n v="39.07"/>
    <n v="37.81"/>
    <n v="1204"/>
    <x v="2"/>
    <x v="2"/>
    <x v="1"/>
    <x v="0"/>
    <x v="0"/>
    <x v="1"/>
    <n v="47040.28"/>
    <n v="1.259999999999998"/>
    <x v="2"/>
  </r>
  <r>
    <n v="122809"/>
    <n v="47.47"/>
    <n v="43.47"/>
    <n v="1592"/>
    <x v="2"/>
    <x v="2"/>
    <x v="0"/>
    <x v="1"/>
    <x v="0"/>
    <x v="1"/>
    <n v="75572.240000000005"/>
    <n v="4"/>
    <x v="1"/>
  </r>
  <r>
    <n v="181502"/>
    <n v="10.83"/>
    <n v="8.48"/>
    <n v="2591"/>
    <x v="2"/>
    <x v="2"/>
    <x v="1"/>
    <x v="2"/>
    <x v="1"/>
    <x v="0"/>
    <n v="28060.53"/>
    <n v="2.3499999999999996"/>
    <x v="2"/>
  </r>
  <r>
    <n v="182779"/>
    <n v="7.27"/>
    <n v="4.93"/>
    <n v="2097"/>
    <x v="1"/>
    <x v="2"/>
    <x v="1"/>
    <x v="1"/>
    <x v="2"/>
    <x v="1"/>
    <n v="15245.189999999999"/>
    <n v="2.34"/>
    <x v="2"/>
  </r>
  <r>
    <n v="155674"/>
    <n v="16.91"/>
    <n v="14.52"/>
    <n v="897"/>
    <x v="1"/>
    <x v="0"/>
    <x v="0"/>
    <x v="2"/>
    <x v="0"/>
    <x v="0"/>
    <n v="15168.27"/>
    <n v="2.3900000000000006"/>
    <x v="2"/>
  </r>
  <r>
    <n v="182866"/>
    <n v="41.95"/>
    <n v="40.42"/>
    <n v="1552"/>
    <x v="2"/>
    <x v="1"/>
    <x v="0"/>
    <x v="0"/>
    <x v="0"/>
    <x v="1"/>
    <n v="65106.400000000001"/>
    <n v="1.5300000000000011"/>
    <x v="2"/>
  </r>
  <r>
    <n v="148230"/>
    <n v="49.98"/>
    <n v="45.42"/>
    <n v="2494"/>
    <x v="0"/>
    <x v="2"/>
    <x v="1"/>
    <x v="2"/>
    <x v="0"/>
    <x v="0"/>
    <n v="124650.12"/>
    <n v="4.5599999999999952"/>
    <x v="1"/>
  </r>
  <r>
    <n v="126979"/>
    <n v="30.53"/>
    <n v="30.01"/>
    <n v="2141"/>
    <x v="2"/>
    <x v="1"/>
    <x v="0"/>
    <x v="2"/>
    <x v="0"/>
    <x v="0"/>
    <n v="65364.73"/>
    <n v="0.51999999999999957"/>
    <x v="0"/>
  </r>
  <r>
    <n v="135521"/>
    <n v="5.38"/>
    <n v="1.63"/>
    <n v="2835"/>
    <x v="0"/>
    <x v="2"/>
    <x v="0"/>
    <x v="1"/>
    <x v="1"/>
    <x v="1"/>
    <n v="15252.3"/>
    <n v="3.75"/>
    <x v="1"/>
  </r>
  <r>
    <n v="185809"/>
    <n v="47.3"/>
    <n v="46.34"/>
    <n v="622"/>
    <x v="2"/>
    <x v="0"/>
    <x v="0"/>
    <x v="1"/>
    <x v="1"/>
    <x v="0"/>
    <n v="29420.6"/>
    <n v="0.95999999999999375"/>
    <x v="0"/>
  </r>
  <r>
    <n v="171520"/>
    <n v="30.02"/>
    <n v="28.02"/>
    <n v="2901"/>
    <x v="1"/>
    <x v="0"/>
    <x v="1"/>
    <x v="1"/>
    <x v="1"/>
    <x v="1"/>
    <n v="87088.02"/>
    <n v="2"/>
    <x v="2"/>
  </r>
  <r>
    <n v="122926"/>
    <n v="31.05"/>
    <n v="27.1"/>
    <n v="867"/>
    <x v="1"/>
    <x v="2"/>
    <x v="0"/>
    <x v="1"/>
    <x v="2"/>
    <x v="0"/>
    <n v="26920.350000000002"/>
    <n v="3.9499999999999993"/>
    <x v="1"/>
  </r>
  <r>
    <n v="150953"/>
    <n v="48.14"/>
    <n v="47.6"/>
    <n v="2434"/>
    <x v="1"/>
    <x v="2"/>
    <x v="1"/>
    <x v="2"/>
    <x v="2"/>
    <x v="1"/>
    <n v="117172.76"/>
    <n v="0.53999999999999915"/>
    <x v="0"/>
  </r>
  <r>
    <n v="115873"/>
    <n v="43.99"/>
    <n v="39.08"/>
    <n v="2606"/>
    <x v="2"/>
    <x v="1"/>
    <x v="1"/>
    <x v="1"/>
    <x v="1"/>
    <x v="1"/>
    <n v="114637.94"/>
    <n v="4.9100000000000037"/>
    <x v="1"/>
  </r>
  <r>
    <n v="115581"/>
    <n v="48.63"/>
    <n v="46.11"/>
    <n v="2728"/>
    <x v="0"/>
    <x v="3"/>
    <x v="0"/>
    <x v="0"/>
    <x v="0"/>
    <x v="1"/>
    <n v="132662.64000000001"/>
    <n v="2.5200000000000031"/>
    <x v="2"/>
  </r>
  <r>
    <n v="183634"/>
    <n v="25.95"/>
    <n v="21.98"/>
    <n v="2778"/>
    <x v="0"/>
    <x v="1"/>
    <x v="1"/>
    <x v="2"/>
    <x v="0"/>
    <x v="1"/>
    <n v="72089.099999999991"/>
    <n v="3.9699999999999989"/>
    <x v="1"/>
  </r>
  <r>
    <n v="122484"/>
    <n v="21.73"/>
    <n v="16.98"/>
    <n v="558"/>
    <x v="2"/>
    <x v="3"/>
    <x v="1"/>
    <x v="0"/>
    <x v="2"/>
    <x v="1"/>
    <n v="12125.34"/>
    <n v="4.75"/>
    <x v="1"/>
  </r>
  <r>
    <n v="183574"/>
    <n v="19"/>
    <n v="14.94"/>
    <n v="1752"/>
    <x v="2"/>
    <x v="3"/>
    <x v="1"/>
    <x v="0"/>
    <x v="1"/>
    <x v="1"/>
    <n v="33288"/>
    <n v="4.0600000000000005"/>
    <x v="1"/>
  </r>
  <r>
    <n v="185307"/>
    <n v="41.4"/>
    <n v="39.950000000000003"/>
    <n v="2743"/>
    <x v="2"/>
    <x v="0"/>
    <x v="0"/>
    <x v="2"/>
    <x v="0"/>
    <x v="1"/>
    <n v="113560.2"/>
    <n v="1.4499999999999957"/>
    <x v="2"/>
  </r>
  <r>
    <n v="118719"/>
    <n v="31.62"/>
    <n v="27.6"/>
    <n v="1669"/>
    <x v="0"/>
    <x v="3"/>
    <x v="0"/>
    <x v="1"/>
    <x v="2"/>
    <x v="1"/>
    <n v="52773.78"/>
    <n v="4.0199999999999996"/>
    <x v="1"/>
  </r>
  <r>
    <n v="134788"/>
    <n v="36.11"/>
    <n v="34.17"/>
    <n v="2179"/>
    <x v="2"/>
    <x v="3"/>
    <x v="0"/>
    <x v="2"/>
    <x v="2"/>
    <x v="0"/>
    <n v="78683.69"/>
    <n v="1.9399999999999977"/>
    <x v="2"/>
  </r>
  <r>
    <n v="140142"/>
    <n v="14.5"/>
    <n v="13.62"/>
    <n v="606"/>
    <x v="0"/>
    <x v="2"/>
    <x v="1"/>
    <x v="2"/>
    <x v="2"/>
    <x v="0"/>
    <n v="8787"/>
    <n v="0.88000000000000078"/>
    <x v="0"/>
  </r>
  <r>
    <n v="153997"/>
    <n v="15.27"/>
    <n v="14.61"/>
    <n v="1608"/>
    <x v="2"/>
    <x v="3"/>
    <x v="0"/>
    <x v="1"/>
    <x v="1"/>
    <x v="1"/>
    <n v="24554.16"/>
    <n v="0.66000000000000014"/>
    <x v="0"/>
  </r>
  <r>
    <n v="123230"/>
    <n v="16.59"/>
    <n v="13.03"/>
    <n v="880"/>
    <x v="0"/>
    <x v="2"/>
    <x v="0"/>
    <x v="0"/>
    <x v="0"/>
    <x v="1"/>
    <n v="14599.2"/>
    <n v="3.5600000000000005"/>
    <x v="2"/>
  </r>
  <r>
    <n v="154676"/>
    <n v="26.04"/>
    <n v="23.26"/>
    <n v="943"/>
    <x v="1"/>
    <x v="3"/>
    <x v="0"/>
    <x v="0"/>
    <x v="1"/>
    <x v="0"/>
    <n v="24555.719999999998"/>
    <n v="2.7799999999999976"/>
    <x v="2"/>
  </r>
  <r>
    <n v="152985"/>
    <n v="6.25"/>
    <n v="2.86"/>
    <n v="1049"/>
    <x v="0"/>
    <x v="1"/>
    <x v="1"/>
    <x v="0"/>
    <x v="0"/>
    <x v="1"/>
    <n v="6556.25"/>
    <n v="3.39"/>
    <x v="2"/>
  </r>
  <r>
    <n v="175584"/>
    <n v="10.57"/>
    <n v="8.5399999999999991"/>
    <n v="2084"/>
    <x v="1"/>
    <x v="2"/>
    <x v="0"/>
    <x v="2"/>
    <x v="0"/>
    <x v="0"/>
    <n v="22027.88"/>
    <n v="2.0300000000000011"/>
    <x v="2"/>
  </r>
  <r>
    <n v="147491"/>
    <n v="20.09"/>
    <n v="19.82"/>
    <n v="1563"/>
    <x v="0"/>
    <x v="3"/>
    <x v="0"/>
    <x v="1"/>
    <x v="0"/>
    <x v="0"/>
    <n v="31400.67"/>
    <n v="0.26999999999999957"/>
    <x v="0"/>
  </r>
  <r>
    <n v="198283"/>
    <n v="25.15"/>
    <n v="20.84"/>
    <n v="1558"/>
    <x v="0"/>
    <x v="1"/>
    <x v="1"/>
    <x v="1"/>
    <x v="2"/>
    <x v="1"/>
    <n v="39183.699999999997"/>
    <n v="4.3099999999999987"/>
    <x v="1"/>
  </r>
  <r>
    <n v="141547"/>
    <n v="23.27"/>
    <n v="19.05"/>
    <n v="1426"/>
    <x v="2"/>
    <x v="0"/>
    <x v="0"/>
    <x v="1"/>
    <x v="2"/>
    <x v="0"/>
    <n v="33183.019999999997"/>
    <n v="4.2199999999999989"/>
    <x v="1"/>
  </r>
  <r>
    <n v="156342"/>
    <n v="38.94"/>
    <n v="37.619999999999997"/>
    <n v="1466"/>
    <x v="2"/>
    <x v="1"/>
    <x v="1"/>
    <x v="2"/>
    <x v="2"/>
    <x v="1"/>
    <n v="57086.039999999994"/>
    <n v="1.3200000000000003"/>
    <x v="2"/>
  </r>
  <r>
    <n v="186083"/>
    <n v="28.87"/>
    <n v="28.36"/>
    <n v="624"/>
    <x v="1"/>
    <x v="1"/>
    <x v="0"/>
    <x v="1"/>
    <x v="2"/>
    <x v="1"/>
    <n v="18014.88"/>
    <n v="0.51000000000000156"/>
    <x v="0"/>
  </r>
  <r>
    <n v="171776"/>
    <n v="34.06"/>
    <n v="31.39"/>
    <n v="1685"/>
    <x v="0"/>
    <x v="3"/>
    <x v="1"/>
    <x v="0"/>
    <x v="2"/>
    <x v="0"/>
    <n v="57391.100000000006"/>
    <n v="2.6700000000000017"/>
    <x v="2"/>
  </r>
  <r>
    <n v="134429"/>
    <n v="40.01"/>
    <n v="37.93"/>
    <n v="2914"/>
    <x v="2"/>
    <x v="1"/>
    <x v="0"/>
    <x v="0"/>
    <x v="2"/>
    <x v="0"/>
    <n v="116589.14"/>
    <n v="2.0799999999999983"/>
    <x v="2"/>
  </r>
  <r>
    <n v="172816"/>
    <n v="14.36"/>
    <n v="12.26"/>
    <n v="1524"/>
    <x v="0"/>
    <x v="1"/>
    <x v="0"/>
    <x v="0"/>
    <x v="2"/>
    <x v="1"/>
    <n v="21884.639999999999"/>
    <n v="2.0999999999999996"/>
    <x v="2"/>
  </r>
  <r>
    <n v="136272"/>
    <n v="28.47"/>
    <n v="25.9"/>
    <n v="2887"/>
    <x v="1"/>
    <x v="2"/>
    <x v="0"/>
    <x v="1"/>
    <x v="0"/>
    <x v="1"/>
    <n v="82192.89"/>
    <n v="2.5700000000000003"/>
    <x v="2"/>
  </r>
  <r>
    <n v="193227"/>
    <n v="40.47"/>
    <n v="39.26"/>
    <n v="1778"/>
    <x v="1"/>
    <x v="1"/>
    <x v="1"/>
    <x v="1"/>
    <x v="1"/>
    <x v="1"/>
    <n v="71955.66"/>
    <n v="1.2100000000000009"/>
    <x v="2"/>
  </r>
  <r>
    <n v="165786"/>
    <n v="18.03"/>
    <n v="13.4"/>
    <n v="1278"/>
    <x v="2"/>
    <x v="0"/>
    <x v="0"/>
    <x v="1"/>
    <x v="1"/>
    <x v="1"/>
    <n v="23042.34"/>
    <n v="4.6300000000000008"/>
    <x v="1"/>
  </r>
  <r>
    <n v="174708"/>
    <n v="21.75"/>
    <n v="17.579999999999998"/>
    <n v="529"/>
    <x v="2"/>
    <x v="3"/>
    <x v="0"/>
    <x v="2"/>
    <x v="2"/>
    <x v="1"/>
    <n v="11505.75"/>
    <n v="4.1700000000000017"/>
    <x v="1"/>
  </r>
  <r>
    <n v="142257"/>
    <n v="21.7"/>
    <n v="18.91"/>
    <n v="1180"/>
    <x v="0"/>
    <x v="1"/>
    <x v="1"/>
    <x v="0"/>
    <x v="0"/>
    <x v="1"/>
    <n v="25606"/>
    <n v="2.7899999999999991"/>
    <x v="2"/>
  </r>
  <r>
    <n v="126146"/>
    <n v="34.72"/>
    <n v="32.729999999999997"/>
    <n v="2759"/>
    <x v="2"/>
    <x v="1"/>
    <x v="0"/>
    <x v="0"/>
    <x v="1"/>
    <x v="0"/>
    <n v="95792.48"/>
    <n v="1.990000000000002"/>
    <x v="2"/>
  </r>
  <r>
    <n v="129134"/>
    <n v="23.29"/>
    <n v="22.91"/>
    <n v="1831"/>
    <x v="0"/>
    <x v="3"/>
    <x v="0"/>
    <x v="0"/>
    <x v="2"/>
    <x v="1"/>
    <n v="42643.99"/>
    <n v="0.37999999999999901"/>
    <x v="0"/>
  </r>
  <r>
    <n v="129898"/>
    <n v="10.33"/>
    <n v="6.98"/>
    <n v="1866"/>
    <x v="1"/>
    <x v="1"/>
    <x v="0"/>
    <x v="1"/>
    <x v="1"/>
    <x v="0"/>
    <n v="19275.78"/>
    <n v="3.3499999999999996"/>
    <x v="2"/>
  </r>
  <r>
    <n v="189692"/>
    <n v="14.58"/>
    <n v="12.26"/>
    <n v="1553"/>
    <x v="1"/>
    <x v="3"/>
    <x v="1"/>
    <x v="1"/>
    <x v="2"/>
    <x v="0"/>
    <n v="22642.74"/>
    <n v="2.3200000000000003"/>
    <x v="2"/>
  </r>
  <r>
    <n v="154846"/>
    <n v="35.78"/>
    <n v="35.35"/>
    <n v="917"/>
    <x v="1"/>
    <x v="0"/>
    <x v="1"/>
    <x v="1"/>
    <x v="1"/>
    <x v="0"/>
    <n v="32810.26"/>
    <n v="0.42999999999999972"/>
    <x v="0"/>
  </r>
  <r>
    <n v="122307"/>
    <n v="32.92"/>
    <n v="31.62"/>
    <n v="702"/>
    <x v="1"/>
    <x v="1"/>
    <x v="0"/>
    <x v="1"/>
    <x v="0"/>
    <x v="0"/>
    <n v="23109.84"/>
    <n v="1.3000000000000007"/>
    <x v="2"/>
  </r>
  <r>
    <n v="182099"/>
    <n v="35.29"/>
    <n v="31.65"/>
    <n v="1978"/>
    <x v="1"/>
    <x v="0"/>
    <x v="1"/>
    <x v="0"/>
    <x v="2"/>
    <x v="0"/>
    <n v="69803.62"/>
    <n v="3.6400000000000006"/>
    <x v="2"/>
  </r>
  <r>
    <n v="159816"/>
    <n v="34.76"/>
    <n v="31.95"/>
    <n v="1961"/>
    <x v="0"/>
    <x v="3"/>
    <x v="0"/>
    <x v="2"/>
    <x v="1"/>
    <x v="1"/>
    <n v="68164.36"/>
    <n v="2.8099999999999987"/>
    <x v="2"/>
  </r>
  <r>
    <n v="165326"/>
    <n v="8.86"/>
    <n v="3.91"/>
    <n v="1188"/>
    <x v="0"/>
    <x v="2"/>
    <x v="0"/>
    <x v="0"/>
    <x v="0"/>
    <x v="0"/>
    <n v="10525.679999999998"/>
    <n v="4.9499999999999993"/>
    <x v="1"/>
  </r>
  <r>
    <n v="185154"/>
    <n v="24.95"/>
    <n v="20.84"/>
    <n v="996"/>
    <x v="2"/>
    <x v="2"/>
    <x v="1"/>
    <x v="0"/>
    <x v="2"/>
    <x v="0"/>
    <n v="24850.2"/>
    <n v="4.1099999999999994"/>
    <x v="1"/>
  </r>
  <r>
    <n v="141330"/>
    <n v="46.1"/>
    <n v="45.49"/>
    <n v="1915"/>
    <x v="2"/>
    <x v="1"/>
    <x v="0"/>
    <x v="0"/>
    <x v="0"/>
    <x v="1"/>
    <n v="88281.5"/>
    <n v="0.60999999999999943"/>
    <x v="0"/>
  </r>
  <r>
    <n v="158958"/>
    <n v="5.62"/>
    <n v="2.52"/>
    <n v="903"/>
    <x v="2"/>
    <x v="2"/>
    <x v="0"/>
    <x v="1"/>
    <x v="0"/>
    <x v="0"/>
    <n v="5074.8599999999997"/>
    <n v="3.1"/>
    <x v="2"/>
  </r>
  <r>
    <n v="155010"/>
    <n v="45.12"/>
    <n v="42.21"/>
    <n v="729"/>
    <x v="0"/>
    <x v="0"/>
    <x v="1"/>
    <x v="0"/>
    <x v="1"/>
    <x v="1"/>
    <n v="32892.479999999996"/>
    <n v="2.9099999999999966"/>
    <x v="2"/>
  </r>
  <r>
    <n v="135857"/>
    <n v="36.020000000000003"/>
    <n v="34.82"/>
    <n v="2045"/>
    <x v="0"/>
    <x v="2"/>
    <x v="0"/>
    <x v="0"/>
    <x v="1"/>
    <x v="1"/>
    <n v="73660.900000000009"/>
    <n v="1.2000000000000028"/>
    <x v="2"/>
  </r>
  <r>
    <n v="147690"/>
    <n v="20.14"/>
    <n v="16.600000000000001"/>
    <n v="881"/>
    <x v="2"/>
    <x v="0"/>
    <x v="1"/>
    <x v="0"/>
    <x v="2"/>
    <x v="0"/>
    <n v="17743.34"/>
    <n v="3.5399999999999991"/>
    <x v="2"/>
  </r>
  <r>
    <n v="130321"/>
    <n v="24.71"/>
    <n v="23.07"/>
    <n v="2093"/>
    <x v="1"/>
    <x v="3"/>
    <x v="1"/>
    <x v="1"/>
    <x v="0"/>
    <x v="0"/>
    <n v="51718.03"/>
    <n v="1.6400000000000006"/>
    <x v="2"/>
  </r>
  <r>
    <n v="196752"/>
    <n v="17.3"/>
    <n v="15.83"/>
    <n v="2227"/>
    <x v="0"/>
    <x v="3"/>
    <x v="0"/>
    <x v="1"/>
    <x v="0"/>
    <x v="0"/>
    <n v="38527.1"/>
    <n v="1.4700000000000006"/>
    <x v="2"/>
  </r>
  <r>
    <n v="181011"/>
    <n v="8.9"/>
    <n v="4.0599999999999996"/>
    <n v="994"/>
    <x v="2"/>
    <x v="1"/>
    <x v="1"/>
    <x v="0"/>
    <x v="2"/>
    <x v="1"/>
    <n v="8846.6"/>
    <n v="4.8400000000000007"/>
    <x v="1"/>
  </r>
  <r>
    <n v="139967"/>
    <n v="28.7"/>
    <n v="24.82"/>
    <n v="2634"/>
    <x v="2"/>
    <x v="3"/>
    <x v="0"/>
    <x v="1"/>
    <x v="1"/>
    <x v="0"/>
    <n v="75595.8"/>
    <n v="3.879999999999999"/>
    <x v="1"/>
  </r>
  <r>
    <n v="162699"/>
    <n v="49.58"/>
    <n v="47.36"/>
    <n v="2732"/>
    <x v="2"/>
    <x v="2"/>
    <x v="0"/>
    <x v="1"/>
    <x v="1"/>
    <x v="1"/>
    <n v="135452.56"/>
    <n v="2.2199999999999989"/>
    <x v="2"/>
  </r>
  <r>
    <n v="119044"/>
    <n v="36.67"/>
    <n v="32.79"/>
    <n v="1140"/>
    <x v="2"/>
    <x v="3"/>
    <x v="0"/>
    <x v="0"/>
    <x v="2"/>
    <x v="1"/>
    <n v="41803.800000000003"/>
    <n v="3.8800000000000026"/>
    <x v="1"/>
  </r>
  <r>
    <n v="121348"/>
    <n v="32.06"/>
    <n v="29"/>
    <n v="1008"/>
    <x v="2"/>
    <x v="1"/>
    <x v="0"/>
    <x v="1"/>
    <x v="1"/>
    <x v="1"/>
    <n v="32316.480000000003"/>
    <n v="3.0600000000000023"/>
    <x v="2"/>
  </r>
  <r>
    <n v="163982"/>
    <n v="17.2"/>
    <n v="12.21"/>
    <n v="2685"/>
    <x v="0"/>
    <x v="0"/>
    <x v="0"/>
    <x v="2"/>
    <x v="0"/>
    <x v="0"/>
    <n v="46182"/>
    <n v="4.9899999999999984"/>
    <x v="1"/>
  </r>
  <r>
    <n v="185774"/>
    <n v="7.33"/>
    <n v="2.63"/>
    <n v="1145"/>
    <x v="2"/>
    <x v="3"/>
    <x v="1"/>
    <x v="1"/>
    <x v="0"/>
    <x v="1"/>
    <n v="8392.85"/>
    <n v="4.7"/>
    <x v="1"/>
  </r>
  <r>
    <n v="144651"/>
    <n v="31.45"/>
    <n v="31.4"/>
    <n v="1791"/>
    <x v="2"/>
    <x v="0"/>
    <x v="1"/>
    <x v="0"/>
    <x v="0"/>
    <x v="0"/>
    <n v="56326.95"/>
    <n v="5.0000000000000711E-2"/>
    <x v="0"/>
  </r>
  <r>
    <n v="195103"/>
    <n v="41.79"/>
    <n v="41.5"/>
    <n v="2849"/>
    <x v="2"/>
    <x v="0"/>
    <x v="1"/>
    <x v="0"/>
    <x v="2"/>
    <x v="0"/>
    <n v="119059.70999999999"/>
    <n v="0.28999999999999915"/>
    <x v="0"/>
  </r>
  <r>
    <n v="123047"/>
    <n v="9.8800000000000008"/>
    <n v="6.03"/>
    <n v="2985"/>
    <x v="1"/>
    <x v="1"/>
    <x v="0"/>
    <x v="0"/>
    <x v="2"/>
    <x v="1"/>
    <n v="29491.800000000003"/>
    <n v="3.8500000000000005"/>
    <x v="1"/>
  </r>
  <r>
    <n v="123077"/>
    <n v="16.27"/>
    <n v="13.48"/>
    <n v="1603"/>
    <x v="0"/>
    <x v="2"/>
    <x v="0"/>
    <x v="2"/>
    <x v="1"/>
    <x v="0"/>
    <n v="26080.809999999998"/>
    <n v="2.7899999999999991"/>
    <x v="2"/>
  </r>
  <r>
    <n v="171860"/>
    <n v="43.18"/>
    <n v="39.47"/>
    <n v="707"/>
    <x v="2"/>
    <x v="2"/>
    <x v="1"/>
    <x v="0"/>
    <x v="1"/>
    <x v="0"/>
    <n v="30528.26"/>
    <n v="3.7100000000000009"/>
    <x v="1"/>
  </r>
  <r>
    <n v="149487"/>
    <n v="25.54"/>
    <n v="20.91"/>
    <n v="1258"/>
    <x v="2"/>
    <x v="0"/>
    <x v="0"/>
    <x v="0"/>
    <x v="0"/>
    <x v="1"/>
    <n v="32129.32"/>
    <n v="4.629999999999999"/>
    <x v="1"/>
  </r>
  <r>
    <n v="168516"/>
    <n v="17.09"/>
    <n v="14.13"/>
    <n v="2168"/>
    <x v="0"/>
    <x v="3"/>
    <x v="1"/>
    <x v="2"/>
    <x v="0"/>
    <x v="0"/>
    <n v="37051.120000000003"/>
    <n v="2.9599999999999991"/>
    <x v="2"/>
  </r>
  <r>
    <n v="177771"/>
    <n v="37.72"/>
    <n v="36.32"/>
    <n v="1764"/>
    <x v="1"/>
    <x v="2"/>
    <x v="1"/>
    <x v="1"/>
    <x v="1"/>
    <x v="1"/>
    <n v="66538.080000000002"/>
    <n v="1.3999999999999986"/>
    <x v="2"/>
  </r>
  <r>
    <n v="172015"/>
    <n v="33.93"/>
    <n v="30.5"/>
    <n v="2622"/>
    <x v="0"/>
    <x v="3"/>
    <x v="1"/>
    <x v="1"/>
    <x v="1"/>
    <x v="1"/>
    <n v="88964.46"/>
    <n v="3.4299999999999997"/>
    <x v="2"/>
  </r>
  <r>
    <n v="118985"/>
    <n v="49.12"/>
    <n v="48.16"/>
    <n v="694"/>
    <x v="0"/>
    <x v="2"/>
    <x v="0"/>
    <x v="0"/>
    <x v="0"/>
    <x v="1"/>
    <n v="34089.279999999999"/>
    <n v="0.96000000000000085"/>
    <x v="0"/>
  </r>
  <r>
    <n v="112194"/>
    <n v="14.02"/>
    <n v="10.78"/>
    <n v="2187"/>
    <x v="2"/>
    <x v="2"/>
    <x v="1"/>
    <x v="0"/>
    <x v="2"/>
    <x v="1"/>
    <n v="30661.739999999998"/>
    <n v="3.24"/>
    <x v="2"/>
  </r>
  <r>
    <n v="113435"/>
    <n v="6.72"/>
    <n v="3.47"/>
    <n v="2973"/>
    <x v="1"/>
    <x v="1"/>
    <x v="0"/>
    <x v="0"/>
    <x v="2"/>
    <x v="1"/>
    <n v="19978.559999999998"/>
    <n v="3.2499999999999996"/>
    <x v="2"/>
  </r>
  <r>
    <n v="159182"/>
    <n v="8.5500000000000007"/>
    <n v="4.4400000000000004"/>
    <n v="1014"/>
    <x v="0"/>
    <x v="2"/>
    <x v="1"/>
    <x v="2"/>
    <x v="1"/>
    <x v="0"/>
    <n v="8669.7000000000007"/>
    <n v="4.1100000000000003"/>
    <x v="1"/>
  </r>
  <r>
    <n v="199233"/>
    <n v="13.99"/>
    <n v="13.2"/>
    <n v="2222"/>
    <x v="1"/>
    <x v="0"/>
    <x v="1"/>
    <x v="0"/>
    <x v="0"/>
    <x v="0"/>
    <n v="31085.78"/>
    <n v="0.79000000000000092"/>
    <x v="0"/>
  </r>
  <r>
    <n v="137044"/>
    <n v="46.2"/>
    <n v="45.42"/>
    <n v="2534"/>
    <x v="1"/>
    <x v="1"/>
    <x v="0"/>
    <x v="0"/>
    <x v="1"/>
    <x v="1"/>
    <n v="117070.8"/>
    <n v="0.78000000000000114"/>
    <x v="0"/>
  </r>
  <r>
    <n v="154736"/>
    <n v="9.2799999999999994"/>
    <n v="7.91"/>
    <n v="1466"/>
    <x v="0"/>
    <x v="0"/>
    <x v="1"/>
    <x v="2"/>
    <x v="2"/>
    <x v="1"/>
    <n v="13604.48"/>
    <n v="1.3699999999999992"/>
    <x v="2"/>
  </r>
  <r>
    <n v="141434"/>
    <n v="46.6"/>
    <n v="45.81"/>
    <n v="2870"/>
    <x v="1"/>
    <x v="0"/>
    <x v="0"/>
    <x v="2"/>
    <x v="0"/>
    <x v="1"/>
    <n v="133742"/>
    <n v="0.78999999999999915"/>
    <x v="0"/>
  </r>
  <r>
    <n v="155659"/>
    <n v="47.38"/>
    <n v="42.54"/>
    <n v="2654"/>
    <x v="0"/>
    <x v="1"/>
    <x v="1"/>
    <x v="0"/>
    <x v="2"/>
    <x v="1"/>
    <n v="125746.52"/>
    <n v="4.8400000000000034"/>
    <x v="1"/>
  </r>
  <r>
    <n v="168643"/>
    <n v="33.26"/>
    <n v="32.47"/>
    <n v="2166"/>
    <x v="2"/>
    <x v="1"/>
    <x v="0"/>
    <x v="1"/>
    <x v="2"/>
    <x v="0"/>
    <n v="72041.159999999989"/>
    <n v="0.78999999999999915"/>
    <x v="0"/>
  </r>
  <r>
    <n v="175357"/>
    <n v="23.04"/>
    <n v="20.07"/>
    <n v="867"/>
    <x v="0"/>
    <x v="0"/>
    <x v="0"/>
    <x v="1"/>
    <x v="0"/>
    <x v="1"/>
    <n v="19975.68"/>
    <n v="2.9699999999999989"/>
    <x v="2"/>
  </r>
  <r>
    <n v="137530"/>
    <n v="45.45"/>
    <n v="41.12"/>
    <n v="1522"/>
    <x v="0"/>
    <x v="3"/>
    <x v="0"/>
    <x v="2"/>
    <x v="2"/>
    <x v="0"/>
    <n v="69174.900000000009"/>
    <n v="4.3300000000000054"/>
    <x v="1"/>
  </r>
  <r>
    <n v="153482"/>
    <n v="39.56"/>
    <n v="36.33"/>
    <n v="2969"/>
    <x v="1"/>
    <x v="2"/>
    <x v="1"/>
    <x v="0"/>
    <x v="1"/>
    <x v="0"/>
    <n v="117453.64000000001"/>
    <n v="3.230000000000004"/>
    <x v="2"/>
  </r>
  <r>
    <n v="112593"/>
    <n v="41.98"/>
    <n v="41.17"/>
    <n v="2651"/>
    <x v="0"/>
    <x v="2"/>
    <x v="0"/>
    <x v="0"/>
    <x v="2"/>
    <x v="1"/>
    <n v="111288.98"/>
    <n v="0.80999999999999517"/>
    <x v="0"/>
  </r>
  <r>
    <n v="110241"/>
    <n v="28.62"/>
    <n v="27"/>
    <n v="2353"/>
    <x v="1"/>
    <x v="3"/>
    <x v="0"/>
    <x v="1"/>
    <x v="1"/>
    <x v="0"/>
    <n v="67342.86"/>
    <n v="1.620000000000001"/>
    <x v="2"/>
  </r>
  <r>
    <n v="144970"/>
    <n v="44.16"/>
    <n v="40.380000000000003"/>
    <n v="1461"/>
    <x v="2"/>
    <x v="0"/>
    <x v="0"/>
    <x v="2"/>
    <x v="2"/>
    <x v="1"/>
    <n v="64517.759999999995"/>
    <n v="3.779999999999994"/>
    <x v="1"/>
  </r>
  <r>
    <n v="114822"/>
    <n v="17.98"/>
    <n v="16.78"/>
    <n v="1698"/>
    <x v="1"/>
    <x v="2"/>
    <x v="1"/>
    <x v="2"/>
    <x v="1"/>
    <x v="0"/>
    <n v="30530.04"/>
    <n v="1.1999999999999993"/>
    <x v="2"/>
  </r>
  <r>
    <n v="153452"/>
    <n v="34.49"/>
    <n v="31.14"/>
    <n v="1563"/>
    <x v="0"/>
    <x v="3"/>
    <x v="1"/>
    <x v="2"/>
    <x v="1"/>
    <x v="1"/>
    <n v="53907.87"/>
    <n v="3.3500000000000014"/>
    <x v="2"/>
  </r>
  <r>
    <n v="144264"/>
    <n v="14.56"/>
    <n v="11.4"/>
    <n v="2516"/>
    <x v="1"/>
    <x v="0"/>
    <x v="1"/>
    <x v="1"/>
    <x v="1"/>
    <x v="1"/>
    <n v="36632.959999999999"/>
    <n v="3.16"/>
    <x v="2"/>
  </r>
  <r>
    <n v="128749"/>
    <n v="44.71"/>
    <n v="42.78"/>
    <n v="1061"/>
    <x v="0"/>
    <x v="1"/>
    <x v="1"/>
    <x v="2"/>
    <x v="2"/>
    <x v="0"/>
    <n v="47437.31"/>
    <n v="1.9299999999999997"/>
    <x v="2"/>
  </r>
  <r>
    <n v="147955"/>
    <n v="19.47"/>
    <n v="14.6"/>
    <n v="1898"/>
    <x v="0"/>
    <x v="3"/>
    <x v="0"/>
    <x v="1"/>
    <x v="2"/>
    <x v="1"/>
    <n v="36954.06"/>
    <n v="4.8699999999999992"/>
    <x v="1"/>
  </r>
  <r>
    <n v="142210"/>
    <n v="42.69"/>
    <n v="38.51"/>
    <n v="1959"/>
    <x v="2"/>
    <x v="0"/>
    <x v="1"/>
    <x v="2"/>
    <x v="0"/>
    <x v="0"/>
    <n v="83629.709999999992"/>
    <n v="4.18"/>
    <x v="1"/>
  </r>
  <r>
    <n v="110696"/>
    <n v="33.200000000000003"/>
    <n v="32.630000000000003"/>
    <n v="2630"/>
    <x v="2"/>
    <x v="0"/>
    <x v="0"/>
    <x v="0"/>
    <x v="0"/>
    <x v="0"/>
    <n v="87316.000000000015"/>
    <n v="0.57000000000000028"/>
    <x v="0"/>
  </r>
  <r>
    <n v="111826"/>
    <n v="29.04"/>
    <n v="27.7"/>
    <n v="1926"/>
    <x v="1"/>
    <x v="1"/>
    <x v="0"/>
    <x v="2"/>
    <x v="2"/>
    <x v="0"/>
    <n v="55931.040000000001"/>
    <n v="1.3399999999999999"/>
    <x v="2"/>
  </r>
  <r>
    <n v="118116"/>
    <n v="38.6"/>
    <n v="38.229999999999997"/>
    <n v="1857"/>
    <x v="0"/>
    <x v="2"/>
    <x v="0"/>
    <x v="1"/>
    <x v="0"/>
    <x v="0"/>
    <n v="71680.2"/>
    <n v="0.37000000000000455"/>
    <x v="0"/>
  </r>
  <r>
    <n v="152727"/>
    <n v="15.44"/>
    <n v="13.43"/>
    <n v="1383"/>
    <x v="1"/>
    <x v="3"/>
    <x v="0"/>
    <x v="2"/>
    <x v="0"/>
    <x v="1"/>
    <n v="21353.52"/>
    <n v="2.0099999999999998"/>
    <x v="2"/>
  </r>
  <r>
    <n v="198291"/>
    <n v="21.52"/>
    <n v="19.8"/>
    <n v="2475"/>
    <x v="0"/>
    <x v="1"/>
    <x v="1"/>
    <x v="2"/>
    <x v="2"/>
    <x v="0"/>
    <n v="53262"/>
    <n v="1.7199999999999989"/>
    <x v="2"/>
  </r>
  <r>
    <n v="136227"/>
    <n v="18.39"/>
    <n v="13.66"/>
    <n v="2452"/>
    <x v="0"/>
    <x v="3"/>
    <x v="0"/>
    <x v="1"/>
    <x v="0"/>
    <x v="1"/>
    <n v="45092.28"/>
    <n v="4.7300000000000004"/>
    <x v="1"/>
  </r>
  <r>
    <n v="144031"/>
    <n v="19.87"/>
    <n v="19.739999999999998"/>
    <n v="1470"/>
    <x v="2"/>
    <x v="0"/>
    <x v="0"/>
    <x v="1"/>
    <x v="1"/>
    <x v="1"/>
    <n v="29208.9"/>
    <n v="0.13000000000000256"/>
    <x v="0"/>
  </r>
  <r>
    <n v="198924"/>
    <n v="22.87"/>
    <n v="19.29"/>
    <n v="776"/>
    <x v="2"/>
    <x v="3"/>
    <x v="1"/>
    <x v="1"/>
    <x v="0"/>
    <x v="1"/>
    <n v="17747.12"/>
    <n v="3.5800000000000018"/>
    <x v="2"/>
  </r>
  <r>
    <n v="187922"/>
    <n v="17.82"/>
    <n v="17.309999999999999"/>
    <n v="1688"/>
    <x v="0"/>
    <x v="0"/>
    <x v="0"/>
    <x v="2"/>
    <x v="0"/>
    <x v="1"/>
    <n v="30080.16"/>
    <n v="0.51000000000000156"/>
    <x v="0"/>
  </r>
  <r>
    <n v="168448"/>
    <n v="44.19"/>
    <n v="40.880000000000003"/>
    <n v="2926"/>
    <x v="0"/>
    <x v="3"/>
    <x v="1"/>
    <x v="1"/>
    <x v="2"/>
    <x v="1"/>
    <n v="129299.93999999999"/>
    <n v="3.3099999999999952"/>
    <x v="2"/>
  </r>
  <r>
    <n v="192111"/>
    <n v="20.88"/>
    <n v="17.54"/>
    <n v="737"/>
    <x v="1"/>
    <x v="1"/>
    <x v="0"/>
    <x v="0"/>
    <x v="1"/>
    <x v="0"/>
    <n v="15388.56"/>
    <n v="3.34"/>
    <x v="2"/>
  </r>
  <r>
    <n v="185466"/>
    <n v="14.83"/>
    <n v="14.72"/>
    <n v="509"/>
    <x v="2"/>
    <x v="0"/>
    <x v="0"/>
    <x v="0"/>
    <x v="1"/>
    <x v="0"/>
    <n v="7548.47"/>
    <n v="0.10999999999999943"/>
    <x v="0"/>
  </r>
  <r>
    <n v="174277"/>
    <n v="20.76"/>
    <n v="20.72"/>
    <n v="2343"/>
    <x v="0"/>
    <x v="2"/>
    <x v="0"/>
    <x v="1"/>
    <x v="2"/>
    <x v="1"/>
    <n v="48640.68"/>
    <n v="4.00000000000027E-2"/>
    <x v="0"/>
  </r>
  <r>
    <n v="158519"/>
    <n v="16.41"/>
    <n v="11.61"/>
    <n v="1986"/>
    <x v="1"/>
    <x v="0"/>
    <x v="1"/>
    <x v="0"/>
    <x v="1"/>
    <x v="0"/>
    <n v="32590.260000000002"/>
    <n v="4.8000000000000007"/>
    <x v="1"/>
  </r>
  <r>
    <n v="178624"/>
    <n v="23.22"/>
    <n v="20.6"/>
    <n v="1821"/>
    <x v="0"/>
    <x v="2"/>
    <x v="0"/>
    <x v="2"/>
    <x v="2"/>
    <x v="0"/>
    <n v="42283.619999999995"/>
    <n v="2.6199999999999974"/>
    <x v="2"/>
  </r>
  <r>
    <n v="123728"/>
    <n v="11.53"/>
    <n v="9.07"/>
    <n v="2669"/>
    <x v="2"/>
    <x v="1"/>
    <x v="1"/>
    <x v="0"/>
    <x v="1"/>
    <x v="0"/>
    <n v="30773.57"/>
    <n v="2.4599999999999991"/>
    <x v="2"/>
  </r>
  <r>
    <n v="197954"/>
    <n v="27.06"/>
    <n v="22.66"/>
    <n v="2391"/>
    <x v="1"/>
    <x v="3"/>
    <x v="1"/>
    <x v="0"/>
    <x v="2"/>
    <x v="0"/>
    <n v="64700.46"/>
    <n v="4.3999999999999986"/>
    <x v="1"/>
  </r>
  <r>
    <n v="133328"/>
    <n v="16.63"/>
    <n v="12.63"/>
    <n v="1241"/>
    <x v="0"/>
    <x v="2"/>
    <x v="0"/>
    <x v="2"/>
    <x v="2"/>
    <x v="1"/>
    <n v="20637.829999999998"/>
    <n v="3.9999999999999982"/>
    <x v="1"/>
  </r>
  <r>
    <n v="145345"/>
    <n v="37.29"/>
    <n v="36.950000000000003"/>
    <n v="869"/>
    <x v="2"/>
    <x v="2"/>
    <x v="1"/>
    <x v="1"/>
    <x v="0"/>
    <x v="0"/>
    <n v="32405.01"/>
    <n v="0.33999999999999631"/>
    <x v="0"/>
  </r>
  <r>
    <n v="116054"/>
    <n v="43.59"/>
    <n v="39.42"/>
    <n v="2931"/>
    <x v="0"/>
    <x v="3"/>
    <x v="0"/>
    <x v="2"/>
    <x v="1"/>
    <x v="1"/>
    <n v="127762.29000000001"/>
    <n v="4.1700000000000017"/>
    <x v="1"/>
  </r>
  <r>
    <n v="173141"/>
    <n v="16.63"/>
    <n v="15.78"/>
    <n v="1721"/>
    <x v="0"/>
    <x v="0"/>
    <x v="1"/>
    <x v="2"/>
    <x v="1"/>
    <x v="1"/>
    <n v="28620.23"/>
    <n v="0.84999999999999964"/>
    <x v="0"/>
  </r>
  <r>
    <n v="178180"/>
    <n v="25.99"/>
    <n v="24.45"/>
    <n v="581"/>
    <x v="0"/>
    <x v="3"/>
    <x v="1"/>
    <x v="0"/>
    <x v="1"/>
    <x v="0"/>
    <n v="15100.189999999999"/>
    <n v="1.5399999999999991"/>
    <x v="2"/>
  </r>
  <r>
    <n v="129418"/>
    <n v="20.059999999999999"/>
    <n v="16.579999999999998"/>
    <n v="707"/>
    <x v="0"/>
    <x v="3"/>
    <x v="0"/>
    <x v="1"/>
    <x v="0"/>
    <x v="1"/>
    <n v="14182.419999999998"/>
    <n v="3.4800000000000004"/>
    <x v="2"/>
  </r>
  <r>
    <n v="188708"/>
    <n v="26.67"/>
    <n v="25.1"/>
    <n v="666"/>
    <x v="0"/>
    <x v="2"/>
    <x v="1"/>
    <x v="2"/>
    <x v="2"/>
    <x v="1"/>
    <n v="17762.22"/>
    <n v="1.5700000000000003"/>
    <x v="2"/>
  </r>
  <r>
    <n v="132833"/>
    <n v="31.79"/>
    <n v="28.82"/>
    <n v="642"/>
    <x v="0"/>
    <x v="3"/>
    <x v="1"/>
    <x v="0"/>
    <x v="1"/>
    <x v="0"/>
    <n v="20409.18"/>
    <n v="2.9699999999999989"/>
    <x v="2"/>
  </r>
  <r>
    <n v="146914"/>
    <n v="41.24"/>
    <n v="36.64"/>
    <n v="2745"/>
    <x v="1"/>
    <x v="1"/>
    <x v="0"/>
    <x v="2"/>
    <x v="1"/>
    <x v="0"/>
    <n v="113203.8"/>
    <n v="4.6000000000000014"/>
    <x v="1"/>
  </r>
  <r>
    <n v="113624"/>
    <n v="47.84"/>
    <n v="44.86"/>
    <n v="2478"/>
    <x v="0"/>
    <x v="0"/>
    <x v="0"/>
    <x v="2"/>
    <x v="2"/>
    <x v="0"/>
    <n v="118547.52"/>
    <n v="2.980000000000004"/>
    <x v="2"/>
  </r>
  <r>
    <n v="180250"/>
    <n v="12.65"/>
    <n v="12.61"/>
    <n v="2906"/>
    <x v="1"/>
    <x v="0"/>
    <x v="0"/>
    <x v="2"/>
    <x v="2"/>
    <x v="1"/>
    <n v="36760.9"/>
    <n v="4.0000000000000924E-2"/>
    <x v="0"/>
  </r>
  <r>
    <n v="137287"/>
    <n v="46.2"/>
    <n v="45.85"/>
    <n v="611"/>
    <x v="2"/>
    <x v="0"/>
    <x v="1"/>
    <x v="0"/>
    <x v="2"/>
    <x v="1"/>
    <n v="28228.2"/>
    <n v="0.35000000000000142"/>
    <x v="0"/>
  </r>
  <r>
    <n v="150836"/>
    <n v="34.97"/>
    <n v="31.08"/>
    <n v="734"/>
    <x v="2"/>
    <x v="2"/>
    <x v="0"/>
    <x v="1"/>
    <x v="2"/>
    <x v="1"/>
    <n v="25667.98"/>
    <n v="3.8900000000000006"/>
    <x v="1"/>
  </r>
  <r>
    <n v="151474"/>
    <n v="29.23"/>
    <n v="26.88"/>
    <n v="2366"/>
    <x v="2"/>
    <x v="0"/>
    <x v="1"/>
    <x v="1"/>
    <x v="0"/>
    <x v="1"/>
    <n v="69158.180000000008"/>
    <n v="2.3500000000000014"/>
    <x v="2"/>
  </r>
  <r>
    <n v="119803"/>
    <n v="43.26"/>
    <n v="40.82"/>
    <n v="1580"/>
    <x v="1"/>
    <x v="3"/>
    <x v="0"/>
    <x v="1"/>
    <x v="2"/>
    <x v="1"/>
    <n v="68350.8"/>
    <n v="2.4399999999999977"/>
    <x v="2"/>
  </r>
  <r>
    <n v="115986"/>
    <n v="10.16"/>
    <n v="6.72"/>
    <n v="1971"/>
    <x v="0"/>
    <x v="1"/>
    <x v="1"/>
    <x v="2"/>
    <x v="1"/>
    <x v="1"/>
    <n v="20025.36"/>
    <n v="3.4400000000000004"/>
    <x v="2"/>
  </r>
  <r>
    <n v="181896"/>
    <n v="10.82"/>
    <n v="6.8"/>
    <n v="582"/>
    <x v="1"/>
    <x v="0"/>
    <x v="0"/>
    <x v="2"/>
    <x v="2"/>
    <x v="1"/>
    <n v="6297.24"/>
    <n v="4.0200000000000005"/>
    <x v="1"/>
  </r>
  <r>
    <n v="115036"/>
    <n v="45.34"/>
    <n v="41.26"/>
    <n v="961"/>
    <x v="1"/>
    <x v="2"/>
    <x v="1"/>
    <x v="1"/>
    <x v="2"/>
    <x v="0"/>
    <n v="43571.740000000005"/>
    <n v="4.0800000000000054"/>
    <x v="1"/>
  </r>
  <r>
    <n v="179683"/>
    <n v="5.58"/>
    <n v="3.41"/>
    <n v="1847"/>
    <x v="0"/>
    <x v="0"/>
    <x v="1"/>
    <x v="1"/>
    <x v="0"/>
    <x v="1"/>
    <n v="10306.26"/>
    <n v="2.17"/>
    <x v="2"/>
  </r>
  <r>
    <n v="151421"/>
    <n v="26.86"/>
    <n v="22.38"/>
    <n v="1716"/>
    <x v="1"/>
    <x v="1"/>
    <x v="0"/>
    <x v="2"/>
    <x v="2"/>
    <x v="1"/>
    <n v="46091.76"/>
    <n v="4.4800000000000004"/>
    <x v="1"/>
  </r>
  <r>
    <n v="169867"/>
    <n v="35.270000000000003"/>
    <n v="33.42"/>
    <n v="1095"/>
    <x v="1"/>
    <x v="1"/>
    <x v="0"/>
    <x v="1"/>
    <x v="1"/>
    <x v="0"/>
    <n v="38620.65"/>
    <n v="1.8500000000000014"/>
    <x v="2"/>
  </r>
  <r>
    <n v="191946"/>
    <n v="8.84"/>
    <n v="8.82"/>
    <n v="1507"/>
    <x v="0"/>
    <x v="2"/>
    <x v="0"/>
    <x v="0"/>
    <x v="1"/>
    <x v="1"/>
    <n v="13321.88"/>
    <n v="1.9999999999999574E-2"/>
    <x v="0"/>
  </r>
  <r>
    <n v="165630"/>
    <n v="36.42"/>
    <n v="31.86"/>
    <n v="2381"/>
    <x v="0"/>
    <x v="2"/>
    <x v="1"/>
    <x v="2"/>
    <x v="2"/>
    <x v="0"/>
    <n v="86716.02"/>
    <n v="4.5600000000000023"/>
    <x v="1"/>
  </r>
  <r>
    <n v="173122"/>
    <n v="15.04"/>
    <n v="10.96"/>
    <n v="1299"/>
    <x v="2"/>
    <x v="0"/>
    <x v="1"/>
    <x v="2"/>
    <x v="1"/>
    <x v="1"/>
    <n v="19536.96"/>
    <n v="4.0799999999999983"/>
    <x v="1"/>
  </r>
  <r>
    <n v="137617"/>
    <n v="46.48"/>
    <n v="43.92"/>
    <n v="931"/>
    <x v="0"/>
    <x v="2"/>
    <x v="0"/>
    <x v="1"/>
    <x v="1"/>
    <x v="1"/>
    <n v="43272.88"/>
    <n v="2.5599999999999952"/>
    <x v="2"/>
  </r>
  <r>
    <n v="181415"/>
    <n v="44"/>
    <n v="42.4"/>
    <n v="2179"/>
    <x v="0"/>
    <x v="0"/>
    <x v="0"/>
    <x v="0"/>
    <x v="2"/>
    <x v="1"/>
    <n v="95876"/>
    <n v="1.6000000000000014"/>
    <x v="2"/>
  </r>
  <r>
    <n v="141652"/>
    <n v="12.79"/>
    <n v="11.24"/>
    <n v="1634"/>
    <x v="2"/>
    <x v="2"/>
    <x v="0"/>
    <x v="1"/>
    <x v="2"/>
    <x v="1"/>
    <n v="20898.859999999997"/>
    <n v="1.5499999999999989"/>
    <x v="2"/>
  </r>
  <r>
    <n v="161479"/>
    <n v="25.99"/>
    <n v="23.59"/>
    <n v="1381"/>
    <x v="0"/>
    <x v="1"/>
    <x v="1"/>
    <x v="1"/>
    <x v="2"/>
    <x v="0"/>
    <n v="35892.189999999995"/>
    <n v="2.3999999999999986"/>
    <x v="2"/>
  </r>
  <r>
    <n v="152924"/>
    <n v="19.260000000000002"/>
    <n v="15.59"/>
    <n v="845"/>
    <x v="2"/>
    <x v="0"/>
    <x v="1"/>
    <x v="1"/>
    <x v="0"/>
    <x v="0"/>
    <n v="16274.7"/>
    <n v="3.6700000000000017"/>
    <x v="2"/>
  </r>
  <r>
    <n v="176510"/>
    <n v="46.46"/>
    <n v="43.44"/>
    <n v="2075"/>
    <x v="0"/>
    <x v="1"/>
    <x v="0"/>
    <x v="1"/>
    <x v="2"/>
    <x v="0"/>
    <n v="96404.5"/>
    <n v="3.0200000000000031"/>
    <x v="2"/>
  </r>
  <r>
    <n v="156390"/>
    <n v="30.51"/>
    <n v="25.84"/>
    <n v="2962"/>
    <x v="0"/>
    <x v="3"/>
    <x v="0"/>
    <x v="1"/>
    <x v="2"/>
    <x v="0"/>
    <n v="90370.62000000001"/>
    <n v="4.6700000000000017"/>
    <x v="1"/>
  </r>
  <r>
    <n v="177033"/>
    <n v="5.08"/>
    <n v="3.54"/>
    <n v="660"/>
    <x v="0"/>
    <x v="2"/>
    <x v="0"/>
    <x v="0"/>
    <x v="0"/>
    <x v="0"/>
    <n v="3352.8"/>
    <n v="1.54"/>
    <x v="2"/>
  </r>
  <r>
    <n v="133753"/>
    <n v="30.11"/>
    <n v="26.52"/>
    <n v="1418"/>
    <x v="0"/>
    <x v="2"/>
    <x v="1"/>
    <x v="2"/>
    <x v="1"/>
    <x v="1"/>
    <n v="42695.979999999996"/>
    <n v="3.59"/>
    <x v="2"/>
  </r>
  <r>
    <n v="165841"/>
    <n v="35.69"/>
    <n v="31.05"/>
    <n v="2058"/>
    <x v="2"/>
    <x v="1"/>
    <x v="1"/>
    <x v="0"/>
    <x v="2"/>
    <x v="1"/>
    <n v="73450.01999999999"/>
    <n v="4.639999999999997"/>
    <x v="1"/>
  </r>
  <r>
    <n v="183061"/>
    <n v="33.67"/>
    <n v="30.14"/>
    <n v="2678"/>
    <x v="2"/>
    <x v="3"/>
    <x v="0"/>
    <x v="1"/>
    <x v="0"/>
    <x v="0"/>
    <n v="90168.260000000009"/>
    <n v="3.5300000000000011"/>
    <x v="2"/>
  </r>
  <r>
    <n v="125175"/>
    <n v="43.43"/>
    <n v="41.7"/>
    <n v="1212"/>
    <x v="1"/>
    <x v="1"/>
    <x v="0"/>
    <x v="2"/>
    <x v="1"/>
    <x v="0"/>
    <n v="52637.159999999996"/>
    <n v="1.7299999999999969"/>
    <x v="2"/>
  </r>
  <r>
    <n v="115464"/>
    <n v="31.14"/>
    <n v="28.57"/>
    <n v="1001"/>
    <x v="0"/>
    <x v="3"/>
    <x v="0"/>
    <x v="0"/>
    <x v="2"/>
    <x v="0"/>
    <n v="31171.14"/>
    <n v="2.5700000000000003"/>
    <x v="2"/>
  </r>
  <r>
    <n v="117231"/>
    <n v="47.65"/>
    <n v="46.81"/>
    <n v="818"/>
    <x v="2"/>
    <x v="2"/>
    <x v="0"/>
    <x v="1"/>
    <x v="2"/>
    <x v="0"/>
    <n v="38977.699999999997"/>
    <n v="0.83999999999999631"/>
    <x v="0"/>
  </r>
  <r>
    <n v="154948"/>
    <n v="35.18"/>
    <n v="34.520000000000003"/>
    <n v="1549"/>
    <x v="0"/>
    <x v="0"/>
    <x v="1"/>
    <x v="1"/>
    <x v="2"/>
    <x v="1"/>
    <n v="54493.82"/>
    <n v="0.65999999999999659"/>
    <x v="0"/>
  </r>
  <r>
    <n v="197375"/>
    <n v="17.239999999999998"/>
    <n v="16.93"/>
    <n v="1135"/>
    <x v="0"/>
    <x v="1"/>
    <x v="0"/>
    <x v="0"/>
    <x v="1"/>
    <x v="0"/>
    <n v="19567.399999999998"/>
    <n v="0.30999999999999872"/>
    <x v="0"/>
  </r>
  <r>
    <n v="191131"/>
    <n v="17.29"/>
    <n v="12.32"/>
    <n v="1833"/>
    <x v="1"/>
    <x v="1"/>
    <x v="0"/>
    <x v="2"/>
    <x v="2"/>
    <x v="1"/>
    <n v="31692.57"/>
    <n v="4.9699999999999989"/>
    <x v="1"/>
  </r>
  <r>
    <n v="131682"/>
    <n v="41.89"/>
    <n v="38.32"/>
    <n v="2618"/>
    <x v="0"/>
    <x v="1"/>
    <x v="1"/>
    <x v="0"/>
    <x v="2"/>
    <x v="1"/>
    <n v="109668.02"/>
    <n v="3.5700000000000003"/>
    <x v="2"/>
  </r>
  <r>
    <n v="196276"/>
    <n v="32.26"/>
    <n v="32.14"/>
    <n v="1046"/>
    <x v="0"/>
    <x v="2"/>
    <x v="0"/>
    <x v="1"/>
    <x v="1"/>
    <x v="0"/>
    <n v="33743.96"/>
    <n v="0.11999999999999744"/>
    <x v="0"/>
  </r>
  <r>
    <n v="190412"/>
    <n v="7.35"/>
    <n v="4.09"/>
    <n v="2656"/>
    <x v="0"/>
    <x v="2"/>
    <x v="1"/>
    <x v="0"/>
    <x v="1"/>
    <x v="1"/>
    <n v="19521.599999999999"/>
    <n v="3.26"/>
    <x v="2"/>
  </r>
  <r>
    <n v="149903"/>
    <n v="38.17"/>
    <n v="36.06"/>
    <n v="2673"/>
    <x v="2"/>
    <x v="0"/>
    <x v="1"/>
    <x v="1"/>
    <x v="0"/>
    <x v="1"/>
    <n v="102028.41"/>
    <n v="2.1099999999999994"/>
    <x v="2"/>
  </r>
  <r>
    <n v="189131"/>
    <n v="19.12"/>
    <n v="16.5"/>
    <n v="2424"/>
    <x v="1"/>
    <x v="3"/>
    <x v="1"/>
    <x v="0"/>
    <x v="2"/>
    <x v="0"/>
    <n v="46346.880000000005"/>
    <n v="2.620000000000001"/>
    <x v="2"/>
  </r>
  <r>
    <n v="148327"/>
    <n v="31.77"/>
    <n v="30.3"/>
    <n v="1717"/>
    <x v="1"/>
    <x v="2"/>
    <x v="1"/>
    <x v="2"/>
    <x v="1"/>
    <x v="1"/>
    <n v="54549.09"/>
    <n v="1.4699999999999989"/>
    <x v="2"/>
  </r>
  <r>
    <n v="189088"/>
    <n v="15.93"/>
    <n v="14.41"/>
    <n v="2116"/>
    <x v="1"/>
    <x v="1"/>
    <x v="0"/>
    <x v="0"/>
    <x v="1"/>
    <x v="1"/>
    <n v="33707.879999999997"/>
    <n v="1.5199999999999996"/>
    <x v="2"/>
  </r>
  <r>
    <n v="143305"/>
    <n v="13.33"/>
    <n v="11.8"/>
    <n v="2880"/>
    <x v="0"/>
    <x v="1"/>
    <x v="0"/>
    <x v="0"/>
    <x v="2"/>
    <x v="1"/>
    <n v="38390.400000000001"/>
    <n v="1.5299999999999994"/>
    <x v="2"/>
  </r>
  <r>
    <n v="180943"/>
    <n v="17.48"/>
    <n v="13.88"/>
    <n v="2734"/>
    <x v="2"/>
    <x v="3"/>
    <x v="0"/>
    <x v="2"/>
    <x v="0"/>
    <x v="1"/>
    <n v="47790.32"/>
    <n v="3.5999999999999996"/>
    <x v="2"/>
  </r>
  <r>
    <n v="152059"/>
    <n v="17.05"/>
    <n v="12.61"/>
    <n v="1091"/>
    <x v="2"/>
    <x v="1"/>
    <x v="0"/>
    <x v="2"/>
    <x v="0"/>
    <x v="0"/>
    <n v="18601.55"/>
    <n v="4.4400000000000013"/>
    <x v="1"/>
  </r>
  <r>
    <n v="133691"/>
    <n v="49.8"/>
    <n v="48.64"/>
    <n v="2919"/>
    <x v="2"/>
    <x v="0"/>
    <x v="0"/>
    <x v="0"/>
    <x v="1"/>
    <x v="0"/>
    <n v="145366.19999999998"/>
    <n v="1.1599999999999966"/>
    <x v="0"/>
  </r>
  <r>
    <n v="161644"/>
    <n v="28.16"/>
    <n v="23.86"/>
    <n v="1145"/>
    <x v="2"/>
    <x v="2"/>
    <x v="0"/>
    <x v="1"/>
    <x v="2"/>
    <x v="1"/>
    <n v="32243.200000000001"/>
    <n v="4.3000000000000007"/>
    <x v="1"/>
  </r>
  <r>
    <n v="132643"/>
    <n v="44.21"/>
    <n v="43.36"/>
    <n v="566"/>
    <x v="2"/>
    <x v="0"/>
    <x v="0"/>
    <x v="0"/>
    <x v="2"/>
    <x v="1"/>
    <n v="25022.86"/>
    <n v="0.85000000000000142"/>
    <x v="0"/>
  </r>
  <r>
    <n v="162317"/>
    <n v="21.33"/>
    <n v="18.04"/>
    <n v="2517"/>
    <x v="0"/>
    <x v="2"/>
    <x v="0"/>
    <x v="1"/>
    <x v="2"/>
    <x v="1"/>
    <n v="53687.609999999993"/>
    <n v="3.2899999999999991"/>
    <x v="2"/>
  </r>
  <r>
    <n v="128592"/>
    <n v="11.29"/>
    <n v="10.38"/>
    <n v="1086"/>
    <x v="0"/>
    <x v="2"/>
    <x v="0"/>
    <x v="2"/>
    <x v="2"/>
    <x v="0"/>
    <n v="12260.939999999999"/>
    <n v="0.90999999999999837"/>
    <x v="0"/>
  </r>
  <r>
    <n v="192892"/>
    <n v="35.43"/>
    <n v="33.799999999999997"/>
    <n v="2623"/>
    <x v="2"/>
    <x v="2"/>
    <x v="1"/>
    <x v="2"/>
    <x v="2"/>
    <x v="1"/>
    <n v="92932.89"/>
    <n v="1.6300000000000026"/>
    <x v="2"/>
  </r>
  <r>
    <n v="197147"/>
    <n v="44.35"/>
    <n v="44.32"/>
    <n v="2205"/>
    <x v="0"/>
    <x v="0"/>
    <x v="0"/>
    <x v="2"/>
    <x v="2"/>
    <x v="0"/>
    <n v="97791.75"/>
    <n v="3.0000000000001137E-2"/>
    <x v="0"/>
  </r>
  <r>
    <n v="130871"/>
    <n v="13.89"/>
    <n v="10.9"/>
    <n v="707"/>
    <x v="1"/>
    <x v="3"/>
    <x v="0"/>
    <x v="2"/>
    <x v="2"/>
    <x v="1"/>
    <n v="9820.23"/>
    <n v="2.99"/>
    <x v="2"/>
  </r>
  <r>
    <n v="184314"/>
    <n v="29.6"/>
    <n v="25.68"/>
    <n v="2689"/>
    <x v="1"/>
    <x v="2"/>
    <x v="0"/>
    <x v="0"/>
    <x v="0"/>
    <x v="0"/>
    <n v="79594.400000000009"/>
    <n v="3.9200000000000017"/>
    <x v="1"/>
  </r>
  <r>
    <n v="131922"/>
    <n v="40.96"/>
    <n v="37.770000000000003"/>
    <n v="1544"/>
    <x v="1"/>
    <x v="3"/>
    <x v="1"/>
    <x v="2"/>
    <x v="1"/>
    <x v="1"/>
    <n v="63242.239999999998"/>
    <n v="3.1899999999999977"/>
    <x v="2"/>
  </r>
  <r>
    <n v="130546"/>
    <n v="41.34"/>
    <n v="38.01"/>
    <n v="2776"/>
    <x v="0"/>
    <x v="0"/>
    <x v="1"/>
    <x v="1"/>
    <x v="2"/>
    <x v="1"/>
    <n v="114759.84000000001"/>
    <n v="3.3300000000000054"/>
    <x v="2"/>
  </r>
  <r>
    <n v="167541"/>
    <n v="20.149999999999999"/>
    <n v="15.96"/>
    <n v="2054"/>
    <x v="0"/>
    <x v="1"/>
    <x v="1"/>
    <x v="1"/>
    <x v="0"/>
    <x v="1"/>
    <n v="41388.1"/>
    <n v="4.1899999999999977"/>
    <x v="1"/>
  </r>
  <r>
    <n v="165128"/>
    <n v="5.8"/>
    <n v="2.21"/>
    <n v="1242"/>
    <x v="0"/>
    <x v="0"/>
    <x v="1"/>
    <x v="2"/>
    <x v="2"/>
    <x v="0"/>
    <n v="7203.5999999999995"/>
    <n v="3.59"/>
    <x v="2"/>
  </r>
  <r>
    <n v="126255"/>
    <n v="23.1"/>
    <n v="22.97"/>
    <n v="1195"/>
    <x v="1"/>
    <x v="1"/>
    <x v="1"/>
    <x v="2"/>
    <x v="1"/>
    <x v="1"/>
    <n v="27604.5"/>
    <n v="0.13000000000000256"/>
    <x v="0"/>
  </r>
  <r>
    <n v="176976"/>
    <n v="41.72"/>
    <n v="41.7"/>
    <n v="2825"/>
    <x v="1"/>
    <x v="1"/>
    <x v="0"/>
    <x v="1"/>
    <x v="0"/>
    <x v="1"/>
    <n v="117859"/>
    <n v="1.9999999999996021E-2"/>
    <x v="0"/>
  </r>
  <r>
    <n v="185599"/>
    <n v="24.04"/>
    <n v="19.71"/>
    <n v="2656"/>
    <x v="1"/>
    <x v="1"/>
    <x v="0"/>
    <x v="0"/>
    <x v="2"/>
    <x v="0"/>
    <n v="63850.239999999998"/>
    <n v="4.3299999999999983"/>
    <x v="1"/>
  </r>
  <r>
    <n v="167273"/>
    <n v="5.55"/>
    <n v="3.4"/>
    <n v="1598"/>
    <x v="0"/>
    <x v="0"/>
    <x v="0"/>
    <x v="1"/>
    <x v="2"/>
    <x v="0"/>
    <n v="8868.9"/>
    <n v="2.15"/>
    <x v="2"/>
  </r>
  <r>
    <n v="189296"/>
    <n v="39"/>
    <n v="34.9"/>
    <n v="1452"/>
    <x v="2"/>
    <x v="0"/>
    <x v="1"/>
    <x v="1"/>
    <x v="0"/>
    <x v="0"/>
    <n v="56628"/>
    <n v="4.1000000000000014"/>
    <x v="1"/>
  </r>
  <r>
    <n v="125082"/>
    <n v="29.75"/>
    <n v="28.24"/>
    <n v="1446"/>
    <x v="1"/>
    <x v="3"/>
    <x v="0"/>
    <x v="1"/>
    <x v="1"/>
    <x v="0"/>
    <n v="43018.5"/>
    <n v="1.5100000000000016"/>
    <x v="2"/>
  </r>
  <r>
    <n v="116920"/>
    <n v="32.25"/>
    <n v="29.15"/>
    <n v="1634"/>
    <x v="2"/>
    <x v="1"/>
    <x v="1"/>
    <x v="0"/>
    <x v="0"/>
    <x v="0"/>
    <n v="52696.5"/>
    <n v="3.1000000000000014"/>
    <x v="2"/>
  </r>
  <r>
    <n v="111320"/>
    <n v="44.51"/>
    <n v="43.38"/>
    <n v="1098"/>
    <x v="0"/>
    <x v="1"/>
    <x v="0"/>
    <x v="1"/>
    <x v="0"/>
    <x v="1"/>
    <n v="48871.979999999996"/>
    <n v="1.1299999999999955"/>
    <x v="0"/>
  </r>
  <r>
    <n v="172247"/>
    <n v="11.85"/>
    <n v="11"/>
    <n v="867"/>
    <x v="0"/>
    <x v="0"/>
    <x v="0"/>
    <x v="1"/>
    <x v="0"/>
    <x v="0"/>
    <n v="10273.949999999999"/>
    <n v="0.84999999999999964"/>
    <x v="0"/>
  </r>
  <r>
    <n v="143462"/>
    <n v="33.11"/>
    <n v="29.2"/>
    <n v="2329"/>
    <x v="2"/>
    <x v="1"/>
    <x v="0"/>
    <x v="1"/>
    <x v="2"/>
    <x v="0"/>
    <n v="77113.19"/>
    <n v="3.91"/>
    <x v="1"/>
  </r>
  <r>
    <n v="125637"/>
    <n v="24.67"/>
    <n v="21.83"/>
    <n v="1797"/>
    <x v="1"/>
    <x v="1"/>
    <x v="0"/>
    <x v="2"/>
    <x v="0"/>
    <x v="1"/>
    <n v="44331.990000000005"/>
    <n v="2.8400000000000034"/>
    <x v="2"/>
  </r>
  <r>
    <n v="115827"/>
    <n v="8.9"/>
    <n v="5.4"/>
    <n v="2636"/>
    <x v="0"/>
    <x v="0"/>
    <x v="1"/>
    <x v="1"/>
    <x v="0"/>
    <x v="1"/>
    <n v="23460.400000000001"/>
    <n v="3.5"/>
    <x v="2"/>
  </r>
  <r>
    <n v="183225"/>
    <n v="37.72"/>
    <n v="37.14"/>
    <n v="2659"/>
    <x v="1"/>
    <x v="2"/>
    <x v="1"/>
    <x v="1"/>
    <x v="2"/>
    <x v="0"/>
    <n v="100297.48"/>
    <n v="0.57999999999999829"/>
    <x v="0"/>
  </r>
  <r>
    <n v="133283"/>
    <n v="30.44"/>
    <n v="28.74"/>
    <n v="1937"/>
    <x v="2"/>
    <x v="2"/>
    <x v="1"/>
    <x v="0"/>
    <x v="1"/>
    <x v="0"/>
    <n v="58962.280000000006"/>
    <n v="1.7000000000000028"/>
    <x v="2"/>
  </r>
  <r>
    <n v="164389"/>
    <n v="23.18"/>
    <n v="19.440000000000001"/>
    <n v="946"/>
    <x v="1"/>
    <x v="0"/>
    <x v="0"/>
    <x v="2"/>
    <x v="1"/>
    <x v="1"/>
    <n v="21928.28"/>
    <n v="3.7399999999999984"/>
    <x v="1"/>
  </r>
  <r>
    <n v="163108"/>
    <n v="9.48"/>
    <n v="8.56"/>
    <n v="2015"/>
    <x v="1"/>
    <x v="1"/>
    <x v="0"/>
    <x v="0"/>
    <x v="0"/>
    <x v="1"/>
    <n v="19102.2"/>
    <n v="0.91999999999999993"/>
    <x v="0"/>
  </r>
  <r>
    <n v="160121"/>
    <n v="45.89"/>
    <n v="42.27"/>
    <n v="1826"/>
    <x v="0"/>
    <x v="2"/>
    <x v="1"/>
    <x v="0"/>
    <x v="2"/>
    <x v="1"/>
    <n v="83795.14"/>
    <n v="3.6199999999999974"/>
    <x v="2"/>
  </r>
  <r>
    <n v="141116"/>
    <n v="13.57"/>
    <n v="13.42"/>
    <n v="2175"/>
    <x v="1"/>
    <x v="3"/>
    <x v="1"/>
    <x v="2"/>
    <x v="0"/>
    <x v="1"/>
    <n v="29514.75"/>
    <n v="0.15000000000000036"/>
    <x v="0"/>
  </r>
  <r>
    <n v="157901"/>
    <n v="44.95"/>
    <n v="44.81"/>
    <n v="2429"/>
    <x v="2"/>
    <x v="1"/>
    <x v="1"/>
    <x v="1"/>
    <x v="0"/>
    <x v="0"/>
    <n v="109183.55"/>
    <n v="0.14000000000000057"/>
    <x v="0"/>
  </r>
  <r>
    <n v="165017"/>
    <n v="29.79"/>
    <n v="28.21"/>
    <n v="2257"/>
    <x v="0"/>
    <x v="1"/>
    <x v="1"/>
    <x v="0"/>
    <x v="2"/>
    <x v="1"/>
    <n v="67236.03"/>
    <n v="1.5799999999999983"/>
    <x v="2"/>
  </r>
  <r>
    <n v="165689"/>
    <n v="41.01"/>
    <n v="39.78"/>
    <n v="696"/>
    <x v="0"/>
    <x v="0"/>
    <x v="0"/>
    <x v="1"/>
    <x v="2"/>
    <x v="0"/>
    <n v="28542.959999999999"/>
    <n v="1.2299999999999969"/>
    <x v="2"/>
  </r>
  <r>
    <n v="172370"/>
    <n v="49.94"/>
    <n v="48.76"/>
    <n v="1789"/>
    <x v="2"/>
    <x v="2"/>
    <x v="0"/>
    <x v="1"/>
    <x v="2"/>
    <x v="0"/>
    <n v="89342.659999999989"/>
    <n v="1.1799999999999997"/>
    <x v="2"/>
  </r>
  <r>
    <n v="149539"/>
    <n v="6.23"/>
    <n v="4.53"/>
    <n v="2203"/>
    <x v="0"/>
    <x v="1"/>
    <x v="0"/>
    <x v="1"/>
    <x v="1"/>
    <x v="0"/>
    <n v="13724.69"/>
    <n v="1.7000000000000002"/>
    <x v="2"/>
  </r>
  <r>
    <n v="149127"/>
    <n v="46.45"/>
    <n v="45.65"/>
    <n v="2727"/>
    <x v="2"/>
    <x v="2"/>
    <x v="0"/>
    <x v="2"/>
    <x v="2"/>
    <x v="0"/>
    <n v="126669.15000000001"/>
    <n v="0.80000000000000426"/>
    <x v="0"/>
  </r>
  <r>
    <n v="199887"/>
    <n v="29.76"/>
    <n v="29.19"/>
    <n v="1109"/>
    <x v="2"/>
    <x v="1"/>
    <x v="0"/>
    <x v="2"/>
    <x v="2"/>
    <x v="1"/>
    <n v="33003.840000000004"/>
    <n v="0.57000000000000028"/>
    <x v="0"/>
  </r>
  <r>
    <n v="166103"/>
    <n v="21.8"/>
    <n v="21.43"/>
    <n v="2428"/>
    <x v="1"/>
    <x v="2"/>
    <x v="1"/>
    <x v="1"/>
    <x v="0"/>
    <x v="1"/>
    <n v="52930.400000000001"/>
    <n v="0.37000000000000099"/>
    <x v="0"/>
  </r>
  <r>
    <n v="144850"/>
    <n v="25.49"/>
    <n v="24.92"/>
    <n v="2190"/>
    <x v="0"/>
    <x v="1"/>
    <x v="0"/>
    <x v="2"/>
    <x v="2"/>
    <x v="0"/>
    <n v="55823.1"/>
    <n v="0.56999999999999673"/>
    <x v="0"/>
  </r>
  <r>
    <n v="139746"/>
    <n v="14.04"/>
    <n v="11.23"/>
    <n v="699"/>
    <x v="2"/>
    <x v="2"/>
    <x v="1"/>
    <x v="0"/>
    <x v="2"/>
    <x v="1"/>
    <n v="9813.9599999999991"/>
    <n v="2.8099999999999987"/>
    <x v="2"/>
  </r>
  <r>
    <n v="177685"/>
    <n v="29.68"/>
    <n v="28.94"/>
    <n v="2204"/>
    <x v="1"/>
    <x v="2"/>
    <x v="0"/>
    <x v="0"/>
    <x v="2"/>
    <x v="0"/>
    <n v="65414.720000000001"/>
    <n v="0.73999999999999844"/>
    <x v="0"/>
  </r>
  <r>
    <n v="166728"/>
    <n v="25.92"/>
    <n v="23.68"/>
    <n v="542"/>
    <x v="2"/>
    <x v="3"/>
    <x v="1"/>
    <x v="0"/>
    <x v="1"/>
    <x v="0"/>
    <n v="14048.640000000001"/>
    <n v="2.240000000000002"/>
    <x v="2"/>
  </r>
  <r>
    <n v="116065"/>
    <n v="36.880000000000003"/>
    <n v="35.72"/>
    <n v="2912"/>
    <x v="0"/>
    <x v="1"/>
    <x v="1"/>
    <x v="2"/>
    <x v="2"/>
    <x v="1"/>
    <n v="107394.56000000001"/>
    <n v="1.1600000000000037"/>
    <x v="0"/>
  </r>
  <r>
    <n v="110033"/>
    <n v="40.15"/>
    <n v="39.380000000000003"/>
    <n v="1998"/>
    <x v="1"/>
    <x v="0"/>
    <x v="1"/>
    <x v="2"/>
    <x v="1"/>
    <x v="1"/>
    <n v="80219.7"/>
    <n v="0.76999999999999602"/>
    <x v="0"/>
  </r>
  <r>
    <n v="164617"/>
    <n v="41.6"/>
    <n v="38.19"/>
    <n v="577"/>
    <x v="2"/>
    <x v="1"/>
    <x v="1"/>
    <x v="2"/>
    <x v="1"/>
    <x v="0"/>
    <n v="24003.200000000001"/>
    <n v="3.4100000000000037"/>
    <x v="2"/>
  </r>
  <r>
    <n v="112314"/>
    <n v="42.47"/>
    <n v="41.94"/>
    <n v="1370"/>
    <x v="1"/>
    <x v="3"/>
    <x v="1"/>
    <x v="0"/>
    <x v="1"/>
    <x v="0"/>
    <n v="58183.9"/>
    <n v="0.53000000000000114"/>
    <x v="0"/>
  </r>
  <r>
    <n v="130671"/>
    <n v="35.950000000000003"/>
    <n v="31.23"/>
    <n v="2432"/>
    <x v="1"/>
    <x v="1"/>
    <x v="1"/>
    <x v="1"/>
    <x v="1"/>
    <x v="0"/>
    <n v="87430.400000000009"/>
    <n v="4.7200000000000024"/>
    <x v="1"/>
  </r>
  <r>
    <n v="176094"/>
    <n v="32.369999999999997"/>
    <n v="28.91"/>
    <n v="1506"/>
    <x v="2"/>
    <x v="0"/>
    <x v="1"/>
    <x v="1"/>
    <x v="1"/>
    <x v="0"/>
    <n v="48749.219999999994"/>
    <n v="3.4599999999999973"/>
    <x v="2"/>
  </r>
  <r>
    <n v="133227"/>
    <n v="13.73"/>
    <n v="10.09"/>
    <n v="1911"/>
    <x v="2"/>
    <x v="1"/>
    <x v="1"/>
    <x v="2"/>
    <x v="2"/>
    <x v="1"/>
    <n v="26238.030000000002"/>
    <n v="3.6400000000000006"/>
    <x v="2"/>
  </r>
  <r>
    <n v="170530"/>
    <n v="34.86"/>
    <n v="33.159999999999997"/>
    <n v="880"/>
    <x v="2"/>
    <x v="3"/>
    <x v="1"/>
    <x v="0"/>
    <x v="2"/>
    <x v="1"/>
    <n v="30676.799999999999"/>
    <n v="1.7000000000000028"/>
    <x v="2"/>
  </r>
  <r>
    <n v="195782"/>
    <n v="22.2"/>
    <n v="18.07"/>
    <n v="2748"/>
    <x v="0"/>
    <x v="1"/>
    <x v="0"/>
    <x v="2"/>
    <x v="0"/>
    <x v="0"/>
    <n v="61005.599999999999"/>
    <n v="4.129999999999999"/>
    <x v="1"/>
  </r>
  <r>
    <n v="113054"/>
    <n v="32.090000000000003"/>
    <n v="28.27"/>
    <n v="1705"/>
    <x v="0"/>
    <x v="2"/>
    <x v="1"/>
    <x v="1"/>
    <x v="2"/>
    <x v="0"/>
    <n v="54713.450000000004"/>
    <n v="3.8200000000000038"/>
    <x v="1"/>
  </r>
  <r>
    <n v="198313"/>
    <n v="33.950000000000003"/>
    <n v="33.43"/>
    <n v="1298"/>
    <x v="0"/>
    <x v="0"/>
    <x v="0"/>
    <x v="0"/>
    <x v="2"/>
    <x v="1"/>
    <n v="44067.100000000006"/>
    <n v="0.52000000000000313"/>
    <x v="0"/>
  </r>
  <r>
    <n v="158628"/>
    <n v="22.29"/>
    <n v="17.88"/>
    <n v="708"/>
    <x v="2"/>
    <x v="1"/>
    <x v="1"/>
    <x v="1"/>
    <x v="0"/>
    <x v="1"/>
    <n v="15781.32"/>
    <n v="4.41"/>
    <x v="1"/>
  </r>
  <r>
    <n v="154165"/>
    <n v="30.33"/>
    <n v="30.04"/>
    <n v="1887"/>
    <x v="2"/>
    <x v="1"/>
    <x v="0"/>
    <x v="0"/>
    <x v="1"/>
    <x v="1"/>
    <n v="57232.71"/>
    <n v="0.28999999999999915"/>
    <x v="0"/>
  </r>
  <r>
    <n v="122473"/>
    <n v="32.200000000000003"/>
    <n v="31.52"/>
    <n v="1604"/>
    <x v="0"/>
    <x v="1"/>
    <x v="0"/>
    <x v="0"/>
    <x v="0"/>
    <x v="1"/>
    <n v="51648.800000000003"/>
    <n v="0.68000000000000327"/>
    <x v="0"/>
  </r>
  <r>
    <n v="150408"/>
    <n v="31.86"/>
    <n v="27.95"/>
    <n v="1603"/>
    <x v="1"/>
    <x v="3"/>
    <x v="1"/>
    <x v="1"/>
    <x v="2"/>
    <x v="1"/>
    <n v="51071.58"/>
    <n v="3.91"/>
    <x v="1"/>
  </r>
  <r>
    <n v="178253"/>
    <n v="13.82"/>
    <n v="9.57"/>
    <n v="2609"/>
    <x v="1"/>
    <x v="3"/>
    <x v="0"/>
    <x v="0"/>
    <x v="0"/>
    <x v="1"/>
    <n v="36056.379999999997"/>
    <n v="4.25"/>
    <x v="1"/>
  </r>
  <r>
    <n v="182211"/>
    <n v="6.38"/>
    <n v="5.8"/>
    <n v="1956"/>
    <x v="0"/>
    <x v="0"/>
    <x v="0"/>
    <x v="1"/>
    <x v="0"/>
    <x v="1"/>
    <n v="12479.28"/>
    <n v="0.58000000000000007"/>
    <x v="0"/>
  </r>
  <r>
    <n v="157396"/>
    <n v="7.24"/>
    <n v="4.3"/>
    <n v="1929"/>
    <x v="2"/>
    <x v="3"/>
    <x v="1"/>
    <x v="2"/>
    <x v="0"/>
    <x v="0"/>
    <n v="13965.960000000001"/>
    <n v="2.9400000000000004"/>
    <x v="2"/>
  </r>
  <r>
    <n v="152736"/>
    <n v="6.99"/>
    <n v="4.25"/>
    <n v="570"/>
    <x v="1"/>
    <x v="1"/>
    <x v="1"/>
    <x v="0"/>
    <x v="1"/>
    <x v="0"/>
    <n v="3984.3"/>
    <n v="2.74"/>
    <x v="2"/>
  </r>
  <r>
    <n v="168051"/>
    <n v="13.03"/>
    <n v="9.9600000000000009"/>
    <n v="1680"/>
    <x v="2"/>
    <x v="2"/>
    <x v="0"/>
    <x v="0"/>
    <x v="1"/>
    <x v="1"/>
    <n v="21890.399999999998"/>
    <n v="3.0699999999999985"/>
    <x v="2"/>
  </r>
  <r>
    <n v="119648"/>
    <n v="31.46"/>
    <n v="28.87"/>
    <n v="2356"/>
    <x v="0"/>
    <x v="3"/>
    <x v="0"/>
    <x v="0"/>
    <x v="0"/>
    <x v="0"/>
    <n v="74119.759999999995"/>
    <n v="2.59"/>
    <x v="2"/>
  </r>
  <r>
    <n v="130206"/>
    <n v="37.159999999999997"/>
    <n v="32.19"/>
    <n v="2510"/>
    <x v="1"/>
    <x v="3"/>
    <x v="1"/>
    <x v="0"/>
    <x v="1"/>
    <x v="0"/>
    <n v="93271.599999999991"/>
    <n v="4.9699999999999989"/>
    <x v="1"/>
  </r>
  <r>
    <n v="153501"/>
    <n v="29.56"/>
    <n v="29.41"/>
    <n v="1103"/>
    <x v="0"/>
    <x v="0"/>
    <x v="1"/>
    <x v="0"/>
    <x v="0"/>
    <x v="1"/>
    <n v="32604.68"/>
    <n v="0.14999999999999858"/>
    <x v="0"/>
  </r>
  <r>
    <n v="196059"/>
    <n v="43.14"/>
    <n v="38.22"/>
    <n v="1692"/>
    <x v="2"/>
    <x v="1"/>
    <x v="0"/>
    <x v="0"/>
    <x v="0"/>
    <x v="0"/>
    <n v="72992.88"/>
    <n v="4.9200000000000017"/>
    <x v="1"/>
  </r>
  <r>
    <n v="153655"/>
    <n v="6.98"/>
    <n v="3.65"/>
    <n v="2949"/>
    <x v="1"/>
    <x v="2"/>
    <x v="1"/>
    <x v="0"/>
    <x v="0"/>
    <x v="0"/>
    <n v="20584.02"/>
    <n v="3.3300000000000005"/>
    <x v="2"/>
  </r>
  <r>
    <n v="191803"/>
    <n v="22.04"/>
    <n v="18.39"/>
    <n v="1956"/>
    <x v="0"/>
    <x v="2"/>
    <x v="1"/>
    <x v="2"/>
    <x v="1"/>
    <x v="1"/>
    <n v="43110.239999999998"/>
    <n v="3.6499999999999986"/>
    <x v="2"/>
  </r>
  <r>
    <n v="145992"/>
    <n v="5.25"/>
    <n v="4.12"/>
    <n v="1519"/>
    <x v="1"/>
    <x v="3"/>
    <x v="1"/>
    <x v="2"/>
    <x v="1"/>
    <x v="0"/>
    <n v="7974.75"/>
    <n v="1.1299999999999999"/>
    <x v="0"/>
  </r>
  <r>
    <n v="118967"/>
    <n v="7.93"/>
    <n v="4.75"/>
    <n v="777"/>
    <x v="2"/>
    <x v="2"/>
    <x v="1"/>
    <x v="1"/>
    <x v="1"/>
    <x v="0"/>
    <n v="6161.61"/>
    <n v="3.1799999999999997"/>
    <x v="2"/>
  </r>
  <r>
    <n v="125062"/>
    <n v="45.23"/>
    <n v="43.36"/>
    <n v="768"/>
    <x v="2"/>
    <x v="3"/>
    <x v="0"/>
    <x v="1"/>
    <x v="2"/>
    <x v="0"/>
    <n v="34736.639999999999"/>
    <n v="1.8699999999999974"/>
    <x v="2"/>
  </r>
  <r>
    <n v="165448"/>
    <n v="46.61"/>
    <n v="41.87"/>
    <n v="1294"/>
    <x v="2"/>
    <x v="0"/>
    <x v="1"/>
    <x v="1"/>
    <x v="0"/>
    <x v="1"/>
    <n v="60313.34"/>
    <n v="4.740000000000002"/>
    <x v="1"/>
  </r>
  <r>
    <n v="160827"/>
    <n v="25.91"/>
    <n v="21.37"/>
    <n v="2555"/>
    <x v="1"/>
    <x v="1"/>
    <x v="0"/>
    <x v="1"/>
    <x v="1"/>
    <x v="1"/>
    <n v="66200.05"/>
    <n v="4.5399999999999991"/>
    <x v="1"/>
  </r>
  <r>
    <n v="125378"/>
    <n v="23.53"/>
    <n v="22.66"/>
    <n v="1770"/>
    <x v="0"/>
    <x v="2"/>
    <x v="1"/>
    <x v="0"/>
    <x v="1"/>
    <x v="0"/>
    <n v="41648.1"/>
    <n v="0.87000000000000099"/>
    <x v="0"/>
  </r>
  <r>
    <n v="185547"/>
    <n v="33.880000000000003"/>
    <n v="32.200000000000003"/>
    <n v="2933"/>
    <x v="2"/>
    <x v="3"/>
    <x v="1"/>
    <x v="0"/>
    <x v="2"/>
    <x v="1"/>
    <n v="99370.040000000008"/>
    <n v="1.6799999999999997"/>
    <x v="2"/>
  </r>
  <r>
    <n v="191475"/>
    <n v="29.88"/>
    <n v="26.09"/>
    <n v="1808"/>
    <x v="2"/>
    <x v="1"/>
    <x v="0"/>
    <x v="0"/>
    <x v="0"/>
    <x v="0"/>
    <n v="54023.040000000001"/>
    <n v="3.7899999999999991"/>
    <x v="1"/>
  </r>
  <r>
    <n v="193605"/>
    <n v="5.18"/>
    <n v="1.25"/>
    <n v="960"/>
    <x v="0"/>
    <x v="0"/>
    <x v="0"/>
    <x v="2"/>
    <x v="1"/>
    <x v="1"/>
    <n v="4972.7999999999993"/>
    <n v="3.9299999999999997"/>
    <x v="1"/>
  </r>
  <r>
    <n v="193179"/>
    <n v="29.65"/>
    <n v="25.39"/>
    <n v="2593"/>
    <x v="1"/>
    <x v="2"/>
    <x v="1"/>
    <x v="2"/>
    <x v="1"/>
    <x v="1"/>
    <n v="76882.45"/>
    <n v="4.259999999999998"/>
    <x v="1"/>
  </r>
  <r>
    <n v="131808"/>
    <n v="5.49"/>
    <n v="3.93"/>
    <n v="2071"/>
    <x v="0"/>
    <x v="2"/>
    <x v="1"/>
    <x v="2"/>
    <x v="1"/>
    <x v="0"/>
    <n v="11369.79"/>
    <n v="1.56"/>
    <x v="2"/>
  </r>
  <r>
    <n v="134615"/>
    <n v="46.83"/>
    <n v="43.95"/>
    <n v="2441"/>
    <x v="2"/>
    <x v="2"/>
    <x v="0"/>
    <x v="1"/>
    <x v="1"/>
    <x v="1"/>
    <n v="114312.03"/>
    <n v="2.8799999999999955"/>
    <x v="2"/>
  </r>
  <r>
    <n v="142414"/>
    <n v="47.21"/>
    <n v="43.5"/>
    <n v="2683"/>
    <x v="2"/>
    <x v="2"/>
    <x v="1"/>
    <x v="0"/>
    <x v="0"/>
    <x v="0"/>
    <n v="126664.43000000001"/>
    <n v="3.7100000000000009"/>
    <x v="1"/>
  </r>
  <r>
    <n v="152245"/>
    <n v="30.79"/>
    <n v="28.5"/>
    <n v="1105"/>
    <x v="2"/>
    <x v="0"/>
    <x v="0"/>
    <x v="0"/>
    <x v="0"/>
    <x v="0"/>
    <n v="34022.949999999997"/>
    <n v="2.2899999999999991"/>
    <x v="2"/>
  </r>
  <r>
    <n v="186093"/>
    <n v="42.17"/>
    <n v="41.97"/>
    <n v="1697"/>
    <x v="2"/>
    <x v="3"/>
    <x v="0"/>
    <x v="1"/>
    <x v="0"/>
    <x v="1"/>
    <n v="71562.490000000005"/>
    <n v="0.20000000000000284"/>
    <x v="0"/>
  </r>
  <r>
    <n v="123603"/>
    <n v="23.26"/>
    <n v="19.02"/>
    <n v="2963"/>
    <x v="2"/>
    <x v="1"/>
    <x v="1"/>
    <x v="0"/>
    <x v="1"/>
    <x v="0"/>
    <n v="68919.38"/>
    <n v="4.240000000000002"/>
    <x v="1"/>
  </r>
  <r>
    <n v="178518"/>
    <n v="38.840000000000003"/>
    <n v="37.74"/>
    <n v="2200"/>
    <x v="2"/>
    <x v="0"/>
    <x v="0"/>
    <x v="2"/>
    <x v="0"/>
    <x v="0"/>
    <n v="85448.000000000015"/>
    <n v="1.1000000000000014"/>
    <x v="0"/>
  </r>
  <r>
    <n v="185924"/>
    <n v="5.84"/>
    <n v="1.86"/>
    <n v="2840"/>
    <x v="2"/>
    <x v="3"/>
    <x v="1"/>
    <x v="2"/>
    <x v="1"/>
    <x v="0"/>
    <n v="16585.599999999999"/>
    <n v="3.9799999999999995"/>
    <x v="1"/>
  </r>
  <r>
    <n v="161426"/>
    <n v="44.13"/>
    <n v="43.27"/>
    <n v="1739"/>
    <x v="1"/>
    <x v="1"/>
    <x v="0"/>
    <x v="1"/>
    <x v="2"/>
    <x v="0"/>
    <n v="76742.070000000007"/>
    <n v="0.85999999999999943"/>
    <x v="0"/>
  </r>
  <r>
    <n v="179528"/>
    <n v="40.14"/>
    <n v="36.200000000000003"/>
    <n v="2999"/>
    <x v="1"/>
    <x v="3"/>
    <x v="0"/>
    <x v="1"/>
    <x v="0"/>
    <x v="0"/>
    <n v="120379.86"/>
    <n v="3.9399999999999977"/>
    <x v="1"/>
  </r>
  <r>
    <n v="152881"/>
    <n v="27.34"/>
    <n v="22.81"/>
    <n v="2971"/>
    <x v="1"/>
    <x v="1"/>
    <x v="1"/>
    <x v="2"/>
    <x v="1"/>
    <x v="0"/>
    <n v="81227.14"/>
    <n v="4.5300000000000011"/>
    <x v="1"/>
  </r>
  <r>
    <n v="158853"/>
    <n v="46.23"/>
    <n v="41.51"/>
    <n v="793"/>
    <x v="1"/>
    <x v="3"/>
    <x v="1"/>
    <x v="0"/>
    <x v="2"/>
    <x v="0"/>
    <n v="36660.39"/>
    <n v="4.7199999999999989"/>
    <x v="1"/>
  </r>
  <r>
    <n v="186138"/>
    <n v="33.229999999999997"/>
    <n v="30.17"/>
    <n v="2641"/>
    <x v="1"/>
    <x v="2"/>
    <x v="0"/>
    <x v="0"/>
    <x v="1"/>
    <x v="1"/>
    <n v="87760.43"/>
    <n v="3.0599999999999952"/>
    <x v="2"/>
  </r>
  <r>
    <n v="183223"/>
    <n v="27.65"/>
    <n v="27.47"/>
    <n v="1171"/>
    <x v="2"/>
    <x v="2"/>
    <x v="1"/>
    <x v="0"/>
    <x v="2"/>
    <x v="1"/>
    <n v="32378.149999999998"/>
    <n v="0.17999999999999972"/>
    <x v="0"/>
  </r>
  <r>
    <n v="113169"/>
    <n v="22.42"/>
    <n v="20.12"/>
    <n v="2971"/>
    <x v="1"/>
    <x v="1"/>
    <x v="1"/>
    <x v="0"/>
    <x v="0"/>
    <x v="0"/>
    <n v="66609.820000000007"/>
    <n v="2.3000000000000007"/>
    <x v="2"/>
  </r>
  <r>
    <n v="138256"/>
    <n v="30.63"/>
    <n v="26.41"/>
    <n v="2188"/>
    <x v="2"/>
    <x v="3"/>
    <x v="1"/>
    <x v="2"/>
    <x v="2"/>
    <x v="0"/>
    <n v="67018.44"/>
    <n v="4.2199999999999989"/>
    <x v="1"/>
  </r>
  <r>
    <n v="115815"/>
    <n v="29.87"/>
    <n v="25.64"/>
    <n v="1287"/>
    <x v="2"/>
    <x v="1"/>
    <x v="1"/>
    <x v="1"/>
    <x v="2"/>
    <x v="1"/>
    <n v="38442.69"/>
    <n v="4.2300000000000004"/>
    <x v="1"/>
  </r>
  <r>
    <n v="162665"/>
    <n v="27.54"/>
    <n v="27.44"/>
    <n v="1946"/>
    <x v="0"/>
    <x v="2"/>
    <x v="1"/>
    <x v="0"/>
    <x v="1"/>
    <x v="1"/>
    <n v="53592.84"/>
    <n v="9.9999999999997868E-2"/>
    <x v="0"/>
  </r>
  <r>
    <n v="135610"/>
    <n v="6.2"/>
    <n v="4.47"/>
    <n v="1989"/>
    <x v="2"/>
    <x v="3"/>
    <x v="1"/>
    <x v="0"/>
    <x v="1"/>
    <x v="1"/>
    <n v="12331.800000000001"/>
    <n v="1.7300000000000004"/>
    <x v="2"/>
  </r>
  <r>
    <n v="164361"/>
    <n v="11.57"/>
    <n v="8.19"/>
    <n v="1557"/>
    <x v="2"/>
    <x v="0"/>
    <x v="1"/>
    <x v="0"/>
    <x v="0"/>
    <x v="1"/>
    <n v="18014.490000000002"/>
    <n v="3.3800000000000008"/>
    <x v="2"/>
  </r>
  <r>
    <n v="112551"/>
    <n v="12.44"/>
    <n v="9.74"/>
    <n v="1060"/>
    <x v="1"/>
    <x v="0"/>
    <x v="0"/>
    <x v="2"/>
    <x v="0"/>
    <x v="0"/>
    <n v="13186.4"/>
    <n v="2.6999999999999993"/>
    <x v="2"/>
  </r>
  <r>
    <n v="184922"/>
    <n v="49.7"/>
    <n v="47.27"/>
    <n v="2461"/>
    <x v="0"/>
    <x v="3"/>
    <x v="1"/>
    <x v="0"/>
    <x v="1"/>
    <x v="1"/>
    <n v="122311.70000000001"/>
    <n v="2.4299999999999997"/>
    <x v="2"/>
  </r>
  <r>
    <n v="159197"/>
    <n v="36.549999999999997"/>
    <n v="31.66"/>
    <n v="2745"/>
    <x v="2"/>
    <x v="2"/>
    <x v="1"/>
    <x v="2"/>
    <x v="2"/>
    <x v="1"/>
    <n v="100329.74999999999"/>
    <n v="4.889999999999997"/>
    <x v="1"/>
  </r>
  <r>
    <n v="162972"/>
    <n v="25.44"/>
    <n v="21.24"/>
    <n v="1802"/>
    <x v="0"/>
    <x v="1"/>
    <x v="1"/>
    <x v="2"/>
    <x v="2"/>
    <x v="1"/>
    <n v="45842.880000000005"/>
    <n v="4.2000000000000028"/>
    <x v="1"/>
  </r>
  <r>
    <n v="194018"/>
    <n v="27.67"/>
    <n v="22.78"/>
    <n v="1024"/>
    <x v="2"/>
    <x v="1"/>
    <x v="1"/>
    <x v="2"/>
    <x v="1"/>
    <x v="0"/>
    <n v="28334.080000000002"/>
    <n v="4.8900000000000006"/>
    <x v="1"/>
  </r>
  <r>
    <n v="128043"/>
    <n v="11"/>
    <n v="6.91"/>
    <n v="667"/>
    <x v="2"/>
    <x v="2"/>
    <x v="1"/>
    <x v="0"/>
    <x v="0"/>
    <x v="0"/>
    <n v="7337"/>
    <n v="4.09"/>
    <x v="1"/>
  </r>
  <r>
    <n v="194508"/>
    <n v="11.03"/>
    <n v="10.210000000000001"/>
    <n v="2691"/>
    <x v="0"/>
    <x v="3"/>
    <x v="0"/>
    <x v="2"/>
    <x v="0"/>
    <x v="1"/>
    <n v="29681.73"/>
    <n v="0.81999999999999851"/>
    <x v="0"/>
  </r>
  <r>
    <n v="125010"/>
    <n v="30.97"/>
    <n v="26.4"/>
    <n v="533"/>
    <x v="1"/>
    <x v="3"/>
    <x v="1"/>
    <x v="2"/>
    <x v="0"/>
    <x v="0"/>
    <n v="16507.009999999998"/>
    <n v="4.57"/>
    <x v="1"/>
  </r>
  <r>
    <n v="157494"/>
    <n v="21.68"/>
    <n v="19.100000000000001"/>
    <n v="1410"/>
    <x v="1"/>
    <x v="1"/>
    <x v="1"/>
    <x v="0"/>
    <x v="1"/>
    <x v="1"/>
    <n v="30568.799999999999"/>
    <n v="2.5799999999999983"/>
    <x v="2"/>
  </r>
  <r>
    <n v="195774"/>
    <n v="47.46"/>
    <n v="42.76"/>
    <n v="2905"/>
    <x v="1"/>
    <x v="2"/>
    <x v="0"/>
    <x v="1"/>
    <x v="0"/>
    <x v="0"/>
    <n v="137871.29999999999"/>
    <n v="4.7000000000000028"/>
    <x v="1"/>
  </r>
  <r>
    <n v="133617"/>
    <n v="34.49"/>
    <n v="32.89"/>
    <n v="2881"/>
    <x v="1"/>
    <x v="1"/>
    <x v="0"/>
    <x v="1"/>
    <x v="0"/>
    <x v="1"/>
    <n v="99365.69"/>
    <n v="1.6000000000000014"/>
    <x v="2"/>
  </r>
  <r>
    <n v="176459"/>
    <n v="39.72"/>
    <n v="36.86"/>
    <n v="657"/>
    <x v="2"/>
    <x v="0"/>
    <x v="0"/>
    <x v="2"/>
    <x v="1"/>
    <x v="0"/>
    <n v="26096.04"/>
    <n v="2.8599999999999994"/>
    <x v="2"/>
  </r>
  <r>
    <n v="138820"/>
    <n v="5.85"/>
    <n v="2.0299999999999998"/>
    <n v="2975"/>
    <x v="1"/>
    <x v="1"/>
    <x v="1"/>
    <x v="0"/>
    <x v="0"/>
    <x v="1"/>
    <n v="17403.75"/>
    <n v="3.82"/>
    <x v="1"/>
  </r>
  <r>
    <n v="152123"/>
    <n v="26.07"/>
    <n v="25.02"/>
    <n v="955"/>
    <x v="1"/>
    <x v="0"/>
    <x v="1"/>
    <x v="2"/>
    <x v="0"/>
    <x v="0"/>
    <n v="24896.85"/>
    <n v="1.0500000000000007"/>
    <x v="0"/>
  </r>
  <r>
    <n v="165842"/>
    <n v="40.619999999999997"/>
    <n v="37.68"/>
    <n v="633"/>
    <x v="2"/>
    <x v="1"/>
    <x v="0"/>
    <x v="2"/>
    <x v="0"/>
    <x v="1"/>
    <n v="25712.46"/>
    <n v="2.9399999999999977"/>
    <x v="2"/>
  </r>
  <r>
    <n v="160474"/>
    <n v="10.3"/>
    <n v="6.83"/>
    <n v="1430"/>
    <x v="0"/>
    <x v="3"/>
    <x v="1"/>
    <x v="2"/>
    <x v="1"/>
    <x v="1"/>
    <n v="14729.000000000002"/>
    <n v="3.4700000000000006"/>
    <x v="2"/>
  </r>
  <r>
    <n v="198462"/>
    <n v="31.39"/>
    <n v="26.78"/>
    <n v="1779"/>
    <x v="0"/>
    <x v="1"/>
    <x v="0"/>
    <x v="1"/>
    <x v="1"/>
    <x v="0"/>
    <n v="55842.81"/>
    <n v="4.6099999999999994"/>
    <x v="1"/>
  </r>
  <r>
    <n v="194843"/>
    <n v="5.14"/>
    <n v="3.62"/>
    <n v="1324"/>
    <x v="0"/>
    <x v="3"/>
    <x v="1"/>
    <x v="0"/>
    <x v="0"/>
    <x v="0"/>
    <n v="6805.36"/>
    <n v="1.5199999999999996"/>
    <x v="2"/>
  </r>
  <r>
    <n v="150604"/>
    <n v="25.89"/>
    <n v="22.26"/>
    <n v="2694"/>
    <x v="1"/>
    <x v="0"/>
    <x v="1"/>
    <x v="0"/>
    <x v="2"/>
    <x v="1"/>
    <n v="69747.66"/>
    <n v="3.629999999999999"/>
    <x v="2"/>
  </r>
  <r>
    <n v="190418"/>
    <n v="43.29"/>
    <n v="42.64"/>
    <n v="1341"/>
    <x v="0"/>
    <x v="2"/>
    <x v="0"/>
    <x v="1"/>
    <x v="1"/>
    <x v="0"/>
    <n v="58051.89"/>
    <n v="0.64999999999999858"/>
    <x v="0"/>
  </r>
  <r>
    <n v="133094"/>
    <n v="29.18"/>
    <n v="28.36"/>
    <n v="2643"/>
    <x v="0"/>
    <x v="3"/>
    <x v="1"/>
    <x v="2"/>
    <x v="2"/>
    <x v="1"/>
    <n v="77122.740000000005"/>
    <n v="0.82000000000000028"/>
    <x v="0"/>
  </r>
  <r>
    <n v="189074"/>
    <n v="5.9"/>
    <n v="1.5"/>
    <n v="1353"/>
    <x v="0"/>
    <x v="3"/>
    <x v="1"/>
    <x v="1"/>
    <x v="2"/>
    <x v="1"/>
    <n v="7982.7000000000007"/>
    <n v="4.4000000000000004"/>
    <x v="1"/>
  </r>
  <r>
    <n v="152783"/>
    <n v="44.43"/>
    <n v="43.93"/>
    <n v="2839"/>
    <x v="1"/>
    <x v="2"/>
    <x v="1"/>
    <x v="2"/>
    <x v="1"/>
    <x v="1"/>
    <n v="126136.77"/>
    <n v="0.5"/>
    <x v="0"/>
  </r>
  <r>
    <n v="152215"/>
    <n v="22.4"/>
    <n v="19.66"/>
    <n v="954"/>
    <x v="1"/>
    <x v="2"/>
    <x v="0"/>
    <x v="2"/>
    <x v="1"/>
    <x v="0"/>
    <n v="21369.599999999999"/>
    <n v="2.7399999999999984"/>
    <x v="2"/>
  </r>
  <r>
    <n v="174676"/>
    <n v="16.36"/>
    <n v="15.03"/>
    <n v="1509"/>
    <x v="0"/>
    <x v="0"/>
    <x v="1"/>
    <x v="0"/>
    <x v="0"/>
    <x v="1"/>
    <n v="24687.239999999998"/>
    <n v="1.33"/>
    <x v="2"/>
  </r>
  <r>
    <n v="147821"/>
    <n v="26.3"/>
    <n v="24.58"/>
    <n v="2420"/>
    <x v="1"/>
    <x v="3"/>
    <x v="0"/>
    <x v="2"/>
    <x v="0"/>
    <x v="0"/>
    <n v="63646"/>
    <n v="1.7200000000000024"/>
    <x v="2"/>
  </r>
  <r>
    <n v="113180"/>
    <n v="47.71"/>
    <n v="46.97"/>
    <n v="2305"/>
    <x v="0"/>
    <x v="0"/>
    <x v="1"/>
    <x v="0"/>
    <x v="1"/>
    <x v="0"/>
    <n v="109971.55"/>
    <n v="0.74000000000000199"/>
    <x v="0"/>
  </r>
  <r>
    <n v="147684"/>
    <n v="32.67"/>
    <n v="30.34"/>
    <n v="914"/>
    <x v="0"/>
    <x v="3"/>
    <x v="0"/>
    <x v="0"/>
    <x v="0"/>
    <x v="0"/>
    <n v="29860.38"/>
    <n v="2.3300000000000018"/>
    <x v="2"/>
  </r>
  <r>
    <n v="110276"/>
    <n v="34.75"/>
    <n v="30.57"/>
    <n v="893"/>
    <x v="0"/>
    <x v="2"/>
    <x v="1"/>
    <x v="0"/>
    <x v="2"/>
    <x v="1"/>
    <n v="31031.75"/>
    <n v="4.18"/>
    <x v="1"/>
  </r>
  <r>
    <n v="119373"/>
    <n v="8.7200000000000006"/>
    <n v="5.39"/>
    <n v="2757"/>
    <x v="1"/>
    <x v="3"/>
    <x v="1"/>
    <x v="0"/>
    <x v="1"/>
    <x v="0"/>
    <n v="24041.040000000001"/>
    <n v="3.330000000000001"/>
    <x v="2"/>
  </r>
  <r>
    <n v="130090"/>
    <n v="13.15"/>
    <n v="12.98"/>
    <n v="905"/>
    <x v="0"/>
    <x v="1"/>
    <x v="1"/>
    <x v="0"/>
    <x v="1"/>
    <x v="0"/>
    <n v="11900.75"/>
    <n v="0.16999999999999993"/>
    <x v="0"/>
  </r>
  <r>
    <n v="168451"/>
    <n v="10.27"/>
    <n v="7.41"/>
    <n v="1050"/>
    <x v="2"/>
    <x v="3"/>
    <x v="0"/>
    <x v="2"/>
    <x v="1"/>
    <x v="0"/>
    <n v="10783.5"/>
    <n v="2.8599999999999994"/>
    <x v="2"/>
  </r>
  <r>
    <n v="196907"/>
    <n v="17.350000000000001"/>
    <n v="17.170000000000002"/>
    <n v="2911"/>
    <x v="0"/>
    <x v="1"/>
    <x v="1"/>
    <x v="0"/>
    <x v="0"/>
    <x v="1"/>
    <n v="50505.850000000006"/>
    <n v="0.17999999999999972"/>
    <x v="0"/>
  </r>
  <r>
    <n v="153708"/>
    <n v="12.05"/>
    <n v="9.59"/>
    <n v="541"/>
    <x v="2"/>
    <x v="1"/>
    <x v="1"/>
    <x v="0"/>
    <x v="0"/>
    <x v="0"/>
    <n v="6519.05"/>
    <n v="2.4600000000000009"/>
    <x v="2"/>
  </r>
  <r>
    <n v="116949"/>
    <n v="7.01"/>
    <n v="4.71"/>
    <n v="926"/>
    <x v="1"/>
    <x v="3"/>
    <x v="1"/>
    <x v="1"/>
    <x v="2"/>
    <x v="0"/>
    <n v="6491.26"/>
    <n v="2.2999999999999998"/>
    <x v="2"/>
  </r>
  <r>
    <n v="128184"/>
    <n v="26.69"/>
    <n v="22.29"/>
    <n v="527"/>
    <x v="1"/>
    <x v="0"/>
    <x v="1"/>
    <x v="0"/>
    <x v="2"/>
    <x v="0"/>
    <n v="14065.630000000001"/>
    <n v="4.4000000000000021"/>
    <x v="1"/>
  </r>
  <r>
    <n v="190312"/>
    <n v="41.92"/>
    <n v="37.020000000000003"/>
    <n v="2252"/>
    <x v="0"/>
    <x v="1"/>
    <x v="1"/>
    <x v="1"/>
    <x v="1"/>
    <x v="1"/>
    <n v="94403.840000000011"/>
    <n v="4.8999999999999986"/>
    <x v="1"/>
  </r>
  <r>
    <n v="195839"/>
    <n v="43.89"/>
    <n v="39.28"/>
    <n v="769"/>
    <x v="1"/>
    <x v="0"/>
    <x v="1"/>
    <x v="0"/>
    <x v="2"/>
    <x v="1"/>
    <n v="33751.410000000003"/>
    <n v="4.6099999999999994"/>
    <x v="1"/>
  </r>
  <r>
    <n v="197080"/>
    <n v="40.24"/>
    <n v="37.9"/>
    <n v="2798"/>
    <x v="0"/>
    <x v="1"/>
    <x v="1"/>
    <x v="2"/>
    <x v="0"/>
    <x v="1"/>
    <n v="112591.52"/>
    <n v="2.3400000000000034"/>
    <x v="2"/>
  </r>
  <r>
    <n v="126882"/>
    <n v="8.7100000000000009"/>
    <n v="6.89"/>
    <n v="2166"/>
    <x v="0"/>
    <x v="3"/>
    <x v="0"/>
    <x v="0"/>
    <x v="0"/>
    <x v="1"/>
    <n v="18865.86"/>
    <n v="1.8200000000000012"/>
    <x v="2"/>
  </r>
  <r>
    <n v="121683"/>
    <n v="14.48"/>
    <n v="11.5"/>
    <n v="1669"/>
    <x v="1"/>
    <x v="3"/>
    <x v="0"/>
    <x v="1"/>
    <x v="0"/>
    <x v="1"/>
    <n v="24167.119999999999"/>
    <n v="2.9800000000000004"/>
    <x v="2"/>
  </r>
  <r>
    <n v="114466"/>
    <n v="19.239999999999998"/>
    <n v="16.55"/>
    <n v="1056"/>
    <x v="2"/>
    <x v="2"/>
    <x v="0"/>
    <x v="0"/>
    <x v="0"/>
    <x v="1"/>
    <n v="20317.439999999999"/>
    <n v="2.6899999999999977"/>
    <x v="2"/>
  </r>
  <r>
    <n v="133423"/>
    <n v="43.91"/>
    <n v="42.82"/>
    <n v="768"/>
    <x v="1"/>
    <x v="1"/>
    <x v="1"/>
    <x v="2"/>
    <x v="2"/>
    <x v="0"/>
    <n v="33722.879999999997"/>
    <n v="1.0899999999999963"/>
    <x v="0"/>
  </r>
  <r>
    <n v="129345"/>
    <n v="39.19"/>
    <n v="35.94"/>
    <n v="1227"/>
    <x v="2"/>
    <x v="0"/>
    <x v="0"/>
    <x v="0"/>
    <x v="1"/>
    <x v="0"/>
    <n v="48086.13"/>
    <n v="3.25"/>
    <x v="2"/>
  </r>
  <r>
    <n v="182298"/>
    <n v="5.45"/>
    <n v="4.8899999999999997"/>
    <n v="2205"/>
    <x v="1"/>
    <x v="2"/>
    <x v="0"/>
    <x v="0"/>
    <x v="0"/>
    <x v="0"/>
    <n v="12017.25"/>
    <n v="0.5600000000000005"/>
    <x v="0"/>
  </r>
  <r>
    <n v="115099"/>
    <n v="44.39"/>
    <n v="43.57"/>
    <n v="2749"/>
    <x v="2"/>
    <x v="0"/>
    <x v="0"/>
    <x v="1"/>
    <x v="2"/>
    <x v="0"/>
    <n v="122028.11"/>
    <n v="0.82000000000000028"/>
    <x v="0"/>
  </r>
  <r>
    <n v="123677"/>
    <n v="23.14"/>
    <n v="18.420000000000002"/>
    <n v="1331"/>
    <x v="1"/>
    <x v="3"/>
    <x v="0"/>
    <x v="1"/>
    <x v="0"/>
    <x v="1"/>
    <n v="30799.34"/>
    <n v="4.7199999999999989"/>
    <x v="1"/>
  </r>
  <r>
    <n v="156228"/>
    <n v="32.1"/>
    <n v="27.11"/>
    <n v="1972"/>
    <x v="0"/>
    <x v="2"/>
    <x v="1"/>
    <x v="2"/>
    <x v="2"/>
    <x v="1"/>
    <n v="63301.200000000004"/>
    <n v="4.990000000000002"/>
    <x v="1"/>
  </r>
  <r>
    <n v="130446"/>
    <n v="32.33"/>
    <n v="29.9"/>
    <n v="2827"/>
    <x v="0"/>
    <x v="3"/>
    <x v="0"/>
    <x v="1"/>
    <x v="2"/>
    <x v="1"/>
    <n v="91396.909999999989"/>
    <n v="2.4299999999999997"/>
    <x v="2"/>
  </r>
  <r>
    <n v="139743"/>
    <n v="43.33"/>
    <n v="38.659999999999997"/>
    <n v="1861"/>
    <x v="2"/>
    <x v="3"/>
    <x v="0"/>
    <x v="2"/>
    <x v="2"/>
    <x v="1"/>
    <n v="80637.12999999999"/>
    <n v="4.6700000000000017"/>
    <x v="1"/>
  </r>
  <r>
    <n v="137462"/>
    <n v="40.36"/>
    <n v="39.26"/>
    <n v="2714"/>
    <x v="1"/>
    <x v="0"/>
    <x v="1"/>
    <x v="2"/>
    <x v="1"/>
    <x v="1"/>
    <n v="109537.04"/>
    <n v="1.1000000000000014"/>
    <x v="0"/>
  </r>
  <r>
    <n v="180388"/>
    <n v="49.25"/>
    <n v="44.43"/>
    <n v="755"/>
    <x v="0"/>
    <x v="1"/>
    <x v="0"/>
    <x v="0"/>
    <x v="2"/>
    <x v="0"/>
    <n v="37183.75"/>
    <n v="4.82"/>
    <x v="1"/>
  </r>
  <r>
    <n v="193975"/>
    <n v="43.94"/>
    <n v="43.83"/>
    <n v="1414"/>
    <x v="2"/>
    <x v="3"/>
    <x v="1"/>
    <x v="2"/>
    <x v="0"/>
    <x v="1"/>
    <n v="62131.159999999996"/>
    <n v="0.10999999999999943"/>
    <x v="0"/>
  </r>
  <r>
    <n v="126497"/>
    <n v="34.130000000000003"/>
    <n v="34.11"/>
    <n v="2838"/>
    <x v="1"/>
    <x v="2"/>
    <x v="0"/>
    <x v="1"/>
    <x v="1"/>
    <x v="0"/>
    <n v="96860.94"/>
    <n v="2.0000000000003126E-2"/>
    <x v="0"/>
  </r>
  <r>
    <n v="165072"/>
    <n v="37.020000000000003"/>
    <n v="33.369999999999997"/>
    <n v="2150"/>
    <x v="2"/>
    <x v="1"/>
    <x v="0"/>
    <x v="1"/>
    <x v="2"/>
    <x v="1"/>
    <n v="79593"/>
    <n v="3.6500000000000057"/>
    <x v="2"/>
  </r>
  <r>
    <n v="146446"/>
    <n v="35.56"/>
    <n v="30.73"/>
    <n v="2477"/>
    <x v="2"/>
    <x v="0"/>
    <x v="0"/>
    <x v="2"/>
    <x v="1"/>
    <x v="0"/>
    <n v="88082.12000000001"/>
    <n v="4.8300000000000018"/>
    <x v="1"/>
  </r>
  <r>
    <n v="174450"/>
    <n v="7.33"/>
    <n v="6.04"/>
    <n v="2651"/>
    <x v="0"/>
    <x v="2"/>
    <x v="0"/>
    <x v="2"/>
    <x v="1"/>
    <x v="1"/>
    <n v="19431.830000000002"/>
    <n v="1.29"/>
    <x v="2"/>
  </r>
  <r>
    <n v="130931"/>
    <n v="42.63"/>
    <n v="41.03"/>
    <n v="2224"/>
    <x v="2"/>
    <x v="0"/>
    <x v="1"/>
    <x v="0"/>
    <x v="1"/>
    <x v="0"/>
    <n v="94809.12000000001"/>
    <n v="1.6000000000000014"/>
    <x v="2"/>
  </r>
  <r>
    <n v="196440"/>
    <n v="24.41"/>
    <n v="21.22"/>
    <n v="2300"/>
    <x v="2"/>
    <x v="2"/>
    <x v="0"/>
    <x v="2"/>
    <x v="0"/>
    <x v="0"/>
    <n v="56143"/>
    <n v="3.1900000000000013"/>
    <x v="2"/>
  </r>
  <r>
    <n v="113511"/>
    <n v="21.22"/>
    <n v="19.82"/>
    <n v="2152"/>
    <x v="0"/>
    <x v="0"/>
    <x v="1"/>
    <x v="1"/>
    <x v="0"/>
    <x v="1"/>
    <n v="45665.439999999995"/>
    <n v="1.3999999999999986"/>
    <x v="2"/>
  </r>
  <r>
    <n v="163155"/>
    <n v="14.59"/>
    <n v="13.38"/>
    <n v="2689"/>
    <x v="0"/>
    <x v="1"/>
    <x v="0"/>
    <x v="0"/>
    <x v="1"/>
    <x v="0"/>
    <n v="39232.51"/>
    <n v="1.2099999999999991"/>
    <x v="2"/>
  </r>
  <r>
    <n v="143152"/>
    <n v="14.78"/>
    <n v="10.6"/>
    <n v="2046"/>
    <x v="0"/>
    <x v="1"/>
    <x v="1"/>
    <x v="2"/>
    <x v="1"/>
    <x v="0"/>
    <n v="30239.879999999997"/>
    <n v="4.18"/>
    <x v="1"/>
  </r>
  <r>
    <n v="178198"/>
    <n v="40.43"/>
    <n v="35.86"/>
    <n v="2288"/>
    <x v="1"/>
    <x v="3"/>
    <x v="0"/>
    <x v="2"/>
    <x v="2"/>
    <x v="0"/>
    <n v="92503.84"/>
    <n v="4.57"/>
    <x v="1"/>
  </r>
  <r>
    <n v="173253"/>
    <n v="17.43"/>
    <n v="16.25"/>
    <n v="1979"/>
    <x v="1"/>
    <x v="2"/>
    <x v="1"/>
    <x v="2"/>
    <x v="1"/>
    <x v="0"/>
    <n v="34493.97"/>
    <n v="1.1799999999999997"/>
    <x v="2"/>
  </r>
  <r>
    <n v="131726"/>
    <n v="9.26"/>
    <n v="6.45"/>
    <n v="2488"/>
    <x v="1"/>
    <x v="3"/>
    <x v="1"/>
    <x v="1"/>
    <x v="0"/>
    <x v="0"/>
    <n v="23038.880000000001"/>
    <n v="2.8099999999999996"/>
    <x v="2"/>
  </r>
  <r>
    <n v="153970"/>
    <n v="7.44"/>
    <n v="5.4"/>
    <n v="1851"/>
    <x v="2"/>
    <x v="1"/>
    <x v="1"/>
    <x v="0"/>
    <x v="2"/>
    <x v="1"/>
    <n v="13771.44"/>
    <n v="2.04"/>
    <x v="2"/>
  </r>
  <r>
    <n v="150686"/>
    <n v="44.09"/>
    <n v="40.32"/>
    <n v="2966"/>
    <x v="1"/>
    <x v="3"/>
    <x v="0"/>
    <x v="2"/>
    <x v="2"/>
    <x v="1"/>
    <n v="130770.94000000002"/>
    <n v="3.7700000000000031"/>
    <x v="1"/>
  </r>
  <r>
    <n v="175349"/>
    <n v="37.75"/>
    <n v="34.49"/>
    <n v="1322"/>
    <x v="0"/>
    <x v="2"/>
    <x v="0"/>
    <x v="1"/>
    <x v="1"/>
    <x v="0"/>
    <n v="49905.5"/>
    <n v="3.259999999999998"/>
    <x v="2"/>
  </r>
  <r>
    <n v="127292"/>
    <n v="17.28"/>
    <n v="14.4"/>
    <n v="1070"/>
    <x v="0"/>
    <x v="1"/>
    <x v="0"/>
    <x v="0"/>
    <x v="1"/>
    <x v="0"/>
    <n v="18489.600000000002"/>
    <n v="2.8800000000000008"/>
    <x v="2"/>
  </r>
  <r>
    <n v="152568"/>
    <n v="6.81"/>
    <n v="5.61"/>
    <n v="2966"/>
    <x v="1"/>
    <x v="2"/>
    <x v="1"/>
    <x v="0"/>
    <x v="0"/>
    <x v="1"/>
    <n v="20198.46"/>
    <n v="1.1999999999999993"/>
    <x v="2"/>
  </r>
  <r>
    <n v="135414"/>
    <n v="32.97"/>
    <n v="30.24"/>
    <n v="1403"/>
    <x v="0"/>
    <x v="2"/>
    <x v="1"/>
    <x v="1"/>
    <x v="1"/>
    <x v="1"/>
    <n v="46256.909999999996"/>
    <n v="2.7300000000000004"/>
    <x v="2"/>
  </r>
  <r>
    <n v="110319"/>
    <n v="6.05"/>
    <n v="1.1100000000000001"/>
    <n v="1775"/>
    <x v="2"/>
    <x v="0"/>
    <x v="0"/>
    <x v="2"/>
    <x v="2"/>
    <x v="0"/>
    <n v="10738.75"/>
    <n v="4.9399999999999995"/>
    <x v="1"/>
  </r>
  <r>
    <n v="174321"/>
    <n v="42.95"/>
    <n v="42.62"/>
    <n v="1662"/>
    <x v="1"/>
    <x v="1"/>
    <x v="1"/>
    <x v="1"/>
    <x v="1"/>
    <x v="0"/>
    <n v="71382.900000000009"/>
    <n v="0.3300000000000054"/>
    <x v="0"/>
  </r>
  <r>
    <n v="143069"/>
    <n v="17.23"/>
    <n v="13.46"/>
    <n v="677"/>
    <x v="2"/>
    <x v="3"/>
    <x v="0"/>
    <x v="1"/>
    <x v="1"/>
    <x v="1"/>
    <n v="11664.710000000001"/>
    <n v="3.7699999999999996"/>
    <x v="1"/>
  </r>
  <r>
    <n v="155092"/>
    <n v="39.659999999999997"/>
    <n v="39.049999999999997"/>
    <n v="876"/>
    <x v="2"/>
    <x v="3"/>
    <x v="1"/>
    <x v="1"/>
    <x v="0"/>
    <x v="1"/>
    <n v="34742.159999999996"/>
    <n v="0.60999999999999943"/>
    <x v="0"/>
  </r>
  <r>
    <n v="114253"/>
    <n v="35.630000000000003"/>
    <n v="31.26"/>
    <n v="1495"/>
    <x v="1"/>
    <x v="3"/>
    <x v="0"/>
    <x v="2"/>
    <x v="1"/>
    <x v="0"/>
    <n v="53266.850000000006"/>
    <n v="4.370000000000001"/>
    <x v="1"/>
  </r>
  <r>
    <n v="177321"/>
    <n v="31.78"/>
    <n v="31.35"/>
    <n v="2286"/>
    <x v="1"/>
    <x v="0"/>
    <x v="0"/>
    <x v="1"/>
    <x v="0"/>
    <x v="1"/>
    <n v="72649.08"/>
    <n v="0.42999999999999972"/>
    <x v="0"/>
  </r>
  <r>
    <n v="130550"/>
    <n v="6.61"/>
    <n v="5.61"/>
    <n v="1698"/>
    <x v="0"/>
    <x v="2"/>
    <x v="1"/>
    <x v="0"/>
    <x v="2"/>
    <x v="0"/>
    <n v="11223.78"/>
    <n v="1"/>
    <x v="0"/>
  </r>
  <r>
    <n v="152773"/>
    <n v="49.74"/>
    <n v="46.3"/>
    <n v="2148"/>
    <x v="0"/>
    <x v="3"/>
    <x v="0"/>
    <x v="2"/>
    <x v="0"/>
    <x v="1"/>
    <n v="106841.52"/>
    <n v="3.4400000000000048"/>
    <x v="2"/>
  </r>
  <r>
    <n v="175790"/>
    <n v="21.18"/>
    <n v="18.05"/>
    <n v="1788"/>
    <x v="0"/>
    <x v="3"/>
    <x v="1"/>
    <x v="0"/>
    <x v="2"/>
    <x v="1"/>
    <n v="37869.839999999997"/>
    <n v="3.129999999999999"/>
    <x v="2"/>
  </r>
  <r>
    <n v="126957"/>
    <n v="36.950000000000003"/>
    <n v="34.299999999999997"/>
    <n v="1809"/>
    <x v="2"/>
    <x v="0"/>
    <x v="0"/>
    <x v="2"/>
    <x v="0"/>
    <x v="1"/>
    <n v="66842.55"/>
    <n v="2.6500000000000057"/>
    <x v="2"/>
  </r>
  <r>
    <n v="178874"/>
    <n v="34.22"/>
    <n v="31.38"/>
    <n v="952"/>
    <x v="2"/>
    <x v="1"/>
    <x v="0"/>
    <x v="0"/>
    <x v="0"/>
    <x v="1"/>
    <n v="32577.439999999999"/>
    <n v="2.84"/>
    <x v="2"/>
  </r>
  <r>
    <n v="195207"/>
    <n v="26.14"/>
    <n v="24.73"/>
    <n v="1716"/>
    <x v="2"/>
    <x v="2"/>
    <x v="1"/>
    <x v="2"/>
    <x v="1"/>
    <x v="0"/>
    <n v="44856.24"/>
    <n v="1.4100000000000001"/>
    <x v="2"/>
  </r>
  <r>
    <n v="157384"/>
    <n v="24.53"/>
    <n v="23.54"/>
    <n v="2479"/>
    <x v="2"/>
    <x v="1"/>
    <x v="1"/>
    <x v="1"/>
    <x v="0"/>
    <x v="0"/>
    <n v="60809.87"/>
    <n v="0.99000000000000199"/>
    <x v="0"/>
  </r>
  <r>
    <n v="110980"/>
    <n v="11.77"/>
    <n v="8.42"/>
    <n v="1610"/>
    <x v="0"/>
    <x v="2"/>
    <x v="0"/>
    <x v="0"/>
    <x v="1"/>
    <x v="1"/>
    <n v="18949.7"/>
    <n v="3.3499999999999996"/>
    <x v="2"/>
  </r>
  <r>
    <n v="144539"/>
    <n v="28.83"/>
    <n v="24.6"/>
    <n v="2162"/>
    <x v="2"/>
    <x v="0"/>
    <x v="0"/>
    <x v="2"/>
    <x v="2"/>
    <x v="1"/>
    <n v="62330.46"/>
    <n v="4.2299999999999969"/>
    <x v="1"/>
  </r>
  <r>
    <n v="156638"/>
    <n v="42.21"/>
    <n v="38.19"/>
    <n v="1539"/>
    <x v="0"/>
    <x v="1"/>
    <x v="1"/>
    <x v="2"/>
    <x v="2"/>
    <x v="1"/>
    <n v="64961.19"/>
    <n v="4.0200000000000031"/>
    <x v="1"/>
  </r>
  <r>
    <n v="135717"/>
    <n v="31.74"/>
    <n v="30.41"/>
    <n v="743"/>
    <x v="0"/>
    <x v="0"/>
    <x v="0"/>
    <x v="0"/>
    <x v="0"/>
    <x v="0"/>
    <n v="23582.82"/>
    <n v="1.3299999999999983"/>
    <x v="2"/>
  </r>
  <r>
    <n v="152395"/>
    <n v="13.29"/>
    <n v="10.199999999999999"/>
    <n v="1802"/>
    <x v="2"/>
    <x v="3"/>
    <x v="0"/>
    <x v="1"/>
    <x v="1"/>
    <x v="0"/>
    <n v="23948.579999999998"/>
    <n v="3.09"/>
    <x v="2"/>
  </r>
  <r>
    <n v="160346"/>
    <n v="45.45"/>
    <n v="42.33"/>
    <n v="1416"/>
    <x v="2"/>
    <x v="0"/>
    <x v="0"/>
    <x v="0"/>
    <x v="1"/>
    <x v="1"/>
    <n v="64357.200000000004"/>
    <n v="3.1200000000000045"/>
    <x v="2"/>
  </r>
  <r>
    <n v="142963"/>
    <n v="30.48"/>
    <n v="27.39"/>
    <n v="1087"/>
    <x v="0"/>
    <x v="3"/>
    <x v="0"/>
    <x v="1"/>
    <x v="0"/>
    <x v="1"/>
    <n v="33131.760000000002"/>
    <n v="3.09"/>
    <x v="2"/>
  </r>
  <r>
    <n v="155793"/>
    <n v="17.79"/>
    <n v="17.61"/>
    <n v="2225"/>
    <x v="0"/>
    <x v="2"/>
    <x v="0"/>
    <x v="1"/>
    <x v="1"/>
    <x v="1"/>
    <n v="39582.75"/>
    <n v="0.17999999999999972"/>
    <x v="0"/>
  </r>
  <r>
    <n v="124413"/>
    <n v="30.06"/>
    <n v="29.48"/>
    <n v="1232"/>
    <x v="2"/>
    <x v="0"/>
    <x v="0"/>
    <x v="2"/>
    <x v="2"/>
    <x v="1"/>
    <n v="37033.919999999998"/>
    <n v="0.57999999999999829"/>
    <x v="0"/>
  </r>
  <r>
    <n v="160541"/>
    <n v="24.79"/>
    <n v="21.25"/>
    <n v="1311"/>
    <x v="2"/>
    <x v="2"/>
    <x v="0"/>
    <x v="1"/>
    <x v="1"/>
    <x v="0"/>
    <n v="32499.69"/>
    <n v="3.5399999999999991"/>
    <x v="2"/>
  </r>
  <r>
    <n v="114964"/>
    <n v="16.47"/>
    <n v="13.41"/>
    <n v="570"/>
    <x v="0"/>
    <x v="1"/>
    <x v="1"/>
    <x v="2"/>
    <x v="1"/>
    <x v="0"/>
    <n v="9387.9"/>
    <n v="3.0599999999999987"/>
    <x v="2"/>
  </r>
  <r>
    <n v="199673"/>
    <n v="8.1999999999999993"/>
    <n v="4.13"/>
    <n v="2488"/>
    <x v="2"/>
    <x v="1"/>
    <x v="0"/>
    <x v="1"/>
    <x v="2"/>
    <x v="1"/>
    <n v="20401.599999999999"/>
    <n v="4.0699999999999994"/>
    <x v="1"/>
  </r>
  <r>
    <n v="141355"/>
    <n v="34.36"/>
    <n v="33.24"/>
    <n v="1950"/>
    <x v="2"/>
    <x v="0"/>
    <x v="1"/>
    <x v="1"/>
    <x v="0"/>
    <x v="0"/>
    <n v="67002"/>
    <n v="1.1199999999999974"/>
    <x v="0"/>
  </r>
  <r>
    <n v="144362"/>
    <n v="22.69"/>
    <n v="20.5"/>
    <n v="2270"/>
    <x v="2"/>
    <x v="1"/>
    <x v="1"/>
    <x v="0"/>
    <x v="0"/>
    <x v="1"/>
    <n v="51506.3"/>
    <n v="2.1900000000000013"/>
    <x v="2"/>
  </r>
  <r>
    <n v="144721"/>
    <n v="25.51"/>
    <n v="22.38"/>
    <n v="2917"/>
    <x v="2"/>
    <x v="0"/>
    <x v="0"/>
    <x v="2"/>
    <x v="1"/>
    <x v="0"/>
    <n v="74412.67"/>
    <n v="3.1300000000000026"/>
    <x v="2"/>
  </r>
  <r>
    <n v="139337"/>
    <n v="42.31"/>
    <n v="41.34"/>
    <n v="1878"/>
    <x v="0"/>
    <x v="2"/>
    <x v="1"/>
    <x v="1"/>
    <x v="0"/>
    <x v="0"/>
    <n v="79458.180000000008"/>
    <n v="0.96999999999999886"/>
    <x v="0"/>
  </r>
  <r>
    <n v="167218"/>
    <n v="35.35"/>
    <n v="34.4"/>
    <n v="2621"/>
    <x v="1"/>
    <x v="3"/>
    <x v="0"/>
    <x v="1"/>
    <x v="0"/>
    <x v="0"/>
    <n v="92652.35"/>
    <n v="0.95000000000000284"/>
    <x v="0"/>
  </r>
  <r>
    <n v="119583"/>
    <n v="6.32"/>
    <n v="5.2"/>
    <n v="1332"/>
    <x v="2"/>
    <x v="2"/>
    <x v="0"/>
    <x v="2"/>
    <x v="1"/>
    <x v="1"/>
    <n v="8418.24"/>
    <n v="1.1200000000000001"/>
    <x v="0"/>
  </r>
  <r>
    <n v="195223"/>
    <n v="23.16"/>
    <n v="22.01"/>
    <n v="2526"/>
    <x v="0"/>
    <x v="3"/>
    <x v="0"/>
    <x v="2"/>
    <x v="0"/>
    <x v="1"/>
    <n v="58502.16"/>
    <n v="1.1499999999999986"/>
    <x v="0"/>
  </r>
  <r>
    <n v="175927"/>
    <n v="45.95"/>
    <n v="41.25"/>
    <n v="2014"/>
    <x v="0"/>
    <x v="2"/>
    <x v="0"/>
    <x v="1"/>
    <x v="0"/>
    <x v="1"/>
    <n v="92543.3"/>
    <n v="4.7000000000000028"/>
    <x v="1"/>
  </r>
  <r>
    <n v="130120"/>
    <n v="42.89"/>
    <n v="38.76"/>
    <n v="2963"/>
    <x v="1"/>
    <x v="0"/>
    <x v="0"/>
    <x v="1"/>
    <x v="1"/>
    <x v="0"/>
    <n v="127083.07"/>
    <n v="4.1300000000000026"/>
    <x v="1"/>
  </r>
  <r>
    <n v="141261"/>
    <n v="49.98"/>
    <n v="47.6"/>
    <n v="641"/>
    <x v="1"/>
    <x v="2"/>
    <x v="1"/>
    <x v="2"/>
    <x v="0"/>
    <x v="0"/>
    <n v="32037.179999999997"/>
    <n v="2.3799999999999955"/>
    <x v="2"/>
  </r>
  <r>
    <n v="186584"/>
    <n v="33.76"/>
    <n v="33.19"/>
    <n v="1370"/>
    <x v="0"/>
    <x v="3"/>
    <x v="1"/>
    <x v="0"/>
    <x v="1"/>
    <x v="0"/>
    <n v="46251.199999999997"/>
    <n v="0.57000000000000028"/>
    <x v="0"/>
  </r>
  <r>
    <n v="120793"/>
    <n v="29.98"/>
    <n v="28.14"/>
    <n v="2204"/>
    <x v="0"/>
    <x v="1"/>
    <x v="0"/>
    <x v="2"/>
    <x v="1"/>
    <x v="1"/>
    <n v="66075.92"/>
    <n v="1.8399999999999999"/>
    <x v="2"/>
  </r>
  <r>
    <n v="155385"/>
    <n v="38.799999999999997"/>
    <n v="35.71"/>
    <n v="1973"/>
    <x v="0"/>
    <x v="2"/>
    <x v="0"/>
    <x v="1"/>
    <x v="1"/>
    <x v="0"/>
    <n v="76552.399999999994"/>
    <n v="3.0899999999999963"/>
    <x v="2"/>
  </r>
  <r>
    <n v="151124"/>
    <n v="8.34"/>
    <n v="7.22"/>
    <n v="2895"/>
    <x v="2"/>
    <x v="0"/>
    <x v="0"/>
    <x v="1"/>
    <x v="0"/>
    <x v="0"/>
    <n v="24144.3"/>
    <n v="1.1200000000000001"/>
    <x v="0"/>
  </r>
  <r>
    <n v="179168"/>
    <n v="47.77"/>
    <n v="44.38"/>
    <n v="1389"/>
    <x v="1"/>
    <x v="0"/>
    <x v="0"/>
    <x v="2"/>
    <x v="1"/>
    <x v="1"/>
    <n v="66352.53"/>
    <n v="3.3900000000000006"/>
    <x v="2"/>
  </r>
  <r>
    <n v="162419"/>
    <n v="27.09"/>
    <n v="25.32"/>
    <n v="617"/>
    <x v="2"/>
    <x v="1"/>
    <x v="1"/>
    <x v="0"/>
    <x v="1"/>
    <x v="1"/>
    <n v="16714.53"/>
    <n v="1.7699999999999996"/>
    <x v="2"/>
  </r>
  <r>
    <n v="113067"/>
    <n v="26.16"/>
    <n v="24.53"/>
    <n v="1062"/>
    <x v="2"/>
    <x v="0"/>
    <x v="0"/>
    <x v="2"/>
    <x v="0"/>
    <x v="0"/>
    <n v="27781.920000000002"/>
    <n v="1.629999999999999"/>
    <x v="2"/>
  </r>
  <r>
    <n v="178104"/>
    <n v="15.32"/>
    <n v="13.21"/>
    <n v="2827"/>
    <x v="2"/>
    <x v="1"/>
    <x v="0"/>
    <x v="0"/>
    <x v="1"/>
    <x v="1"/>
    <n v="43309.64"/>
    <n v="2.1099999999999994"/>
    <x v="2"/>
  </r>
  <r>
    <n v="138903"/>
    <n v="39.869999999999997"/>
    <n v="39.54"/>
    <n v="1981"/>
    <x v="1"/>
    <x v="0"/>
    <x v="0"/>
    <x v="0"/>
    <x v="0"/>
    <x v="0"/>
    <n v="78982.47"/>
    <n v="0.32999999999999829"/>
    <x v="0"/>
  </r>
  <r>
    <n v="116993"/>
    <n v="31.69"/>
    <n v="31.54"/>
    <n v="2938"/>
    <x v="2"/>
    <x v="3"/>
    <x v="0"/>
    <x v="2"/>
    <x v="0"/>
    <x v="0"/>
    <n v="93105.22"/>
    <n v="0.15000000000000213"/>
    <x v="0"/>
  </r>
  <r>
    <n v="111935"/>
    <n v="16.27"/>
    <n v="15.54"/>
    <n v="1831"/>
    <x v="2"/>
    <x v="3"/>
    <x v="0"/>
    <x v="0"/>
    <x v="0"/>
    <x v="0"/>
    <n v="29790.37"/>
    <n v="0.73000000000000043"/>
    <x v="0"/>
  </r>
  <r>
    <n v="115210"/>
    <n v="28.08"/>
    <n v="25.81"/>
    <n v="2068"/>
    <x v="2"/>
    <x v="1"/>
    <x v="0"/>
    <x v="2"/>
    <x v="1"/>
    <x v="1"/>
    <n v="58069.439999999995"/>
    <n v="2.2699999999999996"/>
    <x v="2"/>
  </r>
  <r>
    <n v="173296"/>
    <n v="11.95"/>
    <n v="11.03"/>
    <n v="1009"/>
    <x v="0"/>
    <x v="3"/>
    <x v="0"/>
    <x v="1"/>
    <x v="0"/>
    <x v="1"/>
    <n v="12057.55"/>
    <n v="0.91999999999999993"/>
    <x v="0"/>
  </r>
  <r>
    <n v="110709"/>
    <n v="18.48"/>
    <n v="17.43"/>
    <n v="2450"/>
    <x v="0"/>
    <x v="3"/>
    <x v="0"/>
    <x v="0"/>
    <x v="2"/>
    <x v="1"/>
    <n v="45276"/>
    <n v="1.0500000000000007"/>
    <x v="0"/>
  </r>
  <r>
    <n v="134034"/>
    <n v="31.72"/>
    <n v="28.87"/>
    <n v="2571"/>
    <x v="2"/>
    <x v="2"/>
    <x v="1"/>
    <x v="2"/>
    <x v="0"/>
    <x v="1"/>
    <n v="81552.12"/>
    <n v="2.8499999999999979"/>
    <x v="2"/>
  </r>
  <r>
    <n v="165430"/>
    <n v="29.45"/>
    <n v="26.6"/>
    <n v="2815"/>
    <x v="2"/>
    <x v="3"/>
    <x v="1"/>
    <x v="0"/>
    <x v="2"/>
    <x v="0"/>
    <n v="82901.75"/>
    <n v="2.8499999999999979"/>
    <x v="2"/>
  </r>
  <r>
    <n v="192396"/>
    <n v="7.32"/>
    <n v="7.08"/>
    <n v="1039"/>
    <x v="1"/>
    <x v="0"/>
    <x v="0"/>
    <x v="2"/>
    <x v="2"/>
    <x v="1"/>
    <n v="7605.4800000000005"/>
    <n v="0.24000000000000021"/>
    <x v="0"/>
  </r>
  <r>
    <n v="115581"/>
    <n v="44.47"/>
    <n v="40.07"/>
    <n v="2455"/>
    <x v="0"/>
    <x v="3"/>
    <x v="0"/>
    <x v="0"/>
    <x v="0"/>
    <x v="1"/>
    <n v="109173.84999999999"/>
    <n v="4.3999999999999986"/>
    <x v="1"/>
  </r>
  <r>
    <n v="149662"/>
    <n v="13.33"/>
    <n v="11.68"/>
    <n v="1376"/>
    <x v="1"/>
    <x v="3"/>
    <x v="1"/>
    <x v="1"/>
    <x v="1"/>
    <x v="0"/>
    <n v="18342.080000000002"/>
    <n v="1.6500000000000004"/>
    <x v="2"/>
  </r>
  <r>
    <n v="169368"/>
    <n v="24.1"/>
    <n v="19.13"/>
    <n v="1955"/>
    <x v="2"/>
    <x v="0"/>
    <x v="1"/>
    <x v="2"/>
    <x v="2"/>
    <x v="0"/>
    <n v="47115.5"/>
    <n v="4.9700000000000024"/>
    <x v="1"/>
  </r>
  <r>
    <n v="173174"/>
    <n v="12.05"/>
    <n v="9.14"/>
    <n v="636"/>
    <x v="2"/>
    <x v="1"/>
    <x v="0"/>
    <x v="1"/>
    <x v="0"/>
    <x v="0"/>
    <n v="7663.8"/>
    <n v="2.91"/>
    <x v="2"/>
  </r>
  <r>
    <n v="153411"/>
    <n v="25.9"/>
    <n v="25.7"/>
    <n v="869"/>
    <x v="1"/>
    <x v="0"/>
    <x v="1"/>
    <x v="2"/>
    <x v="0"/>
    <x v="1"/>
    <n v="22507.1"/>
    <n v="0.19999999999999929"/>
    <x v="0"/>
  </r>
  <r>
    <n v="135465"/>
    <n v="12.65"/>
    <n v="11.97"/>
    <n v="1015"/>
    <x v="2"/>
    <x v="3"/>
    <x v="1"/>
    <x v="0"/>
    <x v="2"/>
    <x v="0"/>
    <n v="12839.75"/>
    <n v="0.67999999999999972"/>
    <x v="0"/>
  </r>
  <r>
    <n v="151005"/>
    <n v="17.79"/>
    <n v="12.86"/>
    <n v="1276"/>
    <x v="1"/>
    <x v="1"/>
    <x v="0"/>
    <x v="1"/>
    <x v="2"/>
    <x v="0"/>
    <n v="22700.039999999997"/>
    <n v="4.93"/>
    <x v="1"/>
  </r>
  <r>
    <n v="172517"/>
    <n v="23.94"/>
    <n v="19.7"/>
    <n v="808"/>
    <x v="0"/>
    <x v="1"/>
    <x v="0"/>
    <x v="0"/>
    <x v="1"/>
    <x v="1"/>
    <n v="19343.52"/>
    <n v="4.240000000000002"/>
    <x v="1"/>
  </r>
  <r>
    <n v="113368"/>
    <n v="17.48"/>
    <n v="12.55"/>
    <n v="2682"/>
    <x v="2"/>
    <x v="2"/>
    <x v="0"/>
    <x v="1"/>
    <x v="0"/>
    <x v="1"/>
    <n v="46881.36"/>
    <n v="4.93"/>
    <x v="1"/>
  </r>
  <r>
    <n v="112801"/>
    <n v="41.6"/>
    <n v="38.31"/>
    <n v="1363"/>
    <x v="2"/>
    <x v="2"/>
    <x v="1"/>
    <x v="2"/>
    <x v="2"/>
    <x v="1"/>
    <n v="56700.800000000003"/>
    <n v="3.2899999999999991"/>
    <x v="2"/>
  </r>
  <r>
    <n v="163286"/>
    <n v="49.64"/>
    <n v="48.84"/>
    <n v="2184"/>
    <x v="1"/>
    <x v="2"/>
    <x v="0"/>
    <x v="0"/>
    <x v="2"/>
    <x v="0"/>
    <n v="108413.75999999999"/>
    <n v="0.79999999999999716"/>
    <x v="0"/>
  </r>
  <r>
    <n v="175963"/>
    <n v="15.09"/>
    <n v="12.43"/>
    <n v="1417"/>
    <x v="2"/>
    <x v="3"/>
    <x v="1"/>
    <x v="1"/>
    <x v="0"/>
    <x v="1"/>
    <n v="21382.53"/>
    <n v="2.66"/>
    <x v="2"/>
  </r>
  <r>
    <n v="119258"/>
    <n v="41.97"/>
    <n v="40.32"/>
    <n v="1415"/>
    <x v="0"/>
    <x v="0"/>
    <x v="0"/>
    <x v="1"/>
    <x v="0"/>
    <x v="0"/>
    <n v="59387.549999999996"/>
    <n v="1.6499999999999986"/>
    <x v="2"/>
  </r>
  <r>
    <n v="131817"/>
    <n v="33.479999999999997"/>
    <n v="28.94"/>
    <n v="2889"/>
    <x v="2"/>
    <x v="0"/>
    <x v="0"/>
    <x v="1"/>
    <x v="1"/>
    <x v="1"/>
    <n v="96723.719999999987"/>
    <n v="4.5399999999999956"/>
    <x v="1"/>
  </r>
  <r>
    <n v="193731"/>
    <n v="49.55"/>
    <n v="49.1"/>
    <n v="1592"/>
    <x v="0"/>
    <x v="0"/>
    <x v="1"/>
    <x v="0"/>
    <x v="0"/>
    <x v="0"/>
    <n v="78883.599999999991"/>
    <n v="0.44999999999999574"/>
    <x v="0"/>
  </r>
  <r>
    <n v="175087"/>
    <n v="24.64"/>
    <n v="23.91"/>
    <n v="2874"/>
    <x v="2"/>
    <x v="0"/>
    <x v="0"/>
    <x v="1"/>
    <x v="2"/>
    <x v="0"/>
    <n v="70815.360000000001"/>
    <n v="0.73000000000000043"/>
    <x v="0"/>
  </r>
  <r>
    <n v="129041"/>
    <n v="40.28"/>
    <n v="38.369999999999997"/>
    <n v="2025"/>
    <x v="1"/>
    <x v="1"/>
    <x v="1"/>
    <x v="1"/>
    <x v="2"/>
    <x v="0"/>
    <n v="81567"/>
    <n v="1.9100000000000037"/>
    <x v="2"/>
  </r>
  <r>
    <n v="194723"/>
    <n v="10.09"/>
    <n v="5.6"/>
    <n v="1846"/>
    <x v="1"/>
    <x v="0"/>
    <x v="0"/>
    <x v="1"/>
    <x v="0"/>
    <x v="1"/>
    <n v="18626.14"/>
    <n v="4.49"/>
    <x v="1"/>
  </r>
  <r>
    <n v="178350"/>
    <n v="36.71"/>
    <n v="34.549999999999997"/>
    <n v="1964"/>
    <x v="2"/>
    <x v="0"/>
    <x v="0"/>
    <x v="1"/>
    <x v="2"/>
    <x v="1"/>
    <n v="72098.44"/>
    <n v="2.1600000000000037"/>
    <x v="2"/>
  </r>
  <r>
    <n v="137798"/>
    <n v="18.91"/>
    <n v="17.760000000000002"/>
    <n v="1408"/>
    <x v="2"/>
    <x v="2"/>
    <x v="0"/>
    <x v="2"/>
    <x v="0"/>
    <x v="0"/>
    <n v="26625.279999999999"/>
    <n v="1.1499999999999986"/>
    <x v="0"/>
  </r>
  <r>
    <n v="158893"/>
    <n v="35.65"/>
    <n v="31.08"/>
    <n v="1272"/>
    <x v="1"/>
    <x v="1"/>
    <x v="1"/>
    <x v="2"/>
    <x v="0"/>
    <x v="1"/>
    <n v="45346.799999999996"/>
    <n v="4.57"/>
    <x v="1"/>
  </r>
  <r>
    <n v="149201"/>
    <n v="46.97"/>
    <n v="46.34"/>
    <n v="521"/>
    <x v="0"/>
    <x v="0"/>
    <x v="1"/>
    <x v="0"/>
    <x v="1"/>
    <x v="1"/>
    <n v="24471.37"/>
    <n v="0.62999999999999545"/>
    <x v="0"/>
  </r>
  <r>
    <n v="169631"/>
    <n v="17.05"/>
    <n v="14.8"/>
    <n v="2100"/>
    <x v="2"/>
    <x v="1"/>
    <x v="0"/>
    <x v="0"/>
    <x v="1"/>
    <x v="0"/>
    <n v="35805"/>
    <n v="2.25"/>
    <x v="2"/>
  </r>
  <r>
    <n v="168106"/>
    <n v="18.93"/>
    <n v="18.41"/>
    <n v="1134"/>
    <x v="1"/>
    <x v="3"/>
    <x v="0"/>
    <x v="2"/>
    <x v="2"/>
    <x v="0"/>
    <n v="21466.62"/>
    <n v="0.51999999999999957"/>
    <x v="0"/>
  </r>
  <r>
    <n v="177650"/>
    <n v="43.59"/>
    <n v="39.89"/>
    <n v="2241"/>
    <x v="2"/>
    <x v="1"/>
    <x v="1"/>
    <x v="0"/>
    <x v="1"/>
    <x v="0"/>
    <n v="97685.19"/>
    <n v="3.7000000000000028"/>
    <x v="2"/>
  </r>
  <r>
    <n v="154029"/>
    <n v="34.880000000000003"/>
    <n v="34.6"/>
    <n v="2954"/>
    <x v="1"/>
    <x v="2"/>
    <x v="1"/>
    <x v="1"/>
    <x v="2"/>
    <x v="1"/>
    <n v="103035.52"/>
    <n v="0.28000000000000114"/>
    <x v="0"/>
  </r>
  <r>
    <n v="130738"/>
    <n v="14.18"/>
    <n v="13.19"/>
    <n v="1085"/>
    <x v="0"/>
    <x v="1"/>
    <x v="1"/>
    <x v="2"/>
    <x v="0"/>
    <x v="0"/>
    <n v="15385.3"/>
    <n v="0.99000000000000021"/>
    <x v="0"/>
  </r>
  <r>
    <n v="140879"/>
    <n v="45.5"/>
    <n v="43.19"/>
    <n v="1495"/>
    <x v="2"/>
    <x v="2"/>
    <x v="1"/>
    <x v="0"/>
    <x v="2"/>
    <x v="0"/>
    <n v="68022.5"/>
    <n v="2.3100000000000023"/>
    <x v="2"/>
  </r>
  <r>
    <n v="151900"/>
    <n v="47.99"/>
    <n v="47.59"/>
    <n v="1560"/>
    <x v="0"/>
    <x v="3"/>
    <x v="1"/>
    <x v="0"/>
    <x v="2"/>
    <x v="1"/>
    <n v="74864.400000000009"/>
    <n v="0.39999999999999858"/>
    <x v="0"/>
  </r>
  <r>
    <n v="187604"/>
    <n v="49.21"/>
    <n v="48.05"/>
    <n v="782"/>
    <x v="0"/>
    <x v="3"/>
    <x v="0"/>
    <x v="1"/>
    <x v="2"/>
    <x v="1"/>
    <n v="38482.22"/>
    <n v="1.1600000000000037"/>
    <x v="0"/>
  </r>
  <r>
    <n v="174627"/>
    <n v="38.69"/>
    <n v="37.01"/>
    <n v="1296"/>
    <x v="2"/>
    <x v="3"/>
    <x v="0"/>
    <x v="2"/>
    <x v="0"/>
    <x v="0"/>
    <n v="50142.239999999998"/>
    <n v="1.6799999999999997"/>
    <x v="2"/>
  </r>
  <r>
    <n v="133654"/>
    <n v="42.98"/>
    <n v="41.61"/>
    <n v="2333"/>
    <x v="0"/>
    <x v="2"/>
    <x v="1"/>
    <x v="1"/>
    <x v="0"/>
    <x v="0"/>
    <n v="100272.34"/>
    <n v="1.3699999999999974"/>
    <x v="2"/>
  </r>
  <r>
    <n v="180951"/>
    <n v="25.2"/>
    <n v="22.09"/>
    <n v="2056"/>
    <x v="2"/>
    <x v="1"/>
    <x v="1"/>
    <x v="2"/>
    <x v="0"/>
    <x v="1"/>
    <n v="51811.199999999997"/>
    <n v="3.1099999999999994"/>
    <x v="2"/>
  </r>
  <r>
    <n v="110578"/>
    <n v="22.22"/>
    <n v="21.56"/>
    <n v="950"/>
    <x v="2"/>
    <x v="0"/>
    <x v="0"/>
    <x v="1"/>
    <x v="2"/>
    <x v="0"/>
    <n v="21109"/>
    <n v="0.66000000000000014"/>
    <x v="0"/>
  </r>
  <r>
    <n v="192711"/>
    <n v="36.4"/>
    <n v="34.380000000000003"/>
    <n v="2079"/>
    <x v="2"/>
    <x v="1"/>
    <x v="1"/>
    <x v="0"/>
    <x v="1"/>
    <x v="1"/>
    <n v="75675.599999999991"/>
    <n v="2.019999999999996"/>
    <x v="2"/>
  </r>
  <r>
    <n v="154096"/>
    <n v="43.32"/>
    <n v="39.630000000000003"/>
    <n v="2144"/>
    <x v="1"/>
    <x v="0"/>
    <x v="1"/>
    <x v="0"/>
    <x v="2"/>
    <x v="0"/>
    <n v="92878.080000000002"/>
    <n v="3.6899999999999977"/>
    <x v="2"/>
  </r>
  <r>
    <n v="124265"/>
    <n v="24.39"/>
    <n v="20.92"/>
    <n v="2715"/>
    <x v="2"/>
    <x v="0"/>
    <x v="1"/>
    <x v="1"/>
    <x v="0"/>
    <x v="0"/>
    <n v="66218.850000000006"/>
    <n v="3.4699999999999989"/>
    <x v="2"/>
  </r>
  <r>
    <n v="120576"/>
    <n v="16.48"/>
    <n v="14.74"/>
    <n v="1357"/>
    <x v="2"/>
    <x v="3"/>
    <x v="0"/>
    <x v="1"/>
    <x v="2"/>
    <x v="1"/>
    <n v="22363.360000000001"/>
    <n v="1.7400000000000002"/>
    <x v="2"/>
  </r>
  <r>
    <n v="166314"/>
    <n v="38.36"/>
    <n v="35.33"/>
    <n v="2896"/>
    <x v="0"/>
    <x v="1"/>
    <x v="0"/>
    <x v="1"/>
    <x v="2"/>
    <x v="1"/>
    <n v="111090.56"/>
    <n v="3.0300000000000011"/>
    <x v="2"/>
  </r>
  <r>
    <n v="138145"/>
    <n v="25.94"/>
    <n v="24.83"/>
    <n v="2523"/>
    <x v="0"/>
    <x v="0"/>
    <x v="1"/>
    <x v="2"/>
    <x v="0"/>
    <x v="0"/>
    <n v="65446.62"/>
    <n v="1.110000000000003"/>
    <x v="0"/>
  </r>
  <r>
    <n v="192789"/>
    <n v="15.65"/>
    <n v="14.23"/>
    <n v="2480"/>
    <x v="0"/>
    <x v="3"/>
    <x v="0"/>
    <x v="1"/>
    <x v="0"/>
    <x v="0"/>
    <n v="38812"/>
    <n v="1.42"/>
    <x v="2"/>
  </r>
  <r>
    <n v="150907"/>
    <n v="45.68"/>
    <n v="45.58"/>
    <n v="1323"/>
    <x v="2"/>
    <x v="1"/>
    <x v="0"/>
    <x v="2"/>
    <x v="1"/>
    <x v="0"/>
    <n v="60434.64"/>
    <n v="0.10000000000000142"/>
    <x v="0"/>
  </r>
  <r>
    <n v="182011"/>
    <n v="24.17"/>
    <n v="19.739999999999998"/>
    <n v="588"/>
    <x v="0"/>
    <x v="1"/>
    <x v="1"/>
    <x v="1"/>
    <x v="0"/>
    <x v="0"/>
    <n v="14211.960000000001"/>
    <n v="4.4300000000000033"/>
    <x v="1"/>
  </r>
  <r>
    <n v="167179"/>
    <n v="24.06"/>
    <n v="23.01"/>
    <n v="2225"/>
    <x v="1"/>
    <x v="3"/>
    <x v="1"/>
    <x v="2"/>
    <x v="0"/>
    <x v="0"/>
    <n v="53533.5"/>
    <n v="1.0499999999999972"/>
    <x v="0"/>
  </r>
  <r>
    <n v="116390"/>
    <n v="30.07"/>
    <n v="29.26"/>
    <n v="2834"/>
    <x v="2"/>
    <x v="3"/>
    <x v="1"/>
    <x v="1"/>
    <x v="1"/>
    <x v="1"/>
    <n v="85218.38"/>
    <n v="0.80999999999999872"/>
    <x v="0"/>
  </r>
  <r>
    <n v="119757"/>
    <n v="48.21"/>
    <n v="43.42"/>
    <n v="1907"/>
    <x v="1"/>
    <x v="3"/>
    <x v="0"/>
    <x v="1"/>
    <x v="0"/>
    <x v="0"/>
    <n v="91936.47"/>
    <n v="4.7899999999999991"/>
    <x v="1"/>
  </r>
  <r>
    <n v="139269"/>
    <n v="18.239999999999998"/>
    <n v="16.68"/>
    <n v="821"/>
    <x v="1"/>
    <x v="0"/>
    <x v="0"/>
    <x v="0"/>
    <x v="1"/>
    <x v="1"/>
    <n v="14975.039999999999"/>
    <n v="1.5599999999999987"/>
    <x v="2"/>
  </r>
  <r>
    <n v="135624"/>
    <n v="6.24"/>
    <n v="2.06"/>
    <n v="1744"/>
    <x v="2"/>
    <x v="2"/>
    <x v="0"/>
    <x v="2"/>
    <x v="2"/>
    <x v="0"/>
    <n v="10882.56"/>
    <n v="4.18"/>
    <x v="1"/>
  </r>
  <r>
    <n v="171860"/>
    <n v="44.32"/>
    <n v="39.33"/>
    <n v="2398"/>
    <x v="2"/>
    <x v="2"/>
    <x v="1"/>
    <x v="0"/>
    <x v="1"/>
    <x v="0"/>
    <n v="106279.36"/>
    <n v="4.990000000000002"/>
    <x v="1"/>
  </r>
  <r>
    <n v="185187"/>
    <n v="38.92"/>
    <n v="38.340000000000003"/>
    <n v="1358"/>
    <x v="0"/>
    <x v="3"/>
    <x v="1"/>
    <x v="2"/>
    <x v="0"/>
    <x v="0"/>
    <n v="52853.36"/>
    <n v="0.57999999999999829"/>
    <x v="0"/>
  </r>
  <r>
    <n v="163977"/>
    <n v="37.28"/>
    <n v="36.19"/>
    <n v="2872"/>
    <x v="1"/>
    <x v="1"/>
    <x v="0"/>
    <x v="1"/>
    <x v="2"/>
    <x v="0"/>
    <n v="107068.16"/>
    <n v="1.0900000000000034"/>
    <x v="0"/>
  </r>
  <r>
    <n v="128784"/>
    <n v="32.51"/>
    <n v="31.52"/>
    <n v="801"/>
    <x v="0"/>
    <x v="3"/>
    <x v="1"/>
    <x v="0"/>
    <x v="1"/>
    <x v="0"/>
    <n v="26040.51"/>
    <n v="0.98999999999999844"/>
    <x v="0"/>
  </r>
  <r>
    <n v="161283"/>
    <n v="46.68"/>
    <n v="44.47"/>
    <n v="1532"/>
    <x v="0"/>
    <x v="3"/>
    <x v="0"/>
    <x v="1"/>
    <x v="1"/>
    <x v="1"/>
    <n v="71513.759999999995"/>
    <n v="2.2100000000000009"/>
    <x v="2"/>
  </r>
  <r>
    <n v="166588"/>
    <n v="7.09"/>
    <n v="5.73"/>
    <n v="1376"/>
    <x v="2"/>
    <x v="1"/>
    <x v="1"/>
    <x v="1"/>
    <x v="0"/>
    <x v="0"/>
    <n v="9755.84"/>
    <n v="1.3599999999999994"/>
    <x v="2"/>
  </r>
  <r>
    <n v="111384"/>
    <n v="23.22"/>
    <n v="21.78"/>
    <n v="1859"/>
    <x v="1"/>
    <x v="2"/>
    <x v="0"/>
    <x v="0"/>
    <x v="0"/>
    <x v="0"/>
    <n v="43165.979999999996"/>
    <n v="1.4399999999999977"/>
    <x v="2"/>
  </r>
  <r>
    <n v="144945"/>
    <n v="28.77"/>
    <n v="27.43"/>
    <n v="1908"/>
    <x v="0"/>
    <x v="0"/>
    <x v="0"/>
    <x v="1"/>
    <x v="2"/>
    <x v="1"/>
    <n v="54893.159999999996"/>
    <n v="1.3399999999999999"/>
    <x v="2"/>
  </r>
  <r>
    <n v="145405"/>
    <n v="33.950000000000003"/>
    <n v="29.32"/>
    <n v="1403"/>
    <x v="0"/>
    <x v="0"/>
    <x v="0"/>
    <x v="0"/>
    <x v="2"/>
    <x v="1"/>
    <n v="47631.850000000006"/>
    <n v="4.6300000000000026"/>
    <x v="1"/>
  </r>
  <r>
    <n v="140480"/>
    <n v="33.32"/>
    <n v="32.96"/>
    <n v="2599"/>
    <x v="0"/>
    <x v="2"/>
    <x v="1"/>
    <x v="0"/>
    <x v="2"/>
    <x v="0"/>
    <n v="86598.680000000008"/>
    <n v="0.35999999999999943"/>
    <x v="0"/>
  </r>
  <r>
    <n v="117707"/>
    <n v="27.33"/>
    <n v="25.41"/>
    <n v="511"/>
    <x v="1"/>
    <x v="3"/>
    <x v="0"/>
    <x v="0"/>
    <x v="2"/>
    <x v="0"/>
    <n v="13965.63"/>
    <n v="1.9199999999999982"/>
    <x v="2"/>
  </r>
  <r>
    <n v="182158"/>
    <n v="24.22"/>
    <n v="23.04"/>
    <n v="2689"/>
    <x v="0"/>
    <x v="3"/>
    <x v="0"/>
    <x v="2"/>
    <x v="0"/>
    <x v="1"/>
    <n v="65127.579999999994"/>
    <n v="1.1799999999999997"/>
    <x v="2"/>
  </r>
  <r>
    <n v="151032"/>
    <n v="9.7799999999999994"/>
    <n v="4.93"/>
    <n v="2054"/>
    <x v="2"/>
    <x v="2"/>
    <x v="0"/>
    <x v="2"/>
    <x v="0"/>
    <x v="1"/>
    <n v="20088.12"/>
    <n v="4.8499999999999996"/>
    <x v="1"/>
  </r>
  <r>
    <n v="138160"/>
    <n v="19.57"/>
    <n v="18.88"/>
    <n v="839"/>
    <x v="0"/>
    <x v="3"/>
    <x v="1"/>
    <x v="0"/>
    <x v="2"/>
    <x v="0"/>
    <n v="16419.23"/>
    <n v="0.69000000000000128"/>
    <x v="0"/>
  </r>
  <r>
    <n v="132647"/>
    <n v="15.85"/>
    <n v="14.41"/>
    <n v="2831"/>
    <x v="2"/>
    <x v="3"/>
    <x v="1"/>
    <x v="2"/>
    <x v="2"/>
    <x v="1"/>
    <n v="44871.35"/>
    <n v="1.4399999999999995"/>
    <x v="2"/>
  </r>
  <r>
    <n v="154713"/>
    <n v="47.72"/>
    <n v="44.03"/>
    <n v="1647"/>
    <x v="0"/>
    <x v="0"/>
    <x v="1"/>
    <x v="0"/>
    <x v="0"/>
    <x v="1"/>
    <n v="78594.84"/>
    <n v="3.6899999999999977"/>
    <x v="2"/>
  </r>
  <r>
    <n v="157629"/>
    <n v="18.93"/>
    <n v="17.809999999999999"/>
    <n v="1277"/>
    <x v="2"/>
    <x v="0"/>
    <x v="0"/>
    <x v="2"/>
    <x v="2"/>
    <x v="0"/>
    <n v="24173.61"/>
    <n v="1.120000000000001"/>
    <x v="0"/>
  </r>
  <r>
    <n v="165679"/>
    <n v="15.38"/>
    <n v="12.41"/>
    <n v="1062"/>
    <x v="1"/>
    <x v="0"/>
    <x v="0"/>
    <x v="2"/>
    <x v="0"/>
    <x v="0"/>
    <n v="16333.560000000001"/>
    <n v="2.9700000000000006"/>
    <x v="2"/>
  </r>
  <r>
    <n v="127978"/>
    <n v="6.39"/>
    <n v="5.77"/>
    <n v="1677"/>
    <x v="1"/>
    <x v="1"/>
    <x v="1"/>
    <x v="2"/>
    <x v="2"/>
    <x v="0"/>
    <n v="10716.029999999999"/>
    <n v="0.62000000000000011"/>
    <x v="0"/>
  </r>
  <r>
    <n v="191923"/>
    <n v="47.6"/>
    <n v="45.1"/>
    <n v="1459"/>
    <x v="2"/>
    <x v="0"/>
    <x v="0"/>
    <x v="0"/>
    <x v="0"/>
    <x v="0"/>
    <n v="69448.400000000009"/>
    <n v="2.5"/>
    <x v="2"/>
  </r>
  <r>
    <n v="179488"/>
    <n v="41.53"/>
    <n v="37.25"/>
    <n v="1479"/>
    <x v="1"/>
    <x v="2"/>
    <x v="1"/>
    <x v="2"/>
    <x v="2"/>
    <x v="1"/>
    <n v="61422.87"/>
    <n v="4.2800000000000011"/>
    <x v="1"/>
  </r>
  <r>
    <n v="196100"/>
    <n v="24.3"/>
    <n v="23.86"/>
    <n v="944"/>
    <x v="0"/>
    <x v="0"/>
    <x v="1"/>
    <x v="0"/>
    <x v="2"/>
    <x v="0"/>
    <n v="22939.200000000001"/>
    <n v="0.44000000000000128"/>
    <x v="0"/>
  </r>
  <r>
    <n v="114396"/>
    <n v="37.840000000000003"/>
    <n v="37.369999999999997"/>
    <n v="1433"/>
    <x v="0"/>
    <x v="0"/>
    <x v="1"/>
    <x v="2"/>
    <x v="2"/>
    <x v="0"/>
    <n v="54224.720000000008"/>
    <n v="0.47000000000000597"/>
    <x v="0"/>
  </r>
  <r>
    <n v="126954"/>
    <n v="41.39"/>
    <n v="39.6"/>
    <n v="1640"/>
    <x v="0"/>
    <x v="1"/>
    <x v="0"/>
    <x v="0"/>
    <x v="1"/>
    <x v="1"/>
    <n v="67879.600000000006"/>
    <n v="1.7899999999999991"/>
    <x v="2"/>
  </r>
  <r>
    <n v="161127"/>
    <n v="11.47"/>
    <n v="7.46"/>
    <n v="954"/>
    <x v="0"/>
    <x v="1"/>
    <x v="0"/>
    <x v="1"/>
    <x v="2"/>
    <x v="0"/>
    <n v="10942.380000000001"/>
    <n v="4.0100000000000007"/>
    <x v="1"/>
  </r>
  <r>
    <n v="192871"/>
    <n v="6.39"/>
    <n v="3.99"/>
    <n v="1654"/>
    <x v="1"/>
    <x v="3"/>
    <x v="0"/>
    <x v="2"/>
    <x v="0"/>
    <x v="1"/>
    <n v="10569.06"/>
    <n v="2.3999999999999995"/>
    <x v="2"/>
  </r>
  <r>
    <n v="196774"/>
    <n v="40.99"/>
    <n v="37.67"/>
    <n v="1303"/>
    <x v="1"/>
    <x v="3"/>
    <x v="0"/>
    <x v="2"/>
    <x v="1"/>
    <x v="1"/>
    <n v="53409.97"/>
    <n v="3.3200000000000003"/>
    <x v="2"/>
  </r>
  <r>
    <n v="179265"/>
    <n v="40.07"/>
    <n v="39.770000000000003"/>
    <n v="921"/>
    <x v="0"/>
    <x v="1"/>
    <x v="1"/>
    <x v="2"/>
    <x v="1"/>
    <x v="0"/>
    <n v="36904.47"/>
    <n v="0.29999999999999716"/>
    <x v="0"/>
  </r>
  <r>
    <n v="127161"/>
    <n v="47.2"/>
    <n v="44.38"/>
    <n v="2388"/>
    <x v="0"/>
    <x v="1"/>
    <x v="1"/>
    <x v="1"/>
    <x v="2"/>
    <x v="1"/>
    <n v="112713.60000000001"/>
    <n v="2.8200000000000003"/>
    <x v="2"/>
  </r>
  <r>
    <n v="167455"/>
    <n v="44.42"/>
    <n v="43.37"/>
    <n v="2494"/>
    <x v="0"/>
    <x v="0"/>
    <x v="0"/>
    <x v="0"/>
    <x v="2"/>
    <x v="0"/>
    <n v="110783.48000000001"/>
    <n v="1.0500000000000043"/>
    <x v="0"/>
  </r>
  <r>
    <n v="126083"/>
    <n v="9.2899999999999991"/>
    <n v="5.86"/>
    <n v="1079"/>
    <x v="2"/>
    <x v="0"/>
    <x v="0"/>
    <x v="1"/>
    <x v="1"/>
    <x v="0"/>
    <n v="10023.91"/>
    <n v="3.4299999999999988"/>
    <x v="2"/>
  </r>
  <r>
    <n v="191442"/>
    <n v="38.26"/>
    <n v="38.26"/>
    <n v="604"/>
    <x v="2"/>
    <x v="1"/>
    <x v="1"/>
    <x v="0"/>
    <x v="0"/>
    <x v="1"/>
    <n v="23109.039999999997"/>
    <n v="0"/>
    <x v="0"/>
  </r>
  <r>
    <n v="157324"/>
    <n v="36.450000000000003"/>
    <n v="32.200000000000003"/>
    <n v="1482"/>
    <x v="2"/>
    <x v="1"/>
    <x v="0"/>
    <x v="2"/>
    <x v="2"/>
    <x v="1"/>
    <n v="54018.9"/>
    <n v="4.25"/>
    <x v="1"/>
  </r>
  <r>
    <n v="196863"/>
    <n v="42.68"/>
    <n v="42.34"/>
    <n v="2751"/>
    <x v="0"/>
    <x v="3"/>
    <x v="0"/>
    <x v="2"/>
    <x v="1"/>
    <x v="1"/>
    <n v="117412.68"/>
    <n v="0.33999999999999631"/>
    <x v="0"/>
  </r>
  <r>
    <n v="125834"/>
    <n v="37.76"/>
    <n v="36.64"/>
    <n v="2700"/>
    <x v="0"/>
    <x v="0"/>
    <x v="1"/>
    <x v="1"/>
    <x v="2"/>
    <x v="1"/>
    <n v="101952"/>
    <n v="1.1199999999999974"/>
    <x v="0"/>
  </r>
  <r>
    <n v="160648"/>
    <n v="47.47"/>
    <n v="45.66"/>
    <n v="1824"/>
    <x v="1"/>
    <x v="2"/>
    <x v="0"/>
    <x v="1"/>
    <x v="1"/>
    <x v="0"/>
    <n v="86585.279999999999"/>
    <n v="1.8100000000000023"/>
    <x v="2"/>
  </r>
  <r>
    <n v="177124"/>
    <n v="30.28"/>
    <n v="27.84"/>
    <n v="1339"/>
    <x v="1"/>
    <x v="1"/>
    <x v="0"/>
    <x v="2"/>
    <x v="2"/>
    <x v="0"/>
    <n v="40544.92"/>
    <n v="2.4400000000000013"/>
    <x v="2"/>
  </r>
  <r>
    <n v="130113"/>
    <n v="15.48"/>
    <n v="10.95"/>
    <n v="726"/>
    <x v="1"/>
    <x v="3"/>
    <x v="1"/>
    <x v="1"/>
    <x v="0"/>
    <x v="0"/>
    <n v="11238.48"/>
    <n v="4.5300000000000011"/>
    <x v="1"/>
  </r>
  <r>
    <n v="149104"/>
    <n v="30.51"/>
    <n v="26.82"/>
    <n v="1811"/>
    <x v="2"/>
    <x v="1"/>
    <x v="0"/>
    <x v="0"/>
    <x v="1"/>
    <x v="1"/>
    <n v="55253.61"/>
    <n v="3.6900000000000013"/>
    <x v="2"/>
  </r>
  <r>
    <n v="131351"/>
    <n v="13.38"/>
    <n v="11.17"/>
    <n v="1031"/>
    <x v="2"/>
    <x v="3"/>
    <x v="0"/>
    <x v="0"/>
    <x v="1"/>
    <x v="1"/>
    <n v="13794.78"/>
    <n v="2.2100000000000009"/>
    <x v="2"/>
  </r>
  <r>
    <n v="163127"/>
    <n v="40.39"/>
    <n v="36.590000000000003"/>
    <n v="1599"/>
    <x v="0"/>
    <x v="2"/>
    <x v="0"/>
    <x v="1"/>
    <x v="0"/>
    <x v="1"/>
    <n v="64583.61"/>
    <n v="3.7999999999999972"/>
    <x v="1"/>
  </r>
  <r>
    <n v="145944"/>
    <n v="36.299999999999997"/>
    <n v="33.01"/>
    <n v="2219"/>
    <x v="0"/>
    <x v="0"/>
    <x v="1"/>
    <x v="1"/>
    <x v="2"/>
    <x v="0"/>
    <n v="80549.7"/>
    <n v="3.2899999999999991"/>
    <x v="2"/>
  </r>
  <r>
    <n v="178288"/>
    <n v="42.19"/>
    <n v="38.49"/>
    <n v="858"/>
    <x v="0"/>
    <x v="2"/>
    <x v="1"/>
    <x v="0"/>
    <x v="0"/>
    <x v="0"/>
    <n v="36199.019999999997"/>
    <n v="3.6999999999999957"/>
    <x v="2"/>
  </r>
  <r>
    <n v="120721"/>
    <n v="19.149999999999999"/>
    <n v="14.29"/>
    <n v="1817"/>
    <x v="1"/>
    <x v="2"/>
    <x v="1"/>
    <x v="2"/>
    <x v="1"/>
    <x v="1"/>
    <n v="34795.549999999996"/>
    <n v="4.8599999999999994"/>
    <x v="1"/>
  </r>
  <r>
    <n v="198257"/>
    <n v="9.07"/>
    <n v="4.34"/>
    <n v="647"/>
    <x v="0"/>
    <x v="1"/>
    <x v="1"/>
    <x v="2"/>
    <x v="2"/>
    <x v="1"/>
    <n v="5868.29"/>
    <n v="4.7300000000000004"/>
    <x v="1"/>
  </r>
  <r>
    <n v="144938"/>
    <n v="6.71"/>
    <n v="4.2300000000000004"/>
    <n v="2042"/>
    <x v="2"/>
    <x v="2"/>
    <x v="0"/>
    <x v="1"/>
    <x v="2"/>
    <x v="1"/>
    <n v="13701.82"/>
    <n v="2.4799999999999995"/>
    <x v="2"/>
  </r>
  <r>
    <n v="180786"/>
    <n v="9.99"/>
    <n v="6.1"/>
    <n v="2581"/>
    <x v="2"/>
    <x v="2"/>
    <x v="0"/>
    <x v="0"/>
    <x v="1"/>
    <x v="0"/>
    <n v="25784.190000000002"/>
    <n v="3.8900000000000006"/>
    <x v="1"/>
  </r>
  <r>
    <n v="174984"/>
    <n v="16.46"/>
    <n v="15.04"/>
    <n v="2704"/>
    <x v="1"/>
    <x v="3"/>
    <x v="0"/>
    <x v="2"/>
    <x v="0"/>
    <x v="0"/>
    <n v="44507.840000000004"/>
    <n v="1.4200000000000017"/>
    <x v="2"/>
  </r>
  <r>
    <n v="164338"/>
    <n v="21.67"/>
    <n v="19.04"/>
    <n v="2614"/>
    <x v="1"/>
    <x v="2"/>
    <x v="1"/>
    <x v="2"/>
    <x v="0"/>
    <x v="1"/>
    <n v="56645.380000000005"/>
    <n v="2.6300000000000026"/>
    <x v="2"/>
  </r>
  <r>
    <n v="194730"/>
    <n v="14.09"/>
    <n v="10.27"/>
    <n v="1531"/>
    <x v="0"/>
    <x v="0"/>
    <x v="0"/>
    <x v="2"/>
    <x v="1"/>
    <x v="0"/>
    <n v="21571.79"/>
    <n v="3.8200000000000003"/>
    <x v="1"/>
  </r>
  <r>
    <n v="184387"/>
    <n v="22.48"/>
    <n v="20.5"/>
    <n v="1862"/>
    <x v="2"/>
    <x v="1"/>
    <x v="0"/>
    <x v="2"/>
    <x v="2"/>
    <x v="1"/>
    <n v="41857.760000000002"/>
    <n v="1.9800000000000004"/>
    <x v="2"/>
  </r>
  <r>
    <n v="122405"/>
    <n v="17.059999999999999"/>
    <n v="12.21"/>
    <n v="1312"/>
    <x v="2"/>
    <x v="0"/>
    <x v="0"/>
    <x v="2"/>
    <x v="1"/>
    <x v="0"/>
    <n v="22382.719999999998"/>
    <n v="4.8499999999999979"/>
    <x v="1"/>
  </r>
  <r>
    <n v="155287"/>
    <n v="20.21"/>
    <n v="19.05"/>
    <n v="1830"/>
    <x v="1"/>
    <x v="1"/>
    <x v="1"/>
    <x v="1"/>
    <x v="0"/>
    <x v="1"/>
    <n v="36984.300000000003"/>
    <n v="1.1600000000000001"/>
    <x v="0"/>
  </r>
  <r>
    <n v="135629"/>
    <n v="19.14"/>
    <n v="14.98"/>
    <n v="926"/>
    <x v="1"/>
    <x v="1"/>
    <x v="1"/>
    <x v="1"/>
    <x v="1"/>
    <x v="1"/>
    <n v="17723.64"/>
    <n v="4.16"/>
    <x v="1"/>
  </r>
  <r>
    <n v="161695"/>
    <n v="43.33"/>
    <n v="39.35"/>
    <n v="2463"/>
    <x v="0"/>
    <x v="1"/>
    <x v="0"/>
    <x v="0"/>
    <x v="0"/>
    <x v="0"/>
    <n v="106721.79"/>
    <n v="3.9799999999999969"/>
    <x v="1"/>
  </r>
  <r>
    <n v="188585"/>
    <n v="24.47"/>
    <n v="20.48"/>
    <n v="2376"/>
    <x v="1"/>
    <x v="2"/>
    <x v="1"/>
    <x v="0"/>
    <x v="1"/>
    <x v="0"/>
    <n v="58140.719999999994"/>
    <n v="3.9899999999999984"/>
    <x v="1"/>
  </r>
  <r>
    <n v="199050"/>
    <n v="9.4700000000000006"/>
    <n v="6.1"/>
    <n v="1352"/>
    <x v="0"/>
    <x v="3"/>
    <x v="0"/>
    <x v="1"/>
    <x v="1"/>
    <x v="0"/>
    <n v="12803.44"/>
    <n v="3.370000000000001"/>
    <x v="2"/>
  </r>
  <r>
    <n v="126957"/>
    <n v="16.68"/>
    <n v="16.440000000000001"/>
    <n v="1941"/>
    <x v="2"/>
    <x v="0"/>
    <x v="0"/>
    <x v="2"/>
    <x v="0"/>
    <x v="1"/>
    <n v="32375.88"/>
    <n v="0.23999999999999844"/>
    <x v="0"/>
  </r>
  <r>
    <n v="140298"/>
    <n v="28.83"/>
    <n v="25.5"/>
    <n v="1039"/>
    <x v="1"/>
    <x v="1"/>
    <x v="0"/>
    <x v="0"/>
    <x v="0"/>
    <x v="1"/>
    <n v="29954.37"/>
    <n v="3.3299999999999983"/>
    <x v="2"/>
  </r>
  <r>
    <n v="143161"/>
    <n v="35.54"/>
    <n v="33.58"/>
    <n v="946"/>
    <x v="1"/>
    <x v="1"/>
    <x v="1"/>
    <x v="1"/>
    <x v="0"/>
    <x v="0"/>
    <n v="33620.839999999997"/>
    <n v="1.9600000000000009"/>
    <x v="2"/>
  </r>
  <r>
    <n v="126549"/>
    <n v="42.47"/>
    <n v="40.119999999999997"/>
    <n v="1648"/>
    <x v="2"/>
    <x v="1"/>
    <x v="1"/>
    <x v="2"/>
    <x v="0"/>
    <x v="0"/>
    <n v="69990.559999999998"/>
    <n v="2.3500000000000014"/>
    <x v="2"/>
  </r>
  <r>
    <n v="199013"/>
    <n v="49.97"/>
    <n v="45.21"/>
    <n v="2894"/>
    <x v="0"/>
    <x v="3"/>
    <x v="0"/>
    <x v="0"/>
    <x v="0"/>
    <x v="0"/>
    <n v="144613.18"/>
    <n v="4.759999999999998"/>
    <x v="1"/>
  </r>
  <r>
    <n v="120994"/>
    <n v="11.43"/>
    <n v="8.77"/>
    <n v="2633"/>
    <x v="1"/>
    <x v="3"/>
    <x v="0"/>
    <x v="1"/>
    <x v="1"/>
    <x v="0"/>
    <n v="30095.19"/>
    <n v="2.66"/>
    <x v="2"/>
  </r>
  <r>
    <n v="123549"/>
    <n v="10.54"/>
    <n v="5.99"/>
    <n v="637"/>
    <x v="1"/>
    <x v="0"/>
    <x v="0"/>
    <x v="1"/>
    <x v="2"/>
    <x v="0"/>
    <n v="6713.98"/>
    <n v="4.5499999999999989"/>
    <x v="1"/>
  </r>
  <r>
    <n v="191501"/>
    <n v="40.75"/>
    <n v="37.549999999999997"/>
    <n v="2794"/>
    <x v="1"/>
    <x v="0"/>
    <x v="0"/>
    <x v="2"/>
    <x v="2"/>
    <x v="0"/>
    <n v="113855.5"/>
    <n v="3.2000000000000028"/>
    <x v="2"/>
  </r>
  <r>
    <n v="137441"/>
    <n v="38.57"/>
    <n v="34.840000000000003"/>
    <n v="1425"/>
    <x v="1"/>
    <x v="1"/>
    <x v="0"/>
    <x v="1"/>
    <x v="1"/>
    <x v="1"/>
    <n v="54962.25"/>
    <n v="3.7299999999999969"/>
    <x v="1"/>
  </r>
  <r>
    <n v="174639"/>
    <n v="32.42"/>
    <n v="27.95"/>
    <n v="1865"/>
    <x v="1"/>
    <x v="3"/>
    <x v="0"/>
    <x v="0"/>
    <x v="2"/>
    <x v="1"/>
    <n v="60463.3"/>
    <n v="4.4700000000000024"/>
    <x v="1"/>
  </r>
  <r>
    <n v="126334"/>
    <n v="43.81"/>
    <n v="39.96"/>
    <n v="718"/>
    <x v="2"/>
    <x v="3"/>
    <x v="0"/>
    <x v="1"/>
    <x v="0"/>
    <x v="0"/>
    <n v="31455.58"/>
    <n v="3.8500000000000014"/>
    <x v="1"/>
  </r>
  <r>
    <n v="158294"/>
    <n v="5.15"/>
    <n v="5.01"/>
    <n v="1252"/>
    <x v="0"/>
    <x v="1"/>
    <x v="0"/>
    <x v="0"/>
    <x v="2"/>
    <x v="0"/>
    <n v="6447.8"/>
    <n v="0.14000000000000057"/>
    <x v="0"/>
  </r>
  <r>
    <n v="171653"/>
    <n v="36.869999999999997"/>
    <n v="34.47"/>
    <n v="2951"/>
    <x v="0"/>
    <x v="2"/>
    <x v="0"/>
    <x v="1"/>
    <x v="2"/>
    <x v="1"/>
    <n v="108803.37"/>
    <n v="2.3999999999999986"/>
    <x v="2"/>
  </r>
  <r>
    <n v="113784"/>
    <n v="27.14"/>
    <n v="23.32"/>
    <n v="920"/>
    <x v="1"/>
    <x v="3"/>
    <x v="0"/>
    <x v="2"/>
    <x v="0"/>
    <x v="0"/>
    <n v="24968.799999999999"/>
    <n v="3.8200000000000003"/>
    <x v="1"/>
  </r>
  <r>
    <n v="195374"/>
    <n v="46.16"/>
    <n v="42.84"/>
    <n v="1844"/>
    <x v="1"/>
    <x v="3"/>
    <x v="1"/>
    <x v="2"/>
    <x v="1"/>
    <x v="0"/>
    <n v="85119.039999999994"/>
    <n v="3.3199999999999932"/>
    <x v="2"/>
  </r>
  <r>
    <n v="171712"/>
    <n v="44.95"/>
    <n v="43.96"/>
    <n v="835"/>
    <x v="0"/>
    <x v="3"/>
    <x v="0"/>
    <x v="1"/>
    <x v="0"/>
    <x v="1"/>
    <n v="37533.25"/>
    <n v="0.99000000000000199"/>
    <x v="0"/>
  </r>
  <r>
    <n v="148331"/>
    <n v="44.38"/>
    <n v="40.68"/>
    <n v="1322"/>
    <x v="1"/>
    <x v="2"/>
    <x v="1"/>
    <x v="2"/>
    <x v="0"/>
    <x v="1"/>
    <n v="58670.36"/>
    <n v="3.7000000000000028"/>
    <x v="2"/>
  </r>
  <r>
    <n v="123478"/>
    <n v="25.59"/>
    <n v="24.27"/>
    <n v="700"/>
    <x v="1"/>
    <x v="1"/>
    <x v="0"/>
    <x v="0"/>
    <x v="1"/>
    <x v="1"/>
    <n v="17913"/>
    <n v="1.3200000000000003"/>
    <x v="2"/>
  </r>
  <r>
    <n v="164043"/>
    <n v="11.02"/>
    <n v="10.23"/>
    <n v="2075"/>
    <x v="2"/>
    <x v="2"/>
    <x v="0"/>
    <x v="0"/>
    <x v="2"/>
    <x v="0"/>
    <n v="22866.5"/>
    <n v="0.78999999999999915"/>
    <x v="0"/>
  </r>
  <r>
    <n v="158938"/>
    <n v="39.31"/>
    <n v="37.18"/>
    <n v="703"/>
    <x v="2"/>
    <x v="1"/>
    <x v="1"/>
    <x v="2"/>
    <x v="0"/>
    <x v="0"/>
    <n v="27634.93"/>
    <n v="2.1300000000000026"/>
    <x v="2"/>
  </r>
  <r>
    <n v="118260"/>
    <n v="20.5"/>
    <n v="17.079999999999998"/>
    <n v="2653"/>
    <x v="0"/>
    <x v="0"/>
    <x v="0"/>
    <x v="1"/>
    <x v="2"/>
    <x v="1"/>
    <n v="54386.5"/>
    <n v="3.4200000000000017"/>
    <x v="2"/>
  </r>
  <r>
    <n v="168970"/>
    <n v="13.49"/>
    <n v="10.1"/>
    <n v="2819"/>
    <x v="0"/>
    <x v="1"/>
    <x v="0"/>
    <x v="1"/>
    <x v="0"/>
    <x v="0"/>
    <n v="38028.31"/>
    <n v="3.3900000000000006"/>
    <x v="2"/>
  </r>
  <r>
    <n v="160301"/>
    <n v="15.5"/>
    <n v="13.36"/>
    <n v="1056"/>
    <x v="0"/>
    <x v="3"/>
    <x v="0"/>
    <x v="2"/>
    <x v="2"/>
    <x v="0"/>
    <n v="16368"/>
    <n v="2.1400000000000006"/>
    <x v="2"/>
  </r>
  <r>
    <n v="134598"/>
    <n v="5.66"/>
    <n v="1.62"/>
    <n v="1475"/>
    <x v="1"/>
    <x v="0"/>
    <x v="1"/>
    <x v="0"/>
    <x v="1"/>
    <x v="0"/>
    <n v="8348.5"/>
    <n v="4.04"/>
    <x v="1"/>
  </r>
  <r>
    <n v="140548"/>
    <n v="9.7100000000000009"/>
    <n v="5.57"/>
    <n v="2971"/>
    <x v="2"/>
    <x v="3"/>
    <x v="1"/>
    <x v="0"/>
    <x v="0"/>
    <x v="0"/>
    <n v="28848.410000000003"/>
    <n v="4.1400000000000006"/>
    <x v="1"/>
  </r>
  <r>
    <n v="119282"/>
    <n v="17.05"/>
    <n v="16.010000000000002"/>
    <n v="2136"/>
    <x v="2"/>
    <x v="0"/>
    <x v="0"/>
    <x v="2"/>
    <x v="1"/>
    <x v="0"/>
    <n v="36418.800000000003"/>
    <n v="1.0399999999999991"/>
    <x v="0"/>
  </r>
  <r>
    <n v="155744"/>
    <n v="33.53"/>
    <n v="28.67"/>
    <n v="2663"/>
    <x v="0"/>
    <x v="0"/>
    <x v="1"/>
    <x v="0"/>
    <x v="0"/>
    <x v="1"/>
    <n v="89290.39"/>
    <n v="4.8599999999999994"/>
    <x v="1"/>
  </r>
  <r>
    <n v="188805"/>
    <n v="11.42"/>
    <n v="8.5399999999999991"/>
    <n v="1324"/>
    <x v="2"/>
    <x v="0"/>
    <x v="1"/>
    <x v="0"/>
    <x v="0"/>
    <x v="0"/>
    <n v="15120.08"/>
    <n v="2.8800000000000008"/>
    <x v="2"/>
  </r>
  <r>
    <n v="194198"/>
    <n v="44.88"/>
    <n v="41.36"/>
    <n v="2363"/>
    <x v="2"/>
    <x v="3"/>
    <x v="1"/>
    <x v="0"/>
    <x v="2"/>
    <x v="1"/>
    <n v="106051.44"/>
    <n v="3.5200000000000031"/>
    <x v="2"/>
  </r>
  <r>
    <n v="158917"/>
    <n v="15.84"/>
    <n v="11.45"/>
    <n v="2042"/>
    <x v="2"/>
    <x v="1"/>
    <x v="1"/>
    <x v="2"/>
    <x v="0"/>
    <x v="1"/>
    <n v="32345.279999999999"/>
    <n v="4.3900000000000006"/>
    <x v="1"/>
  </r>
  <r>
    <n v="119182"/>
    <n v="16.46"/>
    <n v="13.91"/>
    <n v="2578"/>
    <x v="1"/>
    <x v="0"/>
    <x v="1"/>
    <x v="2"/>
    <x v="2"/>
    <x v="0"/>
    <n v="42433.880000000005"/>
    <n v="2.5500000000000007"/>
    <x v="2"/>
  </r>
  <r>
    <n v="177843"/>
    <n v="22.29"/>
    <n v="21.55"/>
    <n v="1898"/>
    <x v="1"/>
    <x v="0"/>
    <x v="1"/>
    <x v="1"/>
    <x v="0"/>
    <x v="0"/>
    <n v="42306.42"/>
    <n v="0.73999999999999844"/>
    <x v="0"/>
  </r>
  <r>
    <n v="175135"/>
    <n v="30.9"/>
    <n v="29.78"/>
    <n v="1732"/>
    <x v="2"/>
    <x v="1"/>
    <x v="0"/>
    <x v="2"/>
    <x v="2"/>
    <x v="0"/>
    <n v="53518.799999999996"/>
    <n v="1.1199999999999974"/>
    <x v="0"/>
  </r>
  <r>
    <n v="162886"/>
    <n v="20.54"/>
    <n v="17.989999999999998"/>
    <n v="2192"/>
    <x v="0"/>
    <x v="3"/>
    <x v="0"/>
    <x v="2"/>
    <x v="0"/>
    <x v="1"/>
    <n v="45023.68"/>
    <n v="2.5500000000000007"/>
    <x v="2"/>
  </r>
  <r>
    <n v="162663"/>
    <n v="34.96"/>
    <n v="34.770000000000003"/>
    <n v="2231"/>
    <x v="2"/>
    <x v="2"/>
    <x v="0"/>
    <x v="0"/>
    <x v="1"/>
    <x v="0"/>
    <n v="77995.759999999995"/>
    <n v="0.18999999999999773"/>
    <x v="0"/>
  </r>
  <r>
    <n v="148513"/>
    <n v="28.81"/>
    <n v="24.72"/>
    <n v="980"/>
    <x v="2"/>
    <x v="1"/>
    <x v="1"/>
    <x v="2"/>
    <x v="2"/>
    <x v="1"/>
    <n v="28233.8"/>
    <n v="4.09"/>
    <x v="1"/>
  </r>
  <r>
    <n v="127550"/>
    <n v="45.28"/>
    <n v="42.69"/>
    <n v="2605"/>
    <x v="1"/>
    <x v="0"/>
    <x v="1"/>
    <x v="2"/>
    <x v="0"/>
    <x v="1"/>
    <n v="117954.40000000001"/>
    <n v="2.5900000000000034"/>
    <x v="2"/>
  </r>
  <r>
    <n v="123557"/>
    <n v="15.14"/>
    <n v="11.49"/>
    <n v="1035"/>
    <x v="1"/>
    <x v="1"/>
    <x v="0"/>
    <x v="2"/>
    <x v="2"/>
    <x v="1"/>
    <n v="15669.900000000001"/>
    <n v="3.6500000000000004"/>
    <x v="2"/>
  </r>
  <r>
    <n v="140118"/>
    <n v="41.12"/>
    <n v="39.94"/>
    <n v="2063"/>
    <x v="0"/>
    <x v="3"/>
    <x v="0"/>
    <x v="0"/>
    <x v="1"/>
    <x v="1"/>
    <n v="84830.56"/>
    <n v="1.1799999999999997"/>
    <x v="2"/>
  </r>
  <r>
    <n v="172912"/>
    <n v="40.01"/>
    <n v="38.86"/>
    <n v="2551"/>
    <x v="2"/>
    <x v="3"/>
    <x v="1"/>
    <x v="2"/>
    <x v="0"/>
    <x v="0"/>
    <n v="102065.51"/>
    <n v="1.1499999999999986"/>
    <x v="0"/>
  </r>
  <r>
    <n v="155610"/>
    <n v="5.1100000000000003"/>
    <n v="1.28"/>
    <n v="2807"/>
    <x v="1"/>
    <x v="3"/>
    <x v="0"/>
    <x v="2"/>
    <x v="1"/>
    <x v="1"/>
    <n v="14343.77"/>
    <n v="3.83"/>
    <x v="1"/>
  </r>
  <r>
    <n v="160544"/>
    <n v="45.47"/>
    <n v="41.47"/>
    <n v="2687"/>
    <x v="0"/>
    <x v="3"/>
    <x v="1"/>
    <x v="1"/>
    <x v="2"/>
    <x v="0"/>
    <n v="122177.89"/>
    <n v="4"/>
    <x v="1"/>
  </r>
  <r>
    <n v="177721"/>
    <n v="25.2"/>
    <n v="20.82"/>
    <n v="2731"/>
    <x v="0"/>
    <x v="1"/>
    <x v="1"/>
    <x v="1"/>
    <x v="1"/>
    <x v="0"/>
    <n v="68821.2"/>
    <n v="4.379999999999999"/>
    <x v="1"/>
  </r>
  <r>
    <n v="199735"/>
    <n v="41"/>
    <n v="40.35"/>
    <n v="1176"/>
    <x v="1"/>
    <x v="1"/>
    <x v="1"/>
    <x v="0"/>
    <x v="1"/>
    <x v="0"/>
    <n v="48216"/>
    <n v="0.64999999999999858"/>
    <x v="0"/>
  </r>
  <r>
    <n v="164553"/>
    <n v="6.66"/>
    <n v="3.09"/>
    <n v="1826"/>
    <x v="2"/>
    <x v="0"/>
    <x v="0"/>
    <x v="1"/>
    <x v="0"/>
    <x v="1"/>
    <n v="12161.16"/>
    <n v="3.5700000000000003"/>
    <x v="2"/>
  </r>
  <r>
    <n v="160829"/>
    <n v="28.09"/>
    <n v="26"/>
    <n v="1985"/>
    <x v="1"/>
    <x v="2"/>
    <x v="0"/>
    <x v="2"/>
    <x v="0"/>
    <x v="1"/>
    <n v="55758.65"/>
    <n v="2.09"/>
    <x v="2"/>
  </r>
  <r>
    <n v="189316"/>
    <n v="33.94"/>
    <n v="32.880000000000003"/>
    <n v="2262"/>
    <x v="0"/>
    <x v="3"/>
    <x v="0"/>
    <x v="2"/>
    <x v="0"/>
    <x v="1"/>
    <n v="76772.28"/>
    <n v="1.0599999999999952"/>
    <x v="0"/>
  </r>
  <r>
    <n v="110815"/>
    <n v="42.48"/>
    <n v="42.36"/>
    <n v="1672"/>
    <x v="2"/>
    <x v="2"/>
    <x v="0"/>
    <x v="0"/>
    <x v="1"/>
    <x v="0"/>
    <n v="71026.559999999998"/>
    <n v="0.11999999999999744"/>
    <x v="0"/>
  </r>
  <r>
    <n v="173823"/>
    <n v="46.95"/>
    <n v="46.69"/>
    <n v="2732"/>
    <x v="2"/>
    <x v="2"/>
    <x v="1"/>
    <x v="2"/>
    <x v="1"/>
    <x v="1"/>
    <n v="128267.40000000001"/>
    <n v="0.26000000000000512"/>
    <x v="0"/>
  </r>
  <r>
    <n v="189791"/>
    <n v="15.37"/>
    <n v="13.64"/>
    <n v="1360"/>
    <x v="2"/>
    <x v="3"/>
    <x v="0"/>
    <x v="1"/>
    <x v="2"/>
    <x v="1"/>
    <n v="20903.2"/>
    <n v="1.7299999999999986"/>
    <x v="2"/>
  </r>
  <r>
    <n v="180074"/>
    <n v="18.25"/>
    <n v="14.38"/>
    <n v="2608"/>
    <x v="1"/>
    <x v="0"/>
    <x v="1"/>
    <x v="1"/>
    <x v="0"/>
    <x v="1"/>
    <n v="47596"/>
    <n v="3.8699999999999992"/>
    <x v="1"/>
  </r>
  <r>
    <n v="131689"/>
    <n v="42.43"/>
    <n v="41.76"/>
    <n v="1833"/>
    <x v="1"/>
    <x v="0"/>
    <x v="0"/>
    <x v="2"/>
    <x v="2"/>
    <x v="1"/>
    <n v="77774.19"/>
    <n v="0.67000000000000171"/>
    <x v="0"/>
  </r>
  <r>
    <n v="145573"/>
    <n v="43.83"/>
    <n v="42.62"/>
    <n v="1071"/>
    <x v="0"/>
    <x v="0"/>
    <x v="0"/>
    <x v="1"/>
    <x v="1"/>
    <x v="1"/>
    <n v="46941.93"/>
    <n v="1.2100000000000009"/>
    <x v="2"/>
  </r>
  <r>
    <n v="196508"/>
    <n v="47.98"/>
    <n v="44.05"/>
    <n v="1698"/>
    <x v="2"/>
    <x v="0"/>
    <x v="1"/>
    <x v="1"/>
    <x v="0"/>
    <x v="1"/>
    <n v="81470.039999999994"/>
    <n v="3.9299999999999997"/>
    <x v="1"/>
  </r>
  <r>
    <n v="159831"/>
    <n v="36.29"/>
    <n v="33.69"/>
    <n v="763"/>
    <x v="0"/>
    <x v="3"/>
    <x v="0"/>
    <x v="0"/>
    <x v="1"/>
    <x v="0"/>
    <n v="27689.27"/>
    <n v="2.6000000000000014"/>
    <x v="2"/>
  </r>
  <r>
    <n v="154409"/>
    <n v="19.87"/>
    <n v="19.649999999999999"/>
    <n v="1506"/>
    <x v="0"/>
    <x v="3"/>
    <x v="0"/>
    <x v="0"/>
    <x v="2"/>
    <x v="1"/>
    <n v="29924.22"/>
    <n v="0.22000000000000242"/>
    <x v="0"/>
  </r>
  <r>
    <n v="151330"/>
    <n v="42.94"/>
    <n v="39.979999999999997"/>
    <n v="2353"/>
    <x v="0"/>
    <x v="3"/>
    <x v="0"/>
    <x v="2"/>
    <x v="2"/>
    <x v="0"/>
    <n v="101037.81999999999"/>
    <n v="2.9600000000000009"/>
    <x v="2"/>
  </r>
  <r>
    <n v="178721"/>
    <n v="34.32"/>
    <n v="30.13"/>
    <n v="628"/>
    <x v="1"/>
    <x v="2"/>
    <x v="0"/>
    <x v="1"/>
    <x v="1"/>
    <x v="0"/>
    <n v="21552.959999999999"/>
    <n v="4.1900000000000013"/>
    <x v="1"/>
  </r>
  <r>
    <n v="190370"/>
    <n v="36.86"/>
    <n v="35.270000000000003"/>
    <n v="554"/>
    <x v="1"/>
    <x v="0"/>
    <x v="1"/>
    <x v="1"/>
    <x v="0"/>
    <x v="1"/>
    <n v="20420.439999999999"/>
    <n v="1.5899999999999963"/>
    <x v="2"/>
  </r>
  <r>
    <n v="171778"/>
    <n v="34.07"/>
    <n v="30.82"/>
    <n v="2095"/>
    <x v="2"/>
    <x v="0"/>
    <x v="0"/>
    <x v="1"/>
    <x v="0"/>
    <x v="1"/>
    <n v="71376.649999999994"/>
    <n v="3.25"/>
    <x v="2"/>
  </r>
  <r>
    <n v="181634"/>
    <n v="23.99"/>
    <n v="22.54"/>
    <n v="2774"/>
    <x v="2"/>
    <x v="2"/>
    <x v="0"/>
    <x v="2"/>
    <x v="0"/>
    <x v="1"/>
    <n v="66548.259999999995"/>
    <n v="1.4499999999999993"/>
    <x v="2"/>
  </r>
  <r>
    <n v="146294"/>
    <n v="11.38"/>
    <n v="8.6"/>
    <n v="2777"/>
    <x v="2"/>
    <x v="2"/>
    <x v="0"/>
    <x v="2"/>
    <x v="2"/>
    <x v="1"/>
    <n v="31602.260000000002"/>
    <n v="2.7800000000000011"/>
    <x v="2"/>
  </r>
  <r>
    <n v="113594"/>
    <n v="24.18"/>
    <n v="21.23"/>
    <n v="2376"/>
    <x v="2"/>
    <x v="1"/>
    <x v="0"/>
    <x v="2"/>
    <x v="1"/>
    <x v="0"/>
    <n v="57451.68"/>
    <n v="2.9499999999999993"/>
    <x v="2"/>
  </r>
  <r>
    <n v="153294"/>
    <n v="30.37"/>
    <n v="26.67"/>
    <n v="1279"/>
    <x v="1"/>
    <x v="1"/>
    <x v="1"/>
    <x v="1"/>
    <x v="1"/>
    <x v="0"/>
    <n v="38843.230000000003"/>
    <n v="3.6999999999999993"/>
    <x v="2"/>
  </r>
  <r>
    <n v="191154"/>
    <n v="38.81"/>
    <n v="36.770000000000003"/>
    <n v="836"/>
    <x v="0"/>
    <x v="1"/>
    <x v="0"/>
    <x v="1"/>
    <x v="0"/>
    <x v="0"/>
    <n v="32445.160000000003"/>
    <n v="2.0399999999999991"/>
    <x v="2"/>
  </r>
  <r>
    <n v="154870"/>
    <n v="8.52"/>
    <n v="5.1100000000000003"/>
    <n v="1793"/>
    <x v="1"/>
    <x v="2"/>
    <x v="1"/>
    <x v="2"/>
    <x v="0"/>
    <x v="1"/>
    <n v="15276.359999999999"/>
    <n v="3.4099999999999993"/>
    <x v="2"/>
  </r>
  <r>
    <n v="145558"/>
    <n v="10.78"/>
    <n v="8.58"/>
    <n v="2728"/>
    <x v="1"/>
    <x v="0"/>
    <x v="1"/>
    <x v="1"/>
    <x v="0"/>
    <x v="0"/>
    <n v="29407.839999999997"/>
    <n v="2.1999999999999993"/>
    <x v="2"/>
  </r>
  <r>
    <n v="135809"/>
    <n v="18.899999999999999"/>
    <n v="18.48"/>
    <n v="1780"/>
    <x v="1"/>
    <x v="2"/>
    <x v="1"/>
    <x v="2"/>
    <x v="0"/>
    <x v="0"/>
    <n v="33642"/>
    <n v="0.41999999999999815"/>
    <x v="0"/>
  </r>
  <r>
    <n v="156148"/>
    <n v="36.26"/>
    <n v="34.24"/>
    <n v="1508"/>
    <x v="2"/>
    <x v="2"/>
    <x v="1"/>
    <x v="0"/>
    <x v="1"/>
    <x v="1"/>
    <n v="54680.079999999994"/>
    <n v="2.019999999999996"/>
    <x v="2"/>
  </r>
  <r>
    <n v="171191"/>
    <n v="46.72"/>
    <n v="45.02"/>
    <n v="2267"/>
    <x v="2"/>
    <x v="0"/>
    <x v="0"/>
    <x v="2"/>
    <x v="2"/>
    <x v="1"/>
    <n v="105914.23999999999"/>
    <n v="1.6999999999999957"/>
    <x v="2"/>
  </r>
  <r>
    <n v="115810"/>
    <n v="7.28"/>
    <n v="6.56"/>
    <n v="1953"/>
    <x v="0"/>
    <x v="2"/>
    <x v="0"/>
    <x v="2"/>
    <x v="0"/>
    <x v="1"/>
    <n v="14217.84"/>
    <n v="0.72000000000000064"/>
    <x v="0"/>
  </r>
  <r>
    <n v="115533"/>
    <n v="41.85"/>
    <n v="37.04"/>
    <n v="1971"/>
    <x v="2"/>
    <x v="3"/>
    <x v="1"/>
    <x v="1"/>
    <x v="2"/>
    <x v="1"/>
    <n v="82486.350000000006"/>
    <n v="4.8100000000000023"/>
    <x v="1"/>
  </r>
  <r>
    <n v="191827"/>
    <n v="28.57"/>
    <n v="26.47"/>
    <n v="1178"/>
    <x v="2"/>
    <x v="0"/>
    <x v="1"/>
    <x v="1"/>
    <x v="2"/>
    <x v="0"/>
    <n v="33655.46"/>
    <n v="2.1000000000000014"/>
    <x v="2"/>
  </r>
  <r>
    <n v="115156"/>
    <n v="10.66"/>
    <n v="6.87"/>
    <n v="2800"/>
    <x v="2"/>
    <x v="3"/>
    <x v="1"/>
    <x v="2"/>
    <x v="1"/>
    <x v="1"/>
    <n v="29848"/>
    <n v="3.79"/>
    <x v="1"/>
  </r>
  <r>
    <n v="148849"/>
    <n v="11.75"/>
    <n v="9.84"/>
    <n v="1307"/>
    <x v="2"/>
    <x v="2"/>
    <x v="1"/>
    <x v="1"/>
    <x v="1"/>
    <x v="1"/>
    <n v="15357.25"/>
    <n v="1.9100000000000001"/>
    <x v="2"/>
  </r>
  <r>
    <n v="121239"/>
    <n v="49.77"/>
    <n v="49.66"/>
    <n v="1829"/>
    <x v="1"/>
    <x v="1"/>
    <x v="1"/>
    <x v="0"/>
    <x v="0"/>
    <x v="1"/>
    <n v="91029.33"/>
    <n v="0.11000000000000654"/>
    <x v="0"/>
  </r>
  <r>
    <n v="147878"/>
    <n v="38.9"/>
    <n v="35.380000000000003"/>
    <n v="1065"/>
    <x v="2"/>
    <x v="0"/>
    <x v="0"/>
    <x v="1"/>
    <x v="1"/>
    <x v="0"/>
    <n v="41428.5"/>
    <n v="3.519999999999996"/>
    <x v="2"/>
  </r>
  <r>
    <n v="163043"/>
    <n v="15.86"/>
    <n v="11.57"/>
    <n v="1075"/>
    <x v="1"/>
    <x v="1"/>
    <x v="0"/>
    <x v="1"/>
    <x v="1"/>
    <x v="0"/>
    <n v="17049.5"/>
    <n v="4.2899999999999991"/>
    <x v="1"/>
  </r>
  <r>
    <n v="198302"/>
    <n v="45.15"/>
    <n v="42"/>
    <n v="1388"/>
    <x v="2"/>
    <x v="1"/>
    <x v="0"/>
    <x v="0"/>
    <x v="0"/>
    <x v="0"/>
    <n v="62668.2"/>
    <n v="3.1499999999999986"/>
    <x v="2"/>
  </r>
  <r>
    <n v="191418"/>
    <n v="46.06"/>
    <n v="43.67"/>
    <n v="2244"/>
    <x v="1"/>
    <x v="1"/>
    <x v="0"/>
    <x v="0"/>
    <x v="1"/>
    <x v="0"/>
    <n v="103358.64"/>
    <n v="2.3900000000000006"/>
    <x v="2"/>
  </r>
  <r>
    <n v="175324"/>
    <n v="37.69"/>
    <n v="36.14"/>
    <n v="1308"/>
    <x v="1"/>
    <x v="0"/>
    <x v="1"/>
    <x v="1"/>
    <x v="1"/>
    <x v="1"/>
    <n v="49298.52"/>
    <n v="1.5499999999999972"/>
    <x v="2"/>
  </r>
  <r>
    <n v="168949"/>
    <n v="47.81"/>
    <n v="46.2"/>
    <n v="1033"/>
    <x v="0"/>
    <x v="1"/>
    <x v="1"/>
    <x v="2"/>
    <x v="1"/>
    <x v="0"/>
    <n v="49387.73"/>
    <n v="1.6099999999999994"/>
    <x v="2"/>
  </r>
  <r>
    <n v="132443"/>
    <n v="36.15"/>
    <n v="31.58"/>
    <n v="1924"/>
    <x v="1"/>
    <x v="3"/>
    <x v="1"/>
    <x v="0"/>
    <x v="0"/>
    <x v="0"/>
    <n v="69552.599999999991"/>
    <n v="4.57"/>
    <x v="1"/>
  </r>
  <r>
    <n v="142665"/>
    <n v="28.97"/>
    <n v="24.67"/>
    <n v="1705"/>
    <x v="0"/>
    <x v="3"/>
    <x v="1"/>
    <x v="1"/>
    <x v="0"/>
    <x v="1"/>
    <n v="49393.85"/>
    <n v="4.2999999999999972"/>
    <x v="1"/>
  </r>
  <r>
    <n v="171112"/>
    <n v="40.65"/>
    <n v="36.479999999999997"/>
    <n v="635"/>
    <x v="2"/>
    <x v="3"/>
    <x v="0"/>
    <x v="0"/>
    <x v="2"/>
    <x v="1"/>
    <n v="25812.75"/>
    <n v="4.1700000000000017"/>
    <x v="1"/>
  </r>
  <r>
    <n v="164994"/>
    <n v="13.6"/>
    <n v="8.67"/>
    <n v="2189"/>
    <x v="1"/>
    <x v="0"/>
    <x v="1"/>
    <x v="1"/>
    <x v="2"/>
    <x v="0"/>
    <n v="29770.399999999998"/>
    <n v="4.93"/>
    <x v="1"/>
  </r>
  <r>
    <n v="197700"/>
    <n v="5.76"/>
    <n v="3.84"/>
    <n v="2716"/>
    <x v="0"/>
    <x v="0"/>
    <x v="0"/>
    <x v="0"/>
    <x v="1"/>
    <x v="0"/>
    <n v="15644.16"/>
    <n v="1.92"/>
    <x v="2"/>
  </r>
  <r>
    <n v="162699"/>
    <n v="9.26"/>
    <n v="5.65"/>
    <n v="1474"/>
    <x v="2"/>
    <x v="2"/>
    <x v="0"/>
    <x v="1"/>
    <x v="1"/>
    <x v="1"/>
    <n v="13649.24"/>
    <n v="3.6099999999999994"/>
    <x v="2"/>
  </r>
  <r>
    <n v="166102"/>
    <n v="48.35"/>
    <n v="47.1"/>
    <n v="1001"/>
    <x v="0"/>
    <x v="3"/>
    <x v="1"/>
    <x v="2"/>
    <x v="2"/>
    <x v="0"/>
    <n v="48398.35"/>
    <n v="1.25"/>
    <x v="2"/>
  </r>
  <r>
    <n v="125196"/>
    <n v="33.86"/>
    <n v="31.9"/>
    <n v="2479"/>
    <x v="2"/>
    <x v="2"/>
    <x v="0"/>
    <x v="2"/>
    <x v="0"/>
    <x v="1"/>
    <n v="83938.94"/>
    <n v="1.9600000000000009"/>
    <x v="2"/>
  </r>
  <r>
    <n v="190769"/>
    <n v="40.56"/>
    <n v="38.99"/>
    <n v="955"/>
    <x v="2"/>
    <x v="0"/>
    <x v="0"/>
    <x v="0"/>
    <x v="0"/>
    <x v="1"/>
    <n v="38734.800000000003"/>
    <n v="1.5700000000000003"/>
    <x v="2"/>
  </r>
  <r>
    <n v="192908"/>
    <n v="45.61"/>
    <n v="43.04"/>
    <n v="1410"/>
    <x v="1"/>
    <x v="1"/>
    <x v="0"/>
    <x v="2"/>
    <x v="2"/>
    <x v="1"/>
    <n v="64310.1"/>
    <n v="2.5700000000000003"/>
    <x v="2"/>
  </r>
  <r>
    <n v="190000"/>
    <n v="11.29"/>
    <n v="9.86"/>
    <n v="1133"/>
    <x v="2"/>
    <x v="0"/>
    <x v="1"/>
    <x v="2"/>
    <x v="1"/>
    <x v="0"/>
    <n v="12791.57"/>
    <n v="1.4299999999999997"/>
    <x v="2"/>
  </r>
  <r>
    <n v="117812"/>
    <n v="13.49"/>
    <n v="11.04"/>
    <n v="2984"/>
    <x v="2"/>
    <x v="1"/>
    <x v="0"/>
    <x v="1"/>
    <x v="1"/>
    <x v="0"/>
    <n v="40254.160000000003"/>
    <n v="2.4500000000000011"/>
    <x v="2"/>
  </r>
  <r>
    <n v="158258"/>
    <n v="41.44"/>
    <n v="39.26"/>
    <n v="2622"/>
    <x v="1"/>
    <x v="0"/>
    <x v="0"/>
    <x v="0"/>
    <x v="1"/>
    <x v="1"/>
    <n v="108655.67999999999"/>
    <n v="2.1799999999999997"/>
    <x v="2"/>
  </r>
  <r>
    <n v="136575"/>
    <n v="18.649999999999999"/>
    <n v="15.73"/>
    <n v="2570"/>
    <x v="2"/>
    <x v="2"/>
    <x v="1"/>
    <x v="0"/>
    <x v="2"/>
    <x v="1"/>
    <n v="47930.499999999993"/>
    <n v="2.9199999999999982"/>
    <x v="2"/>
  </r>
  <r>
    <n v="152880"/>
    <n v="25.36"/>
    <n v="24.79"/>
    <n v="617"/>
    <x v="1"/>
    <x v="2"/>
    <x v="0"/>
    <x v="1"/>
    <x v="0"/>
    <x v="1"/>
    <n v="15647.119999999999"/>
    <n v="0.57000000000000028"/>
    <x v="0"/>
  </r>
  <r>
    <n v="112839"/>
    <n v="49.98"/>
    <n v="49.85"/>
    <n v="2255"/>
    <x v="2"/>
    <x v="2"/>
    <x v="0"/>
    <x v="2"/>
    <x v="0"/>
    <x v="0"/>
    <n v="112704.9"/>
    <n v="0.12999999999999545"/>
    <x v="0"/>
  </r>
  <r>
    <n v="190584"/>
    <n v="37.43"/>
    <n v="33.22"/>
    <n v="637"/>
    <x v="1"/>
    <x v="3"/>
    <x v="1"/>
    <x v="2"/>
    <x v="0"/>
    <x v="0"/>
    <n v="23842.91"/>
    <n v="4.2100000000000009"/>
    <x v="1"/>
  </r>
  <r>
    <n v="171598"/>
    <n v="30.93"/>
    <n v="30.15"/>
    <n v="1613"/>
    <x v="0"/>
    <x v="3"/>
    <x v="1"/>
    <x v="0"/>
    <x v="1"/>
    <x v="0"/>
    <n v="49890.09"/>
    <n v="0.78000000000000114"/>
    <x v="0"/>
  </r>
  <r>
    <n v="169545"/>
    <n v="20.399999999999999"/>
    <n v="15.7"/>
    <n v="653"/>
    <x v="0"/>
    <x v="0"/>
    <x v="1"/>
    <x v="2"/>
    <x v="1"/>
    <x v="0"/>
    <n v="13321.199999999999"/>
    <n v="4.6999999999999993"/>
    <x v="1"/>
  </r>
  <r>
    <n v="132704"/>
    <n v="25.47"/>
    <n v="22.73"/>
    <n v="2074"/>
    <x v="2"/>
    <x v="0"/>
    <x v="1"/>
    <x v="0"/>
    <x v="1"/>
    <x v="0"/>
    <n v="52824.78"/>
    <n v="2.7399999999999984"/>
    <x v="2"/>
  </r>
  <r>
    <n v="168639"/>
    <n v="38.68"/>
    <n v="35.89"/>
    <n v="2068"/>
    <x v="2"/>
    <x v="3"/>
    <x v="1"/>
    <x v="2"/>
    <x v="0"/>
    <x v="1"/>
    <n v="79990.240000000005"/>
    <n v="2.7899999999999991"/>
    <x v="2"/>
  </r>
  <r>
    <n v="163062"/>
    <n v="37.79"/>
    <n v="34.04"/>
    <n v="2360"/>
    <x v="2"/>
    <x v="3"/>
    <x v="1"/>
    <x v="1"/>
    <x v="2"/>
    <x v="1"/>
    <n v="89184.4"/>
    <n v="3.75"/>
    <x v="1"/>
  </r>
  <r>
    <n v="186783"/>
    <n v="8.52"/>
    <n v="4.55"/>
    <n v="1667"/>
    <x v="1"/>
    <x v="2"/>
    <x v="0"/>
    <x v="2"/>
    <x v="2"/>
    <x v="1"/>
    <n v="14202.84"/>
    <n v="3.9699999999999998"/>
    <x v="1"/>
  </r>
  <r>
    <n v="130656"/>
    <n v="30.51"/>
    <n v="27.48"/>
    <n v="588"/>
    <x v="0"/>
    <x v="0"/>
    <x v="1"/>
    <x v="1"/>
    <x v="1"/>
    <x v="0"/>
    <n v="17939.88"/>
    <n v="3.0300000000000011"/>
    <x v="2"/>
  </r>
  <r>
    <n v="111930"/>
    <n v="11.04"/>
    <n v="9.15"/>
    <n v="1380"/>
    <x v="2"/>
    <x v="1"/>
    <x v="0"/>
    <x v="2"/>
    <x v="1"/>
    <x v="0"/>
    <n v="15235.199999999999"/>
    <n v="1.8899999999999988"/>
    <x v="2"/>
  </r>
  <r>
    <n v="115305"/>
    <n v="36.36"/>
    <n v="31.41"/>
    <n v="676"/>
    <x v="2"/>
    <x v="1"/>
    <x v="0"/>
    <x v="1"/>
    <x v="1"/>
    <x v="1"/>
    <n v="24579.360000000001"/>
    <n v="4.9499999999999993"/>
    <x v="1"/>
  </r>
  <r>
    <n v="167689"/>
    <n v="11.48"/>
    <n v="10.41"/>
    <n v="2969"/>
    <x v="2"/>
    <x v="2"/>
    <x v="0"/>
    <x v="2"/>
    <x v="1"/>
    <x v="1"/>
    <n v="34084.120000000003"/>
    <n v="1.0700000000000003"/>
    <x v="0"/>
  </r>
  <r>
    <n v="110451"/>
    <n v="10.77"/>
    <n v="9.98"/>
    <n v="578"/>
    <x v="0"/>
    <x v="0"/>
    <x v="1"/>
    <x v="2"/>
    <x v="2"/>
    <x v="0"/>
    <n v="6225.0599999999995"/>
    <n v="0.78999999999999915"/>
    <x v="0"/>
  </r>
  <r>
    <n v="189534"/>
    <n v="5.73"/>
    <n v="3.94"/>
    <n v="2886"/>
    <x v="0"/>
    <x v="2"/>
    <x v="1"/>
    <x v="1"/>
    <x v="1"/>
    <x v="0"/>
    <n v="16536.780000000002"/>
    <n v="1.7900000000000005"/>
    <x v="2"/>
  </r>
  <r>
    <n v="153881"/>
    <n v="33.159999999999997"/>
    <n v="28.8"/>
    <n v="1376"/>
    <x v="0"/>
    <x v="0"/>
    <x v="1"/>
    <x v="2"/>
    <x v="0"/>
    <x v="0"/>
    <n v="45628.159999999996"/>
    <n v="4.3599999999999959"/>
    <x v="1"/>
  </r>
  <r>
    <n v="112314"/>
    <n v="25.65"/>
    <n v="25.2"/>
    <n v="519"/>
    <x v="1"/>
    <x v="3"/>
    <x v="1"/>
    <x v="0"/>
    <x v="1"/>
    <x v="0"/>
    <n v="13312.349999999999"/>
    <n v="0.44999999999999929"/>
    <x v="0"/>
  </r>
  <r>
    <n v="134948"/>
    <n v="10.28"/>
    <n v="7.76"/>
    <n v="600"/>
    <x v="0"/>
    <x v="2"/>
    <x v="1"/>
    <x v="0"/>
    <x v="2"/>
    <x v="0"/>
    <n v="6168"/>
    <n v="2.5199999999999996"/>
    <x v="2"/>
  </r>
  <r>
    <n v="152468"/>
    <n v="8.31"/>
    <n v="5.35"/>
    <n v="1728"/>
    <x v="2"/>
    <x v="0"/>
    <x v="1"/>
    <x v="0"/>
    <x v="2"/>
    <x v="0"/>
    <n v="14359.68"/>
    <n v="2.9600000000000009"/>
    <x v="2"/>
  </r>
  <r>
    <n v="148553"/>
    <n v="27.54"/>
    <n v="24.56"/>
    <n v="1585"/>
    <x v="2"/>
    <x v="0"/>
    <x v="1"/>
    <x v="2"/>
    <x v="2"/>
    <x v="0"/>
    <n v="43650.9"/>
    <n v="2.9800000000000004"/>
    <x v="2"/>
  </r>
  <r>
    <n v="121643"/>
    <n v="5.17"/>
    <n v="0.72"/>
    <n v="1522"/>
    <x v="2"/>
    <x v="3"/>
    <x v="0"/>
    <x v="0"/>
    <x v="2"/>
    <x v="1"/>
    <n v="7868.74"/>
    <n v="4.45"/>
    <x v="1"/>
  </r>
  <r>
    <n v="167351"/>
    <n v="33.049999999999997"/>
    <n v="31.73"/>
    <n v="961"/>
    <x v="1"/>
    <x v="3"/>
    <x v="0"/>
    <x v="0"/>
    <x v="1"/>
    <x v="0"/>
    <n v="31761.049999999996"/>
    <n v="1.3199999999999967"/>
    <x v="2"/>
  </r>
  <r>
    <n v="199976"/>
    <n v="19.66"/>
    <n v="18.89"/>
    <n v="1641"/>
    <x v="2"/>
    <x v="3"/>
    <x v="0"/>
    <x v="2"/>
    <x v="0"/>
    <x v="0"/>
    <n v="32262.06"/>
    <n v="0.76999999999999957"/>
    <x v="0"/>
  </r>
  <r>
    <n v="172344"/>
    <n v="15.42"/>
    <n v="13.77"/>
    <n v="2030"/>
    <x v="0"/>
    <x v="0"/>
    <x v="1"/>
    <x v="1"/>
    <x v="0"/>
    <x v="1"/>
    <n v="31302.6"/>
    <n v="1.6500000000000004"/>
    <x v="2"/>
  </r>
  <r>
    <n v="157499"/>
    <n v="19.489999999999998"/>
    <n v="16.809999999999999"/>
    <n v="1973"/>
    <x v="1"/>
    <x v="1"/>
    <x v="0"/>
    <x v="0"/>
    <x v="1"/>
    <x v="0"/>
    <n v="38453.769999999997"/>
    <n v="2.6799999999999997"/>
    <x v="2"/>
  </r>
  <r>
    <n v="173866"/>
    <n v="47.92"/>
    <n v="44.15"/>
    <n v="2246"/>
    <x v="0"/>
    <x v="2"/>
    <x v="1"/>
    <x v="0"/>
    <x v="2"/>
    <x v="1"/>
    <n v="107628.32"/>
    <n v="3.7700000000000031"/>
    <x v="1"/>
  </r>
  <r>
    <n v="134989"/>
    <n v="14.85"/>
    <n v="12.52"/>
    <n v="2571"/>
    <x v="2"/>
    <x v="0"/>
    <x v="1"/>
    <x v="2"/>
    <x v="0"/>
    <x v="1"/>
    <n v="38179.35"/>
    <n v="2.33"/>
    <x v="2"/>
  </r>
  <r>
    <n v="162691"/>
    <n v="36.770000000000003"/>
    <n v="35.21"/>
    <n v="690"/>
    <x v="2"/>
    <x v="0"/>
    <x v="1"/>
    <x v="2"/>
    <x v="0"/>
    <x v="0"/>
    <n v="25371.300000000003"/>
    <n v="1.5600000000000023"/>
    <x v="2"/>
  </r>
  <r>
    <n v="187196"/>
    <n v="37.130000000000003"/>
    <n v="35.06"/>
    <n v="2876"/>
    <x v="1"/>
    <x v="3"/>
    <x v="0"/>
    <x v="1"/>
    <x v="2"/>
    <x v="1"/>
    <n v="106785.88"/>
    <n v="2.0700000000000003"/>
    <x v="2"/>
  </r>
  <r>
    <n v="121378"/>
    <n v="9.26"/>
    <n v="9.07"/>
    <n v="2168"/>
    <x v="0"/>
    <x v="1"/>
    <x v="1"/>
    <x v="1"/>
    <x v="1"/>
    <x v="1"/>
    <n v="20075.68"/>
    <n v="0.1899999999999995"/>
    <x v="0"/>
  </r>
  <r>
    <n v="142482"/>
    <n v="27.59"/>
    <n v="26.89"/>
    <n v="1362"/>
    <x v="2"/>
    <x v="2"/>
    <x v="0"/>
    <x v="1"/>
    <x v="1"/>
    <x v="0"/>
    <n v="37577.58"/>
    <n v="0.69999999999999929"/>
    <x v="0"/>
  </r>
  <r>
    <n v="176723"/>
    <n v="47.41"/>
    <n v="45.53"/>
    <n v="1524"/>
    <x v="1"/>
    <x v="0"/>
    <x v="0"/>
    <x v="0"/>
    <x v="1"/>
    <x v="1"/>
    <n v="72252.84"/>
    <n v="1.8799999999999955"/>
    <x v="2"/>
  </r>
  <r>
    <n v="132654"/>
    <n v="36.75"/>
    <n v="36.090000000000003"/>
    <n v="1875"/>
    <x v="1"/>
    <x v="1"/>
    <x v="0"/>
    <x v="2"/>
    <x v="2"/>
    <x v="1"/>
    <n v="68906.25"/>
    <n v="0.65999999999999659"/>
    <x v="0"/>
  </r>
  <r>
    <n v="169453"/>
    <n v="12.09"/>
    <n v="10.47"/>
    <n v="2177"/>
    <x v="0"/>
    <x v="1"/>
    <x v="0"/>
    <x v="0"/>
    <x v="1"/>
    <x v="1"/>
    <n v="26319.93"/>
    <n v="1.6199999999999992"/>
    <x v="2"/>
  </r>
  <r>
    <n v="165328"/>
    <n v="37.369999999999997"/>
    <n v="32.700000000000003"/>
    <n v="719"/>
    <x v="0"/>
    <x v="0"/>
    <x v="1"/>
    <x v="1"/>
    <x v="2"/>
    <x v="0"/>
    <n v="26869.03"/>
    <n v="4.6699999999999946"/>
    <x v="1"/>
  </r>
  <r>
    <n v="189998"/>
    <n v="27.39"/>
    <n v="27.22"/>
    <n v="2206"/>
    <x v="2"/>
    <x v="2"/>
    <x v="1"/>
    <x v="0"/>
    <x v="1"/>
    <x v="0"/>
    <n v="60422.340000000004"/>
    <n v="0.17000000000000171"/>
    <x v="0"/>
  </r>
  <r>
    <n v="171481"/>
    <n v="37.53"/>
    <n v="35.46"/>
    <n v="2212"/>
    <x v="2"/>
    <x v="0"/>
    <x v="0"/>
    <x v="0"/>
    <x v="0"/>
    <x v="1"/>
    <n v="83016.36"/>
    <n v="2.0700000000000003"/>
    <x v="2"/>
  </r>
  <r>
    <n v="166674"/>
    <n v="11.36"/>
    <n v="6.76"/>
    <n v="638"/>
    <x v="1"/>
    <x v="1"/>
    <x v="1"/>
    <x v="1"/>
    <x v="0"/>
    <x v="1"/>
    <n v="7247.6799999999994"/>
    <n v="4.5999999999999996"/>
    <x v="1"/>
  </r>
  <r>
    <n v="110674"/>
    <n v="36.21"/>
    <n v="33.76"/>
    <n v="2726"/>
    <x v="1"/>
    <x v="1"/>
    <x v="1"/>
    <x v="1"/>
    <x v="1"/>
    <x v="0"/>
    <n v="98708.46"/>
    <n v="2.4500000000000028"/>
    <x v="2"/>
  </r>
  <r>
    <n v="110417"/>
    <n v="43.02"/>
    <n v="42.63"/>
    <n v="2352"/>
    <x v="1"/>
    <x v="2"/>
    <x v="1"/>
    <x v="1"/>
    <x v="0"/>
    <x v="1"/>
    <n v="101183.04000000001"/>
    <n v="0.39000000000000057"/>
    <x v="0"/>
  </r>
  <r>
    <n v="166698"/>
    <n v="47.18"/>
    <n v="46.66"/>
    <n v="2528"/>
    <x v="1"/>
    <x v="2"/>
    <x v="0"/>
    <x v="1"/>
    <x v="0"/>
    <x v="0"/>
    <n v="119271.03999999999"/>
    <n v="0.52000000000000313"/>
    <x v="0"/>
  </r>
  <r>
    <n v="179623"/>
    <n v="5.08"/>
    <n v="3.34"/>
    <n v="2284"/>
    <x v="1"/>
    <x v="3"/>
    <x v="1"/>
    <x v="2"/>
    <x v="2"/>
    <x v="1"/>
    <n v="11602.72"/>
    <n v="1.7400000000000002"/>
    <x v="2"/>
  </r>
  <r>
    <n v="196326"/>
    <n v="32.979999999999997"/>
    <n v="28.94"/>
    <n v="2015"/>
    <x v="0"/>
    <x v="1"/>
    <x v="1"/>
    <x v="0"/>
    <x v="2"/>
    <x v="1"/>
    <n v="66454.7"/>
    <n v="4.0399999999999956"/>
    <x v="1"/>
  </r>
  <r>
    <n v="175453"/>
    <n v="12.65"/>
    <n v="9.75"/>
    <n v="1603"/>
    <x v="1"/>
    <x v="1"/>
    <x v="0"/>
    <x v="1"/>
    <x v="1"/>
    <x v="1"/>
    <n v="20277.95"/>
    <n v="2.9000000000000004"/>
    <x v="2"/>
  </r>
  <r>
    <n v="153183"/>
    <n v="38.1"/>
    <n v="34.700000000000003"/>
    <n v="822"/>
    <x v="0"/>
    <x v="0"/>
    <x v="0"/>
    <x v="1"/>
    <x v="0"/>
    <x v="0"/>
    <n v="31318.2"/>
    <n v="3.3999999999999986"/>
    <x v="2"/>
  </r>
  <r>
    <n v="195160"/>
    <n v="21.92"/>
    <n v="18"/>
    <n v="1792"/>
    <x v="1"/>
    <x v="2"/>
    <x v="1"/>
    <x v="2"/>
    <x v="2"/>
    <x v="0"/>
    <n v="39280.639999999999"/>
    <n v="3.9200000000000017"/>
    <x v="1"/>
  </r>
  <r>
    <n v="116201"/>
    <n v="30.31"/>
    <n v="29.05"/>
    <n v="2761"/>
    <x v="1"/>
    <x v="2"/>
    <x v="0"/>
    <x v="0"/>
    <x v="0"/>
    <x v="0"/>
    <n v="83685.91"/>
    <n v="1.259999999999998"/>
    <x v="2"/>
  </r>
  <r>
    <n v="188566"/>
    <n v="49.34"/>
    <n v="46.31"/>
    <n v="2071"/>
    <x v="0"/>
    <x v="0"/>
    <x v="1"/>
    <x v="0"/>
    <x v="1"/>
    <x v="0"/>
    <n v="102183.14000000001"/>
    <n v="3.0300000000000011"/>
    <x v="2"/>
  </r>
  <r>
    <n v="151362"/>
    <n v="22.05"/>
    <n v="19.73"/>
    <n v="1112"/>
    <x v="0"/>
    <x v="0"/>
    <x v="0"/>
    <x v="2"/>
    <x v="2"/>
    <x v="0"/>
    <n v="24519.600000000002"/>
    <n v="2.3200000000000003"/>
    <x v="2"/>
  </r>
  <r>
    <n v="189612"/>
    <n v="49.94"/>
    <n v="48.09"/>
    <n v="809"/>
    <x v="2"/>
    <x v="0"/>
    <x v="1"/>
    <x v="1"/>
    <x v="2"/>
    <x v="1"/>
    <n v="40401.46"/>
    <n v="1.8499999999999943"/>
    <x v="2"/>
  </r>
  <r>
    <n v="144433"/>
    <n v="41.17"/>
    <n v="37.58"/>
    <n v="1412"/>
    <x v="1"/>
    <x v="1"/>
    <x v="0"/>
    <x v="2"/>
    <x v="1"/>
    <x v="0"/>
    <n v="58132.04"/>
    <n v="3.5900000000000034"/>
    <x v="2"/>
  </r>
  <r>
    <n v="157449"/>
    <n v="33.65"/>
    <n v="32.64"/>
    <n v="951"/>
    <x v="1"/>
    <x v="3"/>
    <x v="0"/>
    <x v="0"/>
    <x v="2"/>
    <x v="0"/>
    <n v="32001.149999999998"/>
    <n v="1.009999999999998"/>
    <x v="0"/>
  </r>
  <r>
    <n v="165623"/>
    <n v="17.03"/>
    <n v="15.52"/>
    <n v="2379"/>
    <x v="2"/>
    <x v="3"/>
    <x v="0"/>
    <x v="1"/>
    <x v="1"/>
    <x v="1"/>
    <n v="40514.370000000003"/>
    <n v="1.5100000000000016"/>
    <x v="2"/>
  </r>
  <r>
    <n v="137925"/>
    <n v="45.44"/>
    <n v="41.87"/>
    <n v="2336"/>
    <x v="0"/>
    <x v="2"/>
    <x v="0"/>
    <x v="1"/>
    <x v="1"/>
    <x v="0"/>
    <n v="106147.84"/>
    <n v="3.5700000000000003"/>
    <x v="2"/>
  </r>
  <r>
    <n v="115111"/>
    <n v="16.88"/>
    <n v="13.12"/>
    <n v="1592"/>
    <x v="0"/>
    <x v="0"/>
    <x v="0"/>
    <x v="0"/>
    <x v="0"/>
    <x v="0"/>
    <n v="26872.959999999999"/>
    <n v="3.76"/>
    <x v="1"/>
  </r>
  <r>
    <n v="171502"/>
    <n v="10.49"/>
    <n v="8.4499999999999993"/>
    <n v="635"/>
    <x v="0"/>
    <x v="1"/>
    <x v="1"/>
    <x v="2"/>
    <x v="2"/>
    <x v="1"/>
    <n v="6661.1500000000005"/>
    <n v="2.0400000000000009"/>
    <x v="2"/>
  </r>
  <r>
    <n v="193698"/>
    <n v="7.95"/>
    <n v="3.06"/>
    <n v="1029"/>
    <x v="0"/>
    <x v="2"/>
    <x v="0"/>
    <x v="1"/>
    <x v="2"/>
    <x v="0"/>
    <n v="8180.55"/>
    <n v="4.8900000000000006"/>
    <x v="1"/>
  </r>
  <r>
    <n v="151572"/>
    <n v="29"/>
    <n v="26.1"/>
    <n v="1602"/>
    <x v="1"/>
    <x v="3"/>
    <x v="1"/>
    <x v="2"/>
    <x v="2"/>
    <x v="1"/>
    <n v="46458"/>
    <n v="2.8999999999999986"/>
    <x v="2"/>
  </r>
  <r>
    <n v="158886"/>
    <n v="33.24"/>
    <n v="29.24"/>
    <n v="664"/>
    <x v="0"/>
    <x v="1"/>
    <x v="1"/>
    <x v="1"/>
    <x v="1"/>
    <x v="1"/>
    <n v="22071.360000000001"/>
    <n v="4.0000000000000036"/>
    <x v="1"/>
  </r>
  <r>
    <n v="111012"/>
    <n v="39.229999999999997"/>
    <n v="37.69"/>
    <n v="725"/>
    <x v="0"/>
    <x v="3"/>
    <x v="0"/>
    <x v="2"/>
    <x v="2"/>
    <x v="0"/>
    <n v="28441.749999999996"/>
    <n v="1.5399999999999991"/>
    <x v="2"/>
  </r>
  <r>
    <n v="143251"/>
    <n v="9.89"/>
    <n v="8.8800000000000008"/>
    <n v="2354"/>
    <x v="1"/>
    <x v="1"/>
    <x v="0"/>
    <x v="0"/>
    <x v="1"/>
    <x v="0"/>
    <n v="23281.06"/>
    <n v="1.0099999999999998"/>
    <x v="0"/>
  </r>
  <r>
    <n v="178611"/>
    <n v="24.97"/>
    <n v="22.33"/>
    <n v="992"/>
    <x v="0"/>
    <x v="1"/>
    <x v="1"/>
    <x v="0"/>
    <x v="2"/>
    <x v="0"/>
    <n v="24770.239999999998"/>
    <n v="2.6400000000000006"/>
    <x v="2"/>
  </r>
  <r>
    <n v="114824"/>
    <n v="43.12"/>
    <n v="40.43"/>
    <n v="852"/>
    <x v="2"/>
    <x v="0"/>
    <x v="1"/>
    <x v="2"/>
    <x v="0"/>
    <x v="1"/>
    <n v="36738.239999999998"/>
    <n v="2.6899999999999977"/>
    <x v="2"/>
  </r>
  <r>
    <n v="168713"/>
    <n v="29.88"/>
    <n v="26.59"/>
    <n v="2112"/>
    <x v="2"/>
    <x v="2"/>
    <x v="1"/>
    <x v="1"/>
    <x v="2"/>
    <x v="1"/>
    <n v="63106.559999999998"/>
    <n v="3.2899999999999991"/>
    <x v="2"/>
  </r>
  <r>
    <n v="140868"/>
    <n v="19.11"/>
    <n v="16.399999999999999"/>
    <n v="675"/>
    <x v="1"/>
    <x v="0"/>
    <x v="0"/>
    <x v="2"/>
    <x v="2"/>
    <x v="0"/>
    <n v="12899.25"/>
    <n v="2.7100000000000009"/>
    <x v="2"/>
  </r>
  <r>
    <n v="146780"/>
    <n v="49.36"/>
    <n v="45.93"/>
    <n v="2080"/>
    <x v="1"/>
    <x v="3"/>
    <x v="0"/>
    <x v="1"/>
    <x v="1"/>
    <x v="0"/>
    <n v="102668.8"/>
    <n v="3.4299999999999997"/>
    <x v="2"/>
  </r>
  <r>
    <n v="172105"/>
    <n v="9.85"/>
    <n v="8.59"/>
    <n v="2299"/>
    <x v="2"/>
    <x v="0"/>
    <x v="1"/>
    <x v="0"/>
    <x v="1"/>
    <x v="0"/>
    <n v="22645.149999999998"/>
    <n v="1.2599999999999998"/>
    <x v="2"/>
  </r>
  <r>
    <n v="111455"/>
    <n v="27.05"/>
    <n v="26.24"/>
    <n v="2229"/>
    <x v="2"/>
    <x v="3"/>
    <x v="1"/>
    <x v="1"/>
    <x v="1"/>
    <x v="1"/>
    <n v="60294.450000000004"/>
    <n v="0.81000000000000227"/>
    <x v="0"/>
  </r>
  <r>
    <n v="129927"/>
    <n v="6.75"/>
    <n v="4.72"/>
    <n v="647"/>
    <x v="2"/>
    <x v="1"/>
    <x v="0"/>
    <x v="1"/>
    <x v="0"/>
    <x v="0"/>
    <n v="4367.25"/>
    <n v="2.0300000000000002"/>
    <x v="2"/>
  </r>
  <r>
    <n v="139494"/>
    <n v="32.22"/>
    <n v="31.89"/>
    <n v="1140"/>
    <x v="0"/>
    <x v="0"/>
    <x v="0"/>
    <x v="2"/>
    <x v="2"/>
    <x v="1"/>
    <n v="36730.799999999996"/>
    <n v="0.32999999999999829"/>
    <x v="0"/>
  </r>
  <r>
    <n v="163982"/>
    <n v="20.9"/>
    <n v="19.2"/>
    <n v="779"/>
    <x v="0"/>
    <x v="0"/>
    <x v="0"/>
    <x v="2"/>
    <x v="0"/>
    <x v="0"/>
    <n v="16281.099999999999"/>
    <n v="1.6999999999999993"/>
    <x v="2"/>
  </r>
  <r>
    <n v="112511"/>
    <n v="47.2"/>
    <n v="44.69"/>
    <n v="2587"/>
    <x v="0"/>
    <x v="2"/>
    <x v="1"/>
    <x v="1"/>
    <x v="0"/>
    <x v="1"/>
    <n v="122106.40000000001"/>
    <n v="2.5100000000000051"/>
    <x v="2"/>
  </r>
  <r>
    <n v="146982"/>
    <n v="29.92"/>
    <n v="29.86"/>
    <n v="972"/>
    <x v="0"/>
    <x v="2"/>
    <x v="1"/>
    <x v="1"/>
    <x v="0"/>
    <x v="1"/>
    <n v="29082.240000000002"/>
    <n v="6.0000000000002274E-2"/>
    <x v="0"/>
  </r>
  <r>
    <n v="171517"/>
    <n v="18.7"/>
    <n v="16.64"/>
    <n v="1069"/>
    <x v="0"/>
    <x v="2"/>
    <x v="1"/>
    <x v="2"/>
    <x v="2"/>
    <x v="0"/>
    <n v="19990.3"/>
    <n v="2.0599999999999987"/>
    <x v="2"/>
  </r>
  <r>
    <n v="181233"/>
    <n v="20.7"/>
    <n v="19.350000000000001"/>
    <n v="2632"/>
    <x v="2"/>
    <x v="1"/>
    <x v="0"/>
    <x v="2"/>
    <x v="0"/>
    <x v="0"/>
    <n v="54482.400000000001"/>
    <n v="1.3499999999999979"/>
    <x v="2"/>
  </r>
  <r>
    <n v="147559"/>
    <n v="16.97"/>
    <n v="16.54"/>
    <n v="2628"/>
    <x v="2"/>
    <x v="3"/>
    <x v="0"/>
    <x v="0"/>
    <x v="0"/>
    <x v="0"/>
    <n v="44597.159999999996"/>
    <n v="0.42999999999999972"/>
    <x v="0"/>
  </r>
  <r>
    <n v="158151"/>
    <n v="36.75"/>
    <n v="34.840000000000003"/>
    <n v="626"/>
    <x v="1"/>
    <x v="2"/>
    <x v="0"/>
    <x v="0"/>
    <x v="2"/>
    <x v="0"/>
    <n v="23005.5"/>
    <n v="1.9099999999999966"/>
    <x v="2"/>
  </r>
  <r>
    <n v="199194"/>
    <n v="8.58"/>
    <n v="4.6500000000000004"/>
    <n v="2315"/>
    <x v="2"/>
    <x v="1"/>
    <x v="1"/>
    <x v="2"/>
    <x v="2"/>
    <x v="0"/>
    <n v="19862.7"/>
    <n v="3.9299999999999997"/>
    <x v="1"/>
  </r>
  <r>
    <n v="187447"/>
    <n v="30.46"/>
    <n v="26.95"/>
    <n v="1253"/>
    <x v="2"/>
    <x v="3"/>
    <x v="1"/>
    <x v="2"/>
    <x v="2"/>
    <x v="1"/>
    <n v="38166.380000000005"/>
    <n v="3.5100000000000016"/>
    <x v="2"/>
  </r>
  <r>
    <n v="175725"/>
    <n v="39.97"/>
    <n v="39.71"/>
    <n v="1083"/>
    <x v="1"/>
    <x v="2"/>
    <x v="1"/>
    <x v="1"/>
    <x v="1"/>
    <x v="1"/>
    <n v="43287.51"/>
    <n v="0.25999999999999801"/>
    <x v="0"/>
  </r>
  <r>
    <n v="131107"/>
    <n v="31.79"/>
    <n v="26.83"/>
    <n v="1089"/>
    <x v="1"/>
    <x v="2"/>
    <x v="0"/>
    <x v="0"/>
    <x v="0"/>
    <x v="1"/>
    <n v="34619.31"/>
    <n v="4.9600000000000009"/>
    <x v="1"/>
  </r>
  <r>
    <n v="186541"/>
    <n v="40.590000000000003"/>
    <n v="35.65"/>
    <n v="2969"/>
    <x v="2"/>
    <x v="2"/>
    <x v="1"/>
    <x v="0"/>
    <x v="0"/>
    <x v="0"/>
    <n v="120511.71"/>
    <n v="4.9400000000000048"/>
    <x v="1"/>
  </r>
  <r>
    <n v="192046"/>
    <n v="20.239999999999998"/>
    <n v="20.18"/>
    <n v="1387"/>
    <x v="0"/>
    <x v="0"/>
    <x v="1"/>
    <x v="2"/>
    <x v="2"/>
    <x v="0"/>
    <n v="28072.879999999997"/>
    <n v="5.9999999999998721E-2"/>
    <x v="0"/>
  </r>
  <r>
    <n v="147306"/>
    <n v="18.5"/>
    <n v="15.38"/>
    <n v="1828"/>
    <x v="1"/>
    <x v="3"/>
    <x v="0"/>
    <x v="0"/>
    <x v="0"/>
    <x v="1"/>
    <n v="33818"/>
    <n v="3.1199999999999992"/>
    <x v="2"/>
  </r>
  <r>
    <n v="145684"/>
    <n v="46.36"/>
    <n v="42.96"/>
    <n v="2267"/>
    <x v="1"/>
    <x v="3"/>
    <x v="1"/>
    <x v="2"/>
    <x v="1"/>
    <x v="0"/>
    <n v="105098.12"/>
    <n v="3.3999999999999986"/>
    <x v="2"/>
  </r>
  <r>
    <n v="118867"/>
    <n v="11.15"/>
    <n v="8.08"/>
    <n v="2292"/>
    <x v="0"/>
    <x v="0"/>
    <x v="0"/>
    <x v="1"/>
    <x v="1"/>
    <x v="1"/>
    <n v="25555.8"/>
    <n v="3.0700000000000003"/>
    <x v="2"/>
  </r>
  <r>
    <n v="143823"/>
    <n v="47.99"/>
    <n v="43.86"/>
    <n v="2230"/>
    <x v="0"/>
    <x v="2"/>
    <x v="1"/>
    <x v="1"/>
    <x v="1"/>
    <x v="1"/>
    <n v="107017.70000000001"/>
    <n v="4.1300000000000026"/>
    <x v="1"/>
  </r>
  <r>
    <n v="194433"/>
    <n v="21.67"/>
    <n v="18.77"/>
    <n v="2207"/>
    <x v="1"/>
    <x v="2"/>
    <x v="0"/>
    <x v="0"/>
    <x v="2"/>
    <x v="0"/>
    <n v="47825.69"/>
    <n v="2.9000000000000021"/>
    <x v="2"/>
  </r>
  <r>
    <n v="180551"/>
    <n v="30.83"/>
    <n v="30.37"/>
    <n v="1999"/>
    <x v="1"/>
    <x v="3"/>
    <x v="0"/>
    <x v="1"/>
    <x v="2"/>
    <x v="0"/>
    <n v="61629.17"/>
    <n v="0.4599999999999973"/>
    <x v="0"/>
  </r>
  <r>
    <n v="180029"/>
    <n v="37.72"/>
    <n v="33.07"/>
    <n v="1301"/>
    <x v="1"/>
    <x v="0"/>
    <x v="0"/>
    <x v="0"/>
    <x v="0"/>
    <x v="1"/>
    <n v="49073.72"/>
    <n v="4.6499999999999986"/>
    <x v="1"/>
  </r>
  <r>
    <n v="158671"/>
    <n v="28.37"/>
    <n v="27.34"/>
    <n v="1262"/>
    <x v="0"/>
    <x v="1"/>
    <x v="1"/>
    <x v="1"/>
    <x v="2"/>
    <x v="1"/>
    <n v="35802.94"/>
    <n v="1.0300000000000011"/>
    <x v="0"/>
  </r>
  <r>
    <n v="196932"/>
    <n v="49.66"/>
    <n v="46.66"/>
    <n v="2085"/>
    <x v="2"/>
    <x v="2"/>
    <x v="0"/>
    <x v="0"/>
    <x v="2"/>
    <x v="1"/>
    <n v="103541.09999999999"/>
    <n v="3"/>
    <x v="2"/>
  </r>
  <r>
    <n v="188730"/>
    <n v="22.04"/>
    <n v="19.16"/>
    <n v="2051"/>
    <x v="0"/>
    <x v="0"/>
    <x v="1"/>
    <x v="0"/>
    <x v="1"/>
    <x v="1"/>
    <n v="45204.04"/>
    <n v="2.879999999999999"/>
    <x v="2"/>
  </r>
  <r>
    <n v="189853"/>
    <n v="14.3"/>
    <n v="11.08"/>
    <n v="2479"/>
    <x v="1"/>
    <x v="0"/>
    <x v="0"/>
    <x v="1"/>
    <x v="2"/>
    <x v="0"/>
    <n v="35449.700000000004"/>
    <n v="3.2200000000000006"/>
    <x v="2"/>
  </r>
  <r>
    <n v="169236"/>
    <n v="13.52"/>
    <n v="9.5"/>
    <n v="2234"/>
    <x v="1"/>
    <x v="2"/>
    <x v="1"/>
    <x v="1"/>
    <x v="2"/>
    <x v="0"/>
    <n v="30203.68"/>
    <n v="4.0199999999999996"/>
    <x v="1"/>
  </r>
  <r>
    <n v="157660"/>
    <n v="17.989999999999998"/>
    <n v="14.93"/>
    <n v="821"/>
    <x v="0"/>
    <x v="2"/>
    <x v="0"/>
    <x v="1"/>
    <x v="0"/>
    <x v="1"/>
    <n v="14769.789999999999"/>
    <n v="3.0599999999999987"/>
    <x v="2"/>
  </r>
  <r>
    <n v="119645"/>
    <n v="26.07"/>
    <n v="24.32"/>
    <n v="1634"/>
    <x v="2"/>
    <x v="2"/>
    <x v="0"/>
    <x v="1"/>
    <x v="2"/>
    <x v="1"/>
    <n v="42598.38"/>
    <n v="1.75"/>
    <x v="2"/>
  </r>
  <r>
    <n v="142356"/>
    <n v="27.16"/>
    <n v="23.47"/>
    <n v="1207"/>
    <x v="0"/>
    <x v="0"/>
    <x v="0"/>
    <x v="0"/>
    <x v="2"/>
    <x v="1"/>
    <n v="32782.120000000003"/>
    <n v="3.6900000000000013"/>
    <x v="2"/>
  </r>
  <r>
    <n v="122078"/>
    <n v="7.32"/>
    <n v="4.8600000000000003"/>
    <n v="1124"/>
    <x v="0"/>
    <x v="2"/>
    <x v="0"/>
    <x v="1"/>
    <x v="1"/>
    <x v="1"/>
    <n v="8227.68"/>
    <n v="2.46"/>
    <x v="2"/>
  </r>
  <r>
    <n v="161248"/>
    <n v="12.8"/>
    <n v="11.34"/>
    <n v="1167"/>
    <x v="1"/>
    <x v="3"/>
    <x v="0"/>
    <x v="1"/>
    <x v="0"/>
    <x v="1"/>
    <n v="14937.6"/>
    <n v="1.4600000000000009"/>
    <x v="2"/>
  </r>
  <r>
    <n v="171394"/>
    <n v="16.93"/>
    <n v="16.87"/>
    <n v="2683"/>
    <x v="1"/>
    <x v="3"/>
    <x v="0"/>
    <x v="2"/>
    <x v="0"/>
    <x v="0"/>
    <n v="45423.19"/>
    <n v="5.9999999999998721E-2"/>
    <x v="0"/>
  </r>
  <r>
    <n v="151362"/>
    <n v="9.0299999999999994"/>
    <n v="7.3"/>
    <n v="1586"/>
    <x v="0"/>
    <x v="0"/>
    <x v="0"/>
    <x v="2"/>
    <x v="2"/>
    <x v="0"/>
    <n v="14321.579999999998"/>
    <n v="1.7299999999999995"/>
    <x v="2"/>
  </r>
  <r>
    <n v="171225"/>
    <n v="11"/>
    <n v="9.7200000000000006"/>
    <n v="689"/>
    <x v="0"/>
    <x v="2"/>
    <x v="0"/>
    <x v="0"/>
    <x v="1"/>
    <x v="1"/>
    <n v="7579"/>
    <n v="1.2799999999999994"/>
    <x v="2"/>
  </r>
  <r>
    <n v="147968"/>
    <n v="10.27"/>
    <n v="10.14"/>
    <n v="1995"/>
    <x v="1"/>
    <x v="0"/>
    <x v="0"/>
    <x v="2"/>
    <x v="0"/>
    <x v="1"/>
    <n v="20488.649999999998"/>
    <n v="0.12999999999999901"/>
    <x v="0"/>
  </r>
  <r>
    <n v="135533"/>
    <n v="30.99"/>
    <n v="27.34"/>
    <n v="2915"/>
    <x v="1"/>
    <x v="3"/>
    <x v="1"/>
    <x v="1"/>
    <x v="0"/>
    <x v="1"/>
    <n v="90335.849999999991"/>
    <n v="3.6499999999999986"/>
    <x v="2"/>
  </r>
  <r>
    <n v="175517"/>
    <n v="37.72"/>
    <n v="37.04"/>
    <n v="1732"/>
    <x v="2"/>
    <x v="0"/>
    <x v="0"/>
    <x v="0"/>
    <x v="0"/>
    <x v="1"/>
    <n v="65331.040000000001"/>
    <n v="0.67999999999999972"/>
    <x v="0"/>
  </r>
  <r>
    <n v="194339"/>
    <n v="32.67"/>
    <n v="29.65"/>
    <n v="2749"/>
    <x v="1"/>
    <x v="1"/>
    <x v="0"/>
    <x v="1"/>
    <x v="0"/>
    <x v="0"/>
    <n v="89809.83"/>
    <n v="3.0200000000000031"/>
    <x v="2"/>
  </r>
  <r>
    <n v="181234"/>
    <n v="40.78"/>
    <n v="40.35"/>
    <n v="2262"/>
    <x v="2"/>
    <x v="3"/>
    <x v="1"/>
    <x v="1"/>
    <x v="1"/>
    <x v="1"/>
    <n v="92244.36"/>
    <n v="0.42999999999999972"/>
    <x v="0"/>
  </r>
  <r>
    <n v="128647"/>
    <n v="13.33"/>
    <n v="9.52"/>
    <n v="1187"/>
    <x v="2"/>
    <x v="2"/>
    <x v="0"/>
    <x v="2"/>
    <x v="2"/>
    <x v="0"/>
    <n v="15822.710000000001"/>
    <n v="3.8100000000000005"/>
    <x v="1"/>
  </r>
  <r>
    <n v="178865"/>
    <n v="7.73"/>
    <n v="5.13"/>
    <n v="2525"/>
    <x v="0"/>
    <x v="0"/>
    <x v="1"/>
    <x v="1"/>
    <x v="1"/>
    <x v="0"/>
    <n v="19518.25"/>
    <n v="2.6000000000000005"/>
    <x v="2"/>
  </r>
  <r>
    <n v="131452"/>
    <n v="28.43"/>
    <n v="27.71"/>
    <n v="1056"/>
    <x v="0"/>
    <x v="3"/>
    <x v="0"/>
    <x v="0"/>
    <x v="1"/>
    <x v="1"/>
    <n v="30022.079999999998"/>
    <n v="0.71999999999999886"/>
    <x v="0"/>
  </r>
  <r>
    <n v="146158"/>
    <n v="41.9"/>
    <n v="40.31"/>
    <n v="2737"/>
    <x v="0"/>
    <x v="0"/>
    <x v="1"/>
    <x v="1"/>
    <x v="2"/>
    <x v="1"/>
    <n v="114680.3"/>
    <n v="1.5899999999999963"/>
    <x v="2"/>
  </r>
  <r>
    <n v="144475"/>
    <n v="23.7"/>
    <n v="19.850000000000001"/>
    <n v="957"/>
    <x v="0"/>
    <x v="2"/>
    <x v="0"/>
    <x v="0"/>
    <x v="0"/>
    <x v="1"/>
    <n v="22680.899999999998"/>
    <n v="3.8499999999999979"/>
    <x v="1"/>
  </r>
  <r>
    <n v="120176"/>
    <n v="45.03"/>
    <n v="44.13"/>
    <n v="2560"/>
    <x v="0"/>
    <x v="1"/>
    <x v="0"/>
    <x v="2"/>
    <x v="0"/>
    <x v="0"/>
    <n v="115276.8"/>
    <n v="0.89999999999999858"/>
    <x v="0"/>
  </r>
  <r>
    <n v="156007"/>
    <n v="31.89"/>
    <n v="27.8"/>
    <n v="648"/>
    <x v="1"/>
    <x v="3"/>
    <x v="1"/>
    <x v="0"/>
    <x v="0"/>
    <x v="0"/>
    <n v="20664.72"/>
    <n v="4.09"/>
    <x v="1"/>
  </r>
  <r>
    <n v="138628"/>
    <n v="37.83"/>
    <n v="33.08"/>
    <n v="645"/>
    <x v="1"/>
    <x v="0"/>
    <x v="0"/>
    <x v="0"/>
    <x v="2"/>
    <x v="1"/>
    <n v="24400.35"/>
    <n v="4.75"/>
    <x v="1"/>
  </r>
  <r>
    <n v="178302"/>
    <n v="26.98"/>
    <n v="25.17"/>
    <n v="1725"/>
    <x v="0"/>
    <x v="2"/>
    <x v="1"/>
    <x v="0"/>
    <x v="0"/>
    <x v="1"/>
    <n v="46540.5"/>
    <n v="1.8099999999999987"/>
    <x v="2"/>
  </r>
  <r>
    <n v="144073"/>
    <n v="24.73"/>
    <n v="21.68"/>
    <n v="2293"/>
    <x v="0"/>
    <x v="2"/>
    <x v="0"/>
    <x v="2"/>
    <x v="0"/>
    <x v="1"/>
    <n v="56705.89"/>
    <n v="3.0500000000000007"/>
    <x v="2"/>
  </r>
  <r>
    <n v="186997"/>
    <n v="28.66"/>
    <n v="27.62"/>
    <n v="2064"/>
    <x v="1"/>
    <x v="3"/>
    <x v="1"/>
    <x v="0"/>
    <x v="0"/>
    <x v="1"/>
    <n v="59154.239999999998"/>
    <n v="1.0399999999999991"/>
    <x v="0"/>
  </r>
  <r>
    <n v="173396"/>
    <n v="35.549999999999997"/>
    <n v="34.130000000000003"/>
    <n v="1356"/>
    <x v="1"/>
    <x v="0"/>
    <x v="0"/>
    <x v="1"/>
    <x v="0"/>
    <x v="1"/>
    <n v="48205.799999999996"/>
    <n v="1.4199999999999946"/>
    <x v="2"/>
  </r>
  <r>
    <n v="115038"/>
    <n v="18.36"/>
    <n v="16.02"/>
    <n v="611"/>
    <x v="1"/>
    <x v="3"/>
    <x v="0"/>
    <x v="1"/>
    <x v="0"/>
    <x v="1"/>
    <n v="11217.96"/>
    <n v="2.34"/>
    <x v="2"/>
  </r>
  <r>
    <n v="151967"/>
    <n v="31.14"/>
    <n v="30.98"/>
    <n v="2680"/>
    <x v="0"/>
    <x v="2"/>
    <x v="1"/>
    <x v="2"/>
    <x v="0"/>
    <x v="1"/>
    <n v="83455.199999999997"/>
    <n v="0.16000000000000014"/>
    <x v="0"/>
  </r>
  <r>
    <n v="170937"/>
    <n v="16.579999999999998"/>
    <n v="15.92"/>
    <n v="507"/>
    <x v="1"/>
    <x v="2"/>
    <x v="0"/>
    <x v="2"/>
    <x v="2"/>
    <x v="0"/>
    <n v="8406.06"/>
    <n v="0.65999999999999837"/>
    <x v="0"/>
  </r>
  <r>
    <n v="176947"/>
    <n v="48.73"/>
    <n v="48.41"/>
    <n v="1562"/>
    <x v="2"/>
    <x v="2"/>
    <x v="1"/>
    <x v="1"/>
    <x v="1"/>
    <x v="0"/>
    <n v="76116.259999999995"/>
    <n v="0.32000000000000028"/>
    <x v="0"/>
  </r>
  <r>
    <n v="181067"/>
    <n v="29.39"/>
    <n v="26.88"/>
    <n v="1418"/>
    <x v="0"/>
    <x v="1"/>
    <x v="0"/>
    <x v="1"/>
    <x v="2"/>
    <x v="0"/>
    <n v="41675.020000000004"/>
    <n v="2.5100000000000016"/>
    <x v="2"/>
  </r>
  <r>
    <n v="192831"/>
    <n v="26.63"/>
    <n v="24.16"/>
    <n v="762"/>
    <x v="1"/>
    <x v="2"/>
    <x v="1"/>
    <x v="0"/>
    <x v="0"/>
    <x v="1"/>
    <n v="20292.059999999998"/>
    <n v="2.4699999999999989"/>
    <x v="2"/>
  </r>
  <r>
    <n v="119838"/>
    <n v="25.61"/>
    <n v="21.23"/>
    <n v="2534"/>
    <x v="0"/>
    <x v="3"/>
    <x v="1"/>
    <x v="0"/>
    <x v="1"/>
    <x v="0"/>
    <n v="64895.74"/>
    <n v="4.379999999999999"/>
    <x v="1"/>
  </r>
  <r>
    <n v="151923"/>
    <n v="48.91"/>
    <n v="43.95"/>
    <n v="1701"/>
    <x v="0"/>
    <x v="0"/>
    <x v="1"/>
    <x v="0"/>
    <x v="2"/>
    <x v="1"/>
    <n v="83195.909999999989"/>
    <n v="4.9599999999999937"/>
    <x v="1"/>
  </r>
  <r>
    <n v="186652"/>
    <n v="23.64"/>
    <n v="18.82"/>
    <n v="747"/>
    <x v="0"/>
    <x v="3"/>
    <x v="1"/>
    <x v="1"/>
    <x v="0"/>
    <x v="1"/>
    <n v="17659.080000000002"/>
    <n v="4.82"/>
    <x v="1"/>
  </r>
  <r>
    <n v="169576"/>
    <n v="45.3"/>
    <n v="43.21"/>
    <n v="1463"/>
    <x v="0"/>
    <x v="1"/>
    <x v="1"/>
    <x v="0"/>
    <x v="0"/>
    <x v="1"/>
    <n v="66273.899999999994"/>
    <n v="2.0899999999999963"/>
    <x v="2"/>
  </r>
  <r>
    <n v="180911"/>
    <n v="22.95"/>
    <n v="20.73"/>
    <n v="1015"/>
    <x v="1"/>
    <x v="0"/>
    <x v="0"/>
    <x v="1"/>
    <x v="1"/>
    <x v="1"/>
    <n v="23294.25"/>
    <n v="2.2199999999999989"/>
    <x v="2"/>
  </r>
  <r>
    <n v="133294"/>
    <n v="41.51"/>
    <n v="41.39"/>
    <n v="2696"/>
    <x v="0"/>
    <x v="2"/>
    <x v="1"/>
    <x v="2"/>
    <x v="2"/>
    <x v="0"/>
    <n v="111910.95999999999"/>
    <n v="0.11999999999999744"/>
    <x v="0"/>
  </r>
  <r>
    <n v="135689"/>
    <n v="43.26"/>
    <n v="39.549999999999997"/>
    <n v="1063"/>
    <x v="0"/>
    <x v="0"/>
    <x v="1"/>
    <x v="1"/>
    <x v="1"/>
    <x v="1"/>
    <n v="45985.38"/>
    <n v="3.7100000000000009"/>
    <x v="1"/>
  </r>
  <r>
    <n v="190951"/>
    <n v="44.53"/>
    <n v="40.86"/>
    <n v="2472"/>
    <x v="2"/>
    <x v="1"/>
    <x v="0"/>
    <x v="0"/>
    <x v="1"/>
    <x v="0"/>
    <n v="110078.16"/>
    <n v="3.6700000000000017"/>
    <x v="2"/>
  </r>
  <r>
    <n v="163002"/>
    <n v="6.35"/>
    <n v="3.89"/>
    <n v="1270"/>
    <x v="2"/>
    <x v="2"/>
    <x v="1"/>
    <x v="2"/>
    <x v="0"/>
    <x v="0"/>
    <n v="8064.5"/>
    <n v="2.4599999999999995"/>
    <x v="2"/>
  </r>
  <r>
    <n v="190010"/>
    <n v="28.45"/>
    <n v="24.96"/>
    <n v="2312"/>
    <x v="0"/>
    <x v="3"/>
    <x v="1"/>
    <x v="0"/>
    <x v="0"/>
    <x v="0"/>
    <n v="65776.399999999994"/>
    <n v="3.4899999999999984"/>
    <x v="2"/>
  </r>
  <r>
    <n v="177516"/>
    <n v="9.19"/>
    <n v="4.71"/>
    <n v="2082"/>
    <x v="1"/>
    <x v="0"/>
    <x v="0"/>
    <x v="0"/>
    <x v="2"/>
    <x v="1"/>
    <n v="19133.579999999998"/>
    <n v="4.4799999999999995"/>
    <x v="1"/>
  </r>
  <r>
    <n v="113847"/>
    <n v="31.3"/>
    <n v="27.14"/>
    <n v="712"/>
    <x v="2"/>
    <x v="0"/>
    <x v="0"/>
    <x v="2"/>
    <x v="2"/>
    <x v="0"/>
    <n v="22285.600000000002"/>
    <n v="4.16"/>
    <x v="1"/>
  </r>
  <r>
    <n v="114370"/>
    <n v="49.5"/>
    <n v="45.77"/>
    <n v="1017"/>
    <x v="0"/>
    <x v="3"/>
    <x v="1"/>
    <x v="0"/>
    <x v="0"/>
    <x v="0"/>
    <n v="50341.5"/>
    <n v="3.7299999999999969"/>
    <x v="1"/>
  </r>
  <r>
    <n v="154002"/>
    <n v="28.11"/>
    <n v="27.36"/>
    <n v="887"/>
    <x v="2"/>
    <x v="0"/>
    <x v="1"/>
    <x v="0"/>
    <x v="2"/>
    <x v="0"/>
    <n v="24933.57"/>
    <n v="0.75"/>
    <x v="0"/>
  </r>
  <r>
    <n v="125057"/>
    <n v="30.59"/>
    <n v="30"/>
    <n v="660"/>
    <x v="0"/>
    <x v="3"/>
    <x v="1"/>
    <x v="1"/>
    <x v="2"/>
    <x v="1"/>
    <n v="20189.400000000001"/>
    <n v="0.58999999999999986"/>
    <x v="0"/>
  </r>
  <r>
    <n v="159070"/>
    <n v="19.25"/>
    <n v="18.54"/>
    <n v="1280"/>
    <x v="2"/>
    <x v="3"/>
    <x v="0"/>
    <x v="1"/>
    <x v="1"/>
    <x v="1"/>
    <n v="24640"/>
    <n v="0.71000000000000085"/>
    <x v="0"/>
  </r>
  <r>
    <n v="167705"/>
    <n v="15.21"/>
    <n v="13.53"/>
    <n v="2196"/>
    <x v="0"/>
    <x v="0"/>
    <x v="1"/>
    <x v="2"/>
    <x v="1"/>
    <x v="1"/>
    <n v="33401.160000000003"/>
    <n v="1.6800000000000015"/>
    <x v="2"/>
  </r>
  <r>
    <n v="177177"/>
    <n v="24.9"/>
    <n v="24.44"/>
    <n v="1432"/>
    <x v="2"/>
    <x v="3"/>
    <x v="1"/>
    <x v="0"/>
    <x v="1"/>
    <x v="1"/>
    <n v="35656.799999999996"/>
    <n v="0.4599999999999973"/>
    <x v="0"/>
  </r>
  <r>
    <n v="192619"/>
    <n v="26.75"/>
    <n v="22.76"/>
    <n v="2279"/>
    <x v="2"/>
    <x v="3"/>
    <x v="1"/>
    <x v="0"/>
    <x v="2"/>
    <x v="0"/>
    <n v="60963.25"/>
    <n v="3.9899999999999984"/>
    <x v="1"/>
  </r>
  <r>
    <n v="121605"/>
    <n v="13.58"/>
    <n v="11.21"/>
    <n v="1145"/>
    <x v="1"/>
    <x v="2"/>
    <x v="0"/>
    <x v="2"/>
    <x v="1"/>
    <x v="0"/>
    <n v="15549.1"/>
    <n v="2.3699999999999992"/>
    <x v="2"/>
  </r>
  <r>
    <n v="149245"/>
    <n v="10.6"/>
    <n v="7.52"/>
    <n v="771"/>
    <x v="2"/>
    <x v="3"/>
    <x v="0"/>
    <x v="1"/>
    <x v="1"/>
    <x v="0"/>
    <n v="8172.5999999999995"/>
    <n v="3.08"/>
    <x v="2"/>
  </r>
  <r>
    <n v="194369"/>
    <n v="9.81"/>
    <n v="9.5299999999999994"/>
    <n v="2548"/>
    <x v="2"/>
    <x v="3"/>
    <x v="0"/>
    <x v="0"/>
    <x v="2"/>
    <x v="1"/>
    <n v="24995.88"/>
    <n v="0.28000000000000114"/>
    <x v="0"/>
  </r>
  <r>
    <n v="135894"/>
    <n v="36.9"/>
    <n v="33.72"/>
    <n v="1640"/>
    <x v="1"/>
    <x v="0"/>
    <x v="1"/>
    <x v="1"/>
    <x v="1"/>
    <x v="1"/>
    <n v="60516"/>
    <n v="3.1799999999999997"/>
    <x v="2"/>
  </r>
  <r>
    <n v="127177"/>
    <n v="35.44"/>
    <n v="30.67"/>
    <n v="565"/>
    <x v="0"/>
    <x v="0"/>
    <x v="1"/>
    <x v="1"/>
    <x v="1"/>
    <x v="0"/>
    <n v="20023.599999999999"/>
    <n v="4.769999999999996"/>
    <x v="1"/>
  </r>
  <r>
    <n v="144780"/>
    <n v="7.65"/>
    <n v="4.84"/>
    <n v="1272"/>
    <x v="2"/>
    <x v="0"/>
    <x v="1"/>
    <x v="2"/>
    <x v="1"/>
    <x v="0"/>
    <n v="9730.8000000000011"/>
    <n v="2.8100000000000005"/>
    <x v="2"/>
  </r>
  <r>
    <n v="189870"/>
    <n v="49.31"/>
    <n v="44.8"/>
    <n v="582"/>
    <x v="1"/>
    <x v="2"/>
    <x v="1"/>
    <x v="1"/>
    <x v="1"/>
    <x v="1"/>
    <n v="28698.420000000002"/>
    <n v="4.5100000000000051"/>
    <x v="1"/>
  </r>
  <r>
    <n v="179236"/>
    <n v="33.409999999999997"/>
    <n v="28.67"/>
    <n v="1270"/>
    <x v="0"/>
    <x v="0"/>
    <x v="1"/>
    <x v="1"/>
    <x v="0"/>
    <x v="1"/>
    <n v="42430.7"/>
    <n v="4.7399999999999949"/>
    <x v="1"/>
  </r>
  <r>
    <n v="134887"/>
    <n v="47.79"/>
    <n v="46.97"/>
    <n v="2118"/>
    <x v="1"/>
    <x v="1"/>
    <x v="0"/>
    <x v="1"/>
    <x v="1"/>
    <x v="1"/>
    <n v="101219.22"/>
    <n v="0.82000000000000028"/>
    <x v="0"/>
  </r>
  <r>
    <n v="190184"/>
    <n v="44.54"/>
    <n v="42.2"/>
    <n v="2820"/>
    <x v="1"/>
    <x v="3"/>
    <x v="0"/>
    <x v="1"/>
    <x v="0"/>
    <x v="1"/>
    <n v="125602.8"/>
    <n v="2.3399999999999963"/>
    <x v="2"/>
  </r>
  <r>
    <n v="115318"/>
    <n v="21.79"/>
    <n v="17.46"/>
    <n v="2363"/>
    <x v="2"/>
    <x v="3"/>
    <x v="0"/>
    <x v="2"/>
    <x v="2"/>
    <x v="1"/>
    <n v="51489.77"/>
    <n v="4.3299999999999983"/>
    <x v="1"/>
  </r>
  <r>
    <n v="161907"/>
    <n v="34.69"/>
    <n v="31.14"/>
    <n v="1099"/>
    <x v="0"/>
    <x v="2"/>
    <x v="0"/>
    <x v="2"/>
    <x v="0"/>
    <x v="1"/>
    <n v="38124.31"/>
    <n v="3.5499999999999972"/>
    <x v="2"/>
  </r>
  <r>
    <n v="155997"/>
    <n v="46.84"/>
    <n v="43.8"/>
    <n v="2534"/>
    <x v="1"/>
    <x v="3"/>
    <x v="1"/>
    <x v="1"/>
    <x v="2"/>
    <x v="0"/>
    <n v="118692.56000000001"/>
    <n v="3.0400000000000063"/>
    <x v="2"/>
  </r>
  <r>
    <n v="166744"/>
    <n v="13.34"/>
    <n v="8.91"/>
    <n v="2309"/>
    <x v="0"/>
    <x v="0"/>
    <x v="0"/>
    <x v="0"/>
    <x v="0"/>
    <x v="1"/>
    <n v="30802.06"/>
    <n v="4.43"/>
    <x v="1"/>
  </r>
  <r>
    <n v="129858"/>
    <n v="47.74"/>
    <n v="45.16"/>
    <n v="2018"/>
    <x v="2"/>
    <x v="3"/>
    <x v="1"/>
    <x v="2"/>
    <x v="1"/>
    <x v="1"/>
    <n v="96339.32"/>
    <n v="2.5800000000000054"/>
    <x v="2"/>
  </r>
  <r>
    <n v="158908"/>
    <n v="42.5"/>
    <n v="41.13"/>
    <n v="2100"/>
    <x v="2"/>
    <x v="1"/>
    <x v="1"/>
    <x v="2"/>
    <x v="2"/>
    <x v="1"/>
    <n v="89250"/>
    <n v="1.3699999999999974"/>
    <x v="2"/>
  </r>
  <r>
    <n v="192048"/>
    <n v="20.39"/>
    <n v="18.04"/>
    <n v="2512"/>
    <x v="2"/>
    <x v="2"/>
    <x v="0"/>
    <x v="1"/>
    <x v="1"/>
    <x v="0"/>
    <n v="51219.68"/>
    <n v="2.3500000000000014"/>
    <x v="2"/>
  </r>
  <r>
    <n v="136294"/>
    <n v="38.869999999999997"/>
    <n v="37.28"/>
    <n v="1706"/>
    <x v="1"/>
    <x v="3"/>
    <x v="0"/>
    <x v="1"/>
    <x v="2"/>
    <x v="1"/>
    <n v="66312.22"/>
    <n v="1.5899999999999963"/>
    <x v="2"/>
  </r>
  <r>
    <n v="193043"/>
    <n v="49.14"/>
    <n v="45.02"/>
    <n v="2743"/>
    <x v="1"/>
    <x v="0"/>
    <x v="0"/>
    <x v="2"/>
    <x v="0"/>
    <x v="0"/>
    <n v="134791.01999999999"/>
    <n v="4.1199999999999974"/>
    <x v="1"/>
  </r>
  <r>
    <n v="192787"/>
    <n v="19.84"/>
    <n v="19.13"/>
    <n v="2569"/>
    <x v="0"/>
    <x v="1"/>
    <x v="1"/>
    <x v="1"/>
    <x v="2"/>
    <x v="0"/>
    <n v="50968.959999999999"/>
    <n v="0.71000000000000085"/>
    <x v="0"/>
  </r>
  <r>
    <n v="119150"/>
    <n v="21.81"/>
    <n v="17.489999999999998"/>
    <n v="1556"/>
    <x v="2"/>
    <x v="3"/>
    <x v="0"/>
    <x v="1"/>
    <x v="2"/>
    <x v="0"/>
    <n v="33936.36"/>
    <n v="4.32"/>
    <x v="1"/>
  </r>
  <r>
    <n v="115266"/>
    <n v="27.9"/>
    <n v="25.48"/>
    <n v="1549"/>
    <x v="1"/>
    <x v="0"/>
    <x v="0"/>
    <x v="2"/>
    <x v="1"/>
    <x v="0"/>
    <n v="43217.1"/>
    <n v="2.4199999999999982"/>
    <x v="2"/>
  </r>
  <r>
    <n v="121186"/>
    <n v="6.77"/>
    <n v="5.62"/>
    <n v="989"/>
    <x v="0"/>
    <x v="2"/>
    <x v="0"/>
    <x v="2"/>
    <x v="1"/>
    <x v="0"/>
    <n v="6695.53"/>
    <n v="1.1499999999999995"/>
    <x v="0"/>
  </r>
  <r>
    <n v="144385"/>
    <n v="39.44"/>
    <n v="38.08"/>
    <n v="834"/>
    <x v="2"/>
    <x v="0"/>
    <x v="0"/>
    <x v="0"/>
    <x v="2"/>
    <x v="0"/>
    <n v="32892.959999999999"/>
    <n v="1.3599999999999994"/>
    <x v="2"/>
  </r>
  <r>
    <n v="161594"/>
    <n v="49.52"/>
    <n v="45.71"/>
    <n v="2108"/>
    <x v="1"/>
    <x v="3"/>
    <x v="1"/>
    <x v="1"/>
    <x v="2"/>
    <x v="1"/>
    <n v="104388.16"/>
    <n v="3.8100000000000023"/>
    <x v="1"/>
  </r>
  <r>
    <n v="114320"/>
    <n v="6.11"/>
    <n v="1.77"/>
    <n v="558"/>
    <x v="1"/>
    <x v="3"/>
    <x v="1"/>
    <x v="0"/>
    <x v="0"/>
    <x v="0"/>
    <n v="3409.38"/>
    <n v="4.34"/>
    <x v="1"/>
  </r>
  <r>
    <n v="167648"/>
    <n v="39.47"/>
    <n v="39.39"/>
    <n v="2990"/>
    <x v="2"/>
    <x v="2"/>
    <x v="0"/>
    <x v="0"/>
    <x v="1"/>
    <x v="0"/>
    <n v="118015.3"/>
    <n v="7.9999999999998295E-2"/>
    <x v="0"/>
  </r>
  <r>
    <n v="198500"/>
    <n v="29.39"/>
    <n v="26.11"/>
    <n v="1581"/>
    <x v="0"/>
    <x v="3"/>
    <x v="1"/>
    <x v="2"/>
    <x v="0"/>
    <x v="1"/>
    <n v="46465.590000000004"/>
    <n v="3.2800000000000011"/>
    <x v="2"/>
  </r>
  <r>
    <n v="120916"/>
    <n v="8.01"/>
    <n v="5.23"/>
    <n v="1139"/>
    <x v="1"/>
    <x v="0"/>
    <x v="0"/>
    <x v="2"/>
    <x v="1"/>
    <x v="0"/>
    <n v="9123.39"/>
    <n v="2.7799999999999994"/>
    <x v="2"/>
  </r>
  <r>
    <n v="180422"/>
    <n v="22.74"/>
    <n v="19.43"/>
    <n v="1408"/>
    <x v="0"/>
    <x v="1"/>
    <x v="1"/>
    <x v="0"/>
    <x v="0"/>
    <x v="0"/>
    <n v="32017.919999999998"/>
    <n v="3.3099999999999987"/>
    <x v="2"/>
  </r>
  <r>
    <n v="136977"/>
    <n v="20.56"/>
    <n v="17.87"/>
    <n v="685"/>
    <x v="1"/>
    <x v="3"/>
    <x v="1"/>
    <x v="1"/>
    <x v="0"/>
    <x v="1"/>
    <n v="14083.599999999999"/>
    <n v="2.6899999999999977"/>
    <x v="2"/>
  </r>
  <r>
    <n v="145902"/>
    <n v="11.9"/>
    <n v="9.17"/>
    <n v="2314"/>
    <x v="2"/>
    <x v="2"/>
    <x v="1"/>
    <x v="0"/>
    <x v="1"/>
    <x v="1"/>
    <n v="27536.600000000002"/>
    <n v="2.7300000000000004"/>
    <x v="2"/>
  </r>
  <r>
    <n v="135734"/>
    <n v="20.45"/>
    <n v="19.41"/>
    <n v="2805"/>
    <x v="2"/>
    <x v="1"/>
    <x v="1"/>
    <x v="0"/>
    <x v="0"/>
    <x v="0"/>
    <n v="57362.25"/>
    <n v="1.0399999999999991"/>
    <x v="0"/>
  </r>
  <r>
    <n v="153230"/>
    <n v="29.28"/>
    <n v="26.59"/>
    <n v="565"/>
    <x v="1"/>
    <x v="1"/>
    <x v="0"/>
    <x v="1"/>
    <x v="2"/>
    <x v="1"/>
    <n v="16543.2"/>
    <n v="2.6900000000000013"/>
    <x v="2"/>
  </r>
  <r>
    <n v="153722"/>
    <n v="47.67"/>
    <n v="43"/>
    <n v="1058"/>
    <x v="0"/>
    <x v="1"/>
    <x v="0"/>
    <x v="0"/>
    <x v="2"/>
    <x v="1"/>
    <n v="50434.86"/>
    <n v="4.6700000000000017"/>
    <x v="1"/>
  </r>
  <r>
    <n v="147361"/>
    <n v="32.840000000000003"/>
    <n v="32.42"/>
    <n v="563"/>
    <x v="1"/>
    <x v="1"/>
    <x v="0"/>
    <x v="1"/>
    <x v="2"/>
    <x v="1"/>
    <n v="18488.920000000002"/>
    <n v="0.42000000000000171"/>
    <x v="0"/>
  </r>
  <r>
    <n v="158227"/>
    <n v="11.54"/>
    <n v="9.3699999999999992"/>
    <n v="2721"/>
    <x v="2"/>
    <x v="0"/>
    <x v="0"/>
    <x v="0"/>
    <x v="0"/>
    <x v="0"/>
    <n v="31400.339999999997"/>
    <n v="2.17"/>
    <x v="2"/>
  </r>
  <r>
    <n v="197123"/>
    <n v="37.090000000000003"/>
    <n v="33.18"/>
    <n v="2625"/>
    <x v="2"/>
    <x v="3"/>
    <x v="1"/>
    <x v="2"/>
    <x v="1"/>
    <x v="0"/>
    <n v="97361.250000000015"/>
    <n v="3.9100000000000037"/>
    <x v="1"/>
  </r>
  <r>
    <n v="140321"/>
    <n v="39.47"/>
    <n v="36.130000000000003"/>
    <n v="687"/>
    <x v="2"/>
    <x v="1"/>
    <x v="0"/>
    <x v="1"/>
    <x v="2"/>
    <x v="1"/>
    <n v="27115.89"/>
    <n v="3.3399999999999963"/>
    <x v="2"/>
  </r>
  <r>
    <n v="177510"/>
    <n v="37.07"/>
    <n v="36.380000000000003"/>
    <n v="1768"/>
    <x v="2"/>
    <x v="2"/>
    <x v="1"/>
    <x v="2"/>
    <x v="2"/>
    <x v="0"/>
    <n v="65539.759999999995"/>
    <n v="0.68999999999999773"/>
    <x v="0"/>
  </r>
  <r>
    <n v="135786"/>
    <n v="27.36"/>
    <n v="25.74"/>
    <n v="2987"/>
    <x v="0"/>
    <x v="1"/>
    <x v="1"/>
    <x v="0"/>
    <x v="1"/>
    <x v="1"/>
    <n v="81724.319999999992"/>
    <n v="1.620000000000001"/>
    <x v="2"/>
  </r>
  <r>
    <n v="184980"/>
    <n v="47.39"/>
    <n v="44.9"/>
    <n v="2788"/>
    <x v="0"/>
    <x v="1"/>
    <x v="1"/>
    <x v="1"/>
    <x v="1"/>
    <x v="0"/>
    <n v="132123.32"/>
    <n v="2.490000000000002"/>
    <x v="2"/>
  </r>
  <r>
    <n v="152671"/>
    <n v="47.12"/>
    <n v="46"/>
    <n v="1380"/>
    <x v="2"/>
    <x v="0"/>
    <x v="1"/>
    <x v="0"/>
    <x v="2"/>
    <x v="0"/>
    <n v="65025.599999999999"/>
    <n v="1.1199999999999974"/>
    <x v="0"/>
  </r>
  <r>
    <n v="155722"/>
    <n v="29.53"/>
    <n v="26.18"/>
    <n v="1484"/>
    <x v="2"/>
    <x v="0"/>
    <x v="1"/>
    <x v="1"/>
    <x v="0"/>
    <x v="1"/>
    <n v="43822.520000000004"/>
    <n v="3.3500000000000014"/>
    <x v="2"/>
  </r>
  <r>
    <n v="171570"/>
    <n v="15.7"/>
    <n v="11.02"/>
    <n v="1353"/>
    <x v="2"/>
    <x v="1"/>
    <x v="1"/>
    <x v="1"/>
    <x v="0"/>
    <x v="1"/>
    <n v="21242.1"/>
    <n v="4.68"/>
    <x v="1"/>
  </r>
  <r>
    <n v="181417"/>
    <n v="40.19"/>
    <n v="38.729999999999997"/>
    <n v="2728"/>
    <x v="0"/>
    <x v="2"/>
    <x v="1"/>
    <x v="0"/>
    <x v="0"/>
    <x v="0"/>
    <n v="109638.31999999999"/>
    <n v="1.4600000000000009"/>
    <x v="2"/>
  </r>
  <r>
    <n v="157514"/>
    <n v="17.489999999999998"/>
    <n v="13.3"/>
    <n v="937"/>
    <x v="0"/>
    <x v="3"/>
    <x v="0"/>
    <x v="2"/>
    <x v="1"/>
    <x v="1"/>
    <n v="16388.129999999997"/>
    <n v="4.1899999999999977"/>
    <x v="1"/>
  </r>
  <r>
    <n v="170515"/>
    <n v="38.450000000000003"/>
    <n v="38.049999999999997"/>
    <n v="533"/>
    <x v="1"/>
    <x v="0"/>
    <x v="0"/>
    <x v="2"/>
    <x v="1"/>
    <x v="1"/>
    <n v="20493.850000000002"/>
    <n v="0.40000000000000568"/>
    <x v="0"/>
  </r>
  <r>
    <n v="179736"/>
    <n v="17.03"/>
    <n v="13.4"/>
    <n v="1452"/>
    <x v="2"/>
    <x v="2"/>
    <x v="0"/>
    <x v="0"/>
    <x v="1"/>
    <x v="0"/>
    <n v="24727.56"/>
    <n v="3.6300000000000008"/>
    <x v="2"/>
  </r>
  <r>
    <n v="137969"/>
    <n v="38.82"/>
    <n v="34.28"/>
    <n v="1987"/>
    <x v="2"/>
    <x v="0"/>
    <x v="0"/>
    <x v="1"/>
    <x v="1"/>
    <x v="1"/>
    <n v="77135.34"/>
    <n v="4.5399999999999991"/>
    <x v="1"/>
  </r>
  <r>
    <n v="146503"/>
    <n v="27.63"/>
    <n v="26.37"/>
    <n v="2410"/>
    <x v="2"/>
    <x v="2"/>
    <x v="1"/>
    <x v="2"/>
    <x v="1"/>
    <x v="0"/>
    <n v="66588.3"/>
    <n v="1.259999999999998"/>
    <x v="2"/>
  </r>
  <r>
    <n v="115333"/>
    <n v="16.489999999999998"/>
    <n v="13.55"/>
    <n v="962"/>
    <x v="2"/>
    <x v="1"/>
    <x v="0"/>
    <x v="2"/>
    <x v="2"/>
    <x v="0"/>
    <n v="15863.38"/>
    <n v="2.9399999999999977"/>
    <x v="2"/>
  </r>
  <r>
    <n v="162808"/>
    <n v="36.43"/>
    <n v="33.6"/>
    <n v="775"/>
    <x v="1"/>
    <x v="2"/>
    <x v="1"/>
    <x v="1"/>
    <x v="1"/>
    <x v="0"/>
    <n v="28233.25"/>
    <n v="2.8299999999999983"/>
    <x v="2"/>
  </r>
  <r>
    <n v="114390"/>
    <n v="33"/>
    <n v="29.31"/>
    <n v="2674"/>
    <x v="1"/>
    <x v="2"/>
    <x v="0"/>
    <x v="2"/>
    <x v="0"/>
    <x v="0"/>
    <n v="88242"/>
    <n v="3.6900000000000013"/>
    <x v="2"/>
  </r>
  <r>
    <n v="154882"/>
    <n v="20.81"/>
    <n v="18.579999999999998"/>
    <n v="889"/>
    <x v="1"/>
    <x v="3"/>
    <x v="0"/>
    <x v="0"/>
    <x v="2"/>
    <x v="1"/>
    <n v="18500.09"/>
    <n v="2.2300000000000004"/>
    <x v="2"/>
  </r>
  <r>
    <n v="148460"/>
    <n v="20.89"/>
    <n v="17.37"/>
    <n v="1433"/>
    <x v="0"/>
    <x v="3"/>
    <x v="0"/>
    <x v="0"/>
    <x v="2"/>
    <x v="1"/>
    <n v="29935.370000000003"/>
    <n v="3.5199999999999996"/>
    <x v="2"/>
  </r>
  <r>
    <n v="188481"/>
    <n v="29.43"/>
    <n v="28.15"/>
    <n v="1879"/>
    <x v="2"/>
    <x v="2"/>
    <x v="1"/>
    <x v="2"/>
    <x v="1"/>
    <x v="0"/>
    <n v="55298.97"/>
    <n v="1.2800000000000011"/>
    <x v="2"/>
  </r>
  <r>
    <n v="197435"/>
    <n v="11.51"/>
    <n v="6.97"/>
    <n v="2270"/>
    <x v="0"/>
    <x v="2"/>
    <x v="0"/>
    <x v="0"/>
    <x v="0"/>
    <x v="0"/>
    <n v="26127.7"/>
    <n v="4.54"/>
    <x v="1"/>
  </r>
  <r>
    <n v="157169"/>
    <n v="22.77"/>
    <n v="22.64"/>
    <n v="841"/>
    <x v="1"/>
    <x v="2"/>
    <x v="0"/>
    <x v="1"/>
    <x v="0"/>
    <x v="1"/>
    <n v="19149.57"/>
    <n v="0.12999999999999901"/>
    <x v="0"/>
  </r>
  <r>
    <n v="184945"/>
    <n v="47.52"/>
    <n v="43.76"/>
    <n v="1220"/>
    <x v="1"/>
    <x v="0"/>
    <x v="1"/>
    <x v="2"/>
    <x v="2"/>
    <x v="0"/>
    <n v="57974.400000000001"/>
    <n v="3.7600000000000051"/>
    <x v="1"/>
  </r>
  <r>
    <n v="140927"/>
    <n v="46.55"/>
    <n v="44.71"/>
    <n v="1745"/>
    <x v="1"/>
    <x v="2"/>
    <x v="0"/>
    <x v="0"/>
    <x v="2"/>
    <x v="1"/>
    <n v="81229.75"/>
    <n v="1.8399999999999963"/>
    <x v="2"/>
  </r>
  <r>
    <n v="174621"/>
    <n v="26.66"/>
    <n v="26.54"/>
    <n v="680"/>
    <x v="0"/>
    <x v="0"/>
    <x v="0"/>
    <x v="0"/>
    <x v="0"/>
    <x v="1"/>
    <n v="18128.8"/>
    <n v="0.12000000000000099"/>
    <x v="0"/>
  </r>
  <r>
    <n v="137475"/>
    <n v="9.68"/>
    <n v="4.75"/>
    <n v="2258"/>
    <x v="1"/>
    <x v="3"/>
    <x v="0"/>
    <x v="2"/>
    <x v="2"/>
    <x v="1"/>
    <n v="21857.439999999999"/>
    <n v="4.93"/>
    <x v="1"/>
  </r>
  <r>
    <n v="184176"/>
    <n v="8.74"/>
    <n v="5.79"/>
    <n v="2278"/>
    <x v="0"/>
    <x v="0"/>
    <x v="1"/>
    <x v="0"/>
    <x v="1"/>
    <x v="1"/>
    <n v="19909.72"/>
    <n v="2.95"/>
    <x v="2"/>
  </r>
  <r>
    <n v="149169"/>
    <n v="37.42"/>
    <n v="36.79"/>
    <n v="2283"/>
    <x v="0"/>
    <x v="3"/>
    <x v="1"/>
    <x v="1"/>
    <x v="1"/>
    <x v="0"/>
    <n v="85429.86"/>
    <n v="0.63000000000000256"/>
    <x v="0"/>
  </r>
  <r>
    <n v="126549"/>
    <n v="28.38"/>
    <n v="24.05"/>
    <n v="2690"/>
    <x v="2"/>
    <x v="1"/>
    <x v="1"/>
    <x v="2"/>
    <x v="0"/>
    <x v="0"/>
    <n v="76342.2"/>
    <n v="4.3299999999999983"/>
    <x v="1"/>
  </r>
  <r>
    <n v="138995"/>
    <n v="43.32"/>
    <n v="42.81"/>
    <n v="541"/>
    <x v="2"/>
    <x v="2"/>
    <x v="0"/>
    <x v="2"/>
    <x v="1"/>
    <x v="0"/>
    <n v="23436.12"/>
    <n v="0.50999999999999801"/>
    <x v="0"/>
  </r>
  <r>
    <n v="110220"/>
    <n v="48.11"/>
    <n v="44.43"/>
    <n v="660"/>
    <x v="1"/>
    <x v="1"/>
    <x v="1"/>
    <x v="2"/>
    <x v="1"/>
    <x v="1"/>
    <n v="31752.6"/>
    <n v="3.6799999999999997"/>
    <x v="2"/>
  </r>
  <r>
    <n v="133770"/>
    <n v="19.87"/>
    <n v="18.07"/>
    <n v="1978"/>
    <x v="2"/>
    <x v="3"/>
    <x v="1"/>
    <x v="2"/>
    <x v="1"/>
    <x v="1"/>
    <n v="39302.86"/>
    <n v="1.8000000000000007"/>
    <x v="2"/>
  </r>
  <r>
    <n v="165819"/>
    <n v="7.09"/>
    <n v="2.82"/>
    <n v="1801"/>
    <x v="0"/>
    <x v="0"/>
    <x v="1"/>
    <x v="2"/>
    <x v="1"/>
    <x v="0"/>
    <n v="12769.09"/>
    <n v="4.2699999999999996"/>
    <x v="1"/>
  </r>
  <r>
    <n v="191957"/>
    <n v="24.07"/>
    <n v="19.86"/>
    <n v="1199"/>
    <x v="0"/>
    <x v="3"/>
    <x v="1"/>
    <x v="2"/>
    <x v="2"/>
    <x v="1"/>
    <n v="28859.93"/>
    <n v="4.2100000000000009"/>
    <x v="1"/>
  </r>
  <r>
    <n v="178701"/>
    <n v="20.04"/>
    <n v="15.24"/>
    <n v="2921"/>
    <x v="1"/>
    <x v="2"/>
    <x v="0"/>
    <x v="1"/>
    <x v="0"/>
    <x v="1"/>
    <n v="58536.84"/>
    <n v="4.7999999999999989"/>
    <x v="1"/>
  </r>
  <r>
    <n v="181111"/>
    <n v="46.12"/>
    <n v="43.68"/>
    <n v="633"/>
    <x v="2"/>
    <x v="0"/>
    <x v="0"/>
    <x v="2"/>
    <x v="2"/>
    <x v="0"/>
    <n v="29193.96"/>
    <n v="2.4399999999999977"/>
    <x v="2"/>
  </r>
  <r>
    <n v="183252"/>
    <n v="23.24"/>
    <n v="19.350000000000001"/>
    <n v="792"/>
    <x v="0"/>
    <x v="2"/>
    <x v="1"/>
    <x v="0"/>
    <x v="0"/>
    <x v="0"/>
    <n v="18406.079999999998"/>
    <n v="3.889999999999997"/>
    <x v="1"/>
  </r>
  <r>
    <n v="182755"/>
    <n v="9.14"/>
    <n v="8.68"/>
    <n v="1380"/>
    <x v="2"/>
    <x v="2"/>
    <x v="0"/>
    <x v="1"/>
    <x v="2"/>
    <x v="0"/>
    <n v="12613.2"/>
    <n v="0.46000000000000085"/>
    <x v="0"/>
  </r>
  <r>
    <n v="143247"/>
    <n v="35.4"/>
    <n v="33.28"/>
    <n v="2845"/>
    <x v="0"/>
    <x v="0"/>
    <x v="0"/>
    <x v="0"/>
    <x v="0"/>
    <x v="1"/>
    <n v="100713"/>
    <n v="2.1199999999999974"/>
    <x v="2"/>
  </r>
  <r>
    <n v="118346"/>
    <n v="49.68"/>
    <n v="46.58"/>
    <n v="2656"/>
    <x v="2"/>
    <x v="1"/>
    <x v="0"/>
    <x v="2"/>
    <x v="0"/>
    <x v="1"/>
    <n v="131950.07999999999"/>
    <n v="3.1000000000000014"/>
    <x v="2"/>
  </r>
  <r>
    <n v="182563"/>
    <n v="13.1"/>
    <n v="13"/>
    <n v="2211"/>
    <x v="1"/>
    <x v="0"/>
    <x v="0"/>
    <x v="0"/>
    <x v="0"/>
    <x v="1"/>
    <n v="28964.1"/>
    <n v="9.9999999999999645E-2"/>
    <x v="0"/>
  </r>
  <r>
    <n v="120300"/>
    <n v="16.18"/>
    <n v="15.84"/>
    <n v="2698"/>
    <x v="1"/>
    <x v="2"/>
    <x v="1"/>
    <x v="1"/>
    <x v="2"/>
    <x v="1"/>
    <n v="43653.64"/>
    <n v="0.33999999999999986"/>
    <x v="0"/>
  </r>
  <r>
    <n v="184596"/>
    <n v="41.83"/>
    <n v="37.17"/>
    <n v="2745"/>
    <x v="1"/>
    <x v="2"/>
    <x v="1"/>
    <x v="0"/>
    <x v="0"/>
    <x v="0"/>
    <n v="114823.34999999999"/>
    <n v="4.6599999999999966"/>
    <x v="1"/>
  </r>
  <r>
    <n v="165690"/>
    <n v="20.399999999999999"/>
    <n v="18.71"/>
    <n v="2069"/>
    <x v="1"/>
    <x v="3"/>
    <x v="0"/>
    <x v="1"/>
    <x v="2"/>
    <x v="1"/>
    <n v="42207.6"/>
    <n v="1.6899999999999977"/>
    <x v="2"/>
  </r>
  <r>
    <n v="148366"/>
    <n v="19.63"/>
    <n v="17.77"/>
    <n v="935"/>
    <x v="0"/>
    <x v="1"/>
    <x v="0"/>
    <x v="1"/>
    <x v="2"/>
    <x v="0"/>
    <n v="18354.05"/>
    <n v="1.8599999999999994"/>
    <x v="2"/>
  </r>
  <r>
    <n v="154931"/>
    <n v="31.27"/>
    <n v="28.47"/>
    <n v="1514"/>
    <x v="0"/>
    <x v="0"/>
    <x v="1"/>
    <x v="0"/>
    <x v="0"/>
    <x v="1"/>
    <n v="47342.78"/>
    <n v="2.8000000000000007"/>
    <x v="2"/>
  </r>
  <r>
    <n v="129915"/>
    <n v="14.36"/>
    <n v="12.58"/>
    <n v="2302"/>
    <x v="2"/>
    <x v="1"/>
    <x v="0"/>
    <x v="2"/>
    <x v="1"/>
    <x v="1"/>
    <n v="33056.720000000001"/>
    <n v="1.7799999999999994"/>
    <x v="2"/>
  </r>
  <r>
    <n v="129854"/>
    <n v="13.36"/>
    <n v="12.36"/>
    <n v="1864"/>
    <x v="1"/>
    <x v="0"/>
    <x v="0"/>
    <x v="1"/>
    <x v="0"/>
    <x v="1"/>
    <n v="24903.039999999997"/>
    <n v="1"/>
    <x v="0"/>
  </r>
  <r>
    <n v="196418"/>
    <n v="39.11"/>
    <n v="35.479999999999997"/>
    <n v="1456"/>
    <x v="0"/>
    <x v="1"/>
    <x v="1"/>
    <x v="0"/>
    <x v="2"/>
    <x v="1"/>
    <n v="56944.159999999996"/>
    <n v="3.6300000000000026"/>
    <x v="2"/>
  </r>
  <r>
    <n v="147140"/>
    <n v="12.72"/>
    <n v="11.72"/>
    <n v="2224"/>
    <x v="1"/>
    <x v="1"/>
    <x v="0"/>
    <x v="0"/>
    <x v="2"/>
    <x v="1"/>
    <n v="28289.280000000002"/>
    <n v="1"/>
    <x v="0"/>
  </r>
  <r>
    <n v="176622"/>
    <n v="14.7"/>
    <n v="14.24"/>
    <n v="2168"/>
    <x v="1"/>
    <x v="2"/>
    <x v="0"/>
    <x v="1"/>
    <x v="1"/>
    <x v="0"/>
    <n v="31869.599999999999"/>
    <n v="0.45999999999999908"/>
    <x v="0"/>
  </r>
  <r>
    <n v="180566"/>
    <n v="33.32"/>
    <n v="32.9"/>
    <n v="1897"/>
    <x v="2"/>
    <x v="3"/>
    <x v="1"/>
    <x v="0"/>
    <x v="0"/>
    <x v="1"/>
    <n v="63208.04"/>
    <n v="0.42000000000000171"/>
    <x v="0"/>
  </r>
  <r>
    <n v="124273"/>
    <n v="44.99"/>
    <n v="44.48"/>
    <n v="2343"/>
    <x v="2"/>
    <x v="2"/>
    <x v="1"/>
    <x v="1"/>
    <x v="2"/>
    <x v="1"/>
    <n v="105411.57"/>
    <n v="0.51000000000000512"/>
    <x v="0"/>
  </r>
  <r>
    <n v="159902"/>
    <n v="34.75"/>
    <n v="31.6"/>
    <n v="1889"/>
    <x v="0"/>
    <x v="1"/>
    <x v="0"/>
    <x v="0"/>
    <x v="1"/>
    <x v="0"/>
    <n v="65642.75"/>
    <n v="3.1499999999999986"/>
    <x v="2"/>
  </r>
  <r>
    <n v="163182"/>
    <n v="43.05"/>
    <n v="41.66"/>
    <n v="1390"/>
    <x v="1"/>
    <x v="1"/>
    <x v="0"/>
    <x v="0"/>
    <x v="1"/>
    <x v="0"/>
    <n v="59839.499999999993"/>
    <n v="1.3900000000000006"/>
    <x v="2"/>
  </r>
  <r>
    <n v="121303"/>
    <n v="24.35"/>
    <n v="23.42"/>
    <n v="1130"/>
    <x v="2"/>
    <x v="2"/>
    <x v="1"/>
    <x v="2"/>
    <x v="0"/>
    <x v="1"/>
    <n v="27515.5"/>
    <n v="0.92999999999999972"/>
    <x v="0"/>
  </r>
  <r>
    <n v="162658"/>
    <n v="11.56"/>
    <n v="8.61"/>
    <n v="1133"/>
    <x v="0"/>
    <x v="0"/>
    <x v="0"/>
    <x v="1"/>
    <x v="1"/>
    <x v="1"/>
    <n v="13097.480000000001"/>
    <n v="2.9500000000000011"/>
    <x v="2"/>
  </r>
  <r>
    <n v="146858"/>
    <n v="47.72"/>
    <n v="46.78"/>
    <n v="565"/>
    <x v="0"/>
    <x v="3"/>
    <x v="0"/>
    <x v="2"/>
    <x v="2"/>
    <x v="1"/>
    <n v="26961.8"/>
    <n v="0.93999999999999773"/>
    <x v="0"/>
  </r>
  <r>
    <n v="174565"/>
    <n v="21.3"/>
    <n v="18.71"/>
    <n v="890"/>
    <x v="2"/>
    <x v="1"/>
    <x v="1"/>
    <x v="0"/>
    <x v="1"/>
    <x v="0"/>
    <n v="18957"/>
    <n v="2.59"/>
    <x v="2"/>
  </r>
  <r>
    <n v="160629"/>
    <n v="22.82"/>
    <n v="19.13"/>
    <n v="2538"/>
    <x v="0"/>
    <x v="1"/>
    <x v="0"/>
    <x v="0"/>
    <x v="1"/>
    <x v="1"/>
    <n v="57917.16"/>
    <n v="3.6900000000000013"/>
    <x v="2"/>
  </r>
  <r>
    <n v="150654"/>
    <n v="6.38"/>
    <n v="5.25"/>
    <n v="2884"/>
    <x v="0"/>
    <x v="2"/>
    <x v="1"/>
    <x v="1"/>
    <x v="1"/>
    <x v="0"/>
    <n v="18399.919999999998"/>
    <n v="1.1299999999999999"/>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85102"/>
    <n v="17.07"/>
    <n v="16.16"/>
    <n v="2823"/>
    <s v="Medium"/>
    <s v="Families"/>
    <s v="No"/>
    <x v="0"/>
    <x v="0"/>
    <s v="No"/>
    <n v="48188.61"/>
    <n v="0.91000000000000014"/>
    <s v="Low Difference"/>
  </r>
  <r>
    <n v="188771"/>
    <n v="17.41"/>
    <n v="13.13"/>
    <n v="654"/>
    <s v="Low"/>
    <s v="Seniors"/>
    <s v="No"/>
    <x v="0"/>
    <x v="0"/>
    <s v="No"/>
    <n v="11386.14"/>
    <n v="4.2799999999999994"/>
    <s v="High Difference"/>
  </r>
  <r>
    <n v="180176"/>
    <n v="43.16"/>
    <n v="38.369999999999997"/>
    <n v="2220"/>
    <s v="Medium"/>
    <s v="Young adults"/>
    <s v="Yes"/>
    <x v="1"/>
    <x v="1"/>
    <s v="Yes"/>
    <n v="95815.2"/>
    <n v="4.7899999999999991"/>
    <s v="High Difference"/>
  </r>
  <r>
    <n v="112917"/>
    <n v="42.26"/>
    <n v="38.979999999999997"/>
    <n v="1568"/>
    <s v="Low"/>
    <s v="Families"/>
    <s v="Yes"/>
    <x v="0"/>
    <x v="0"/>
    <s v="Yes"/>
    <n v="66263.679999999993"/>
    <n v="3.2800000000000011"/>
    <s v="Moderate Difference"/>
  </r>
  <r>
    <n v="192936"/>
    <n v="47.94"/>
    <n v="45.59"/>
    <n v="2942"/>
    <s v="Medium"/>
    <s v="College students"/>
    <s v="No"/>
    <x v="1"/>
    <x v="0"/>
    <s v="Yes"/>
    <n v="141039.47999999998"/>
    <n v="2.3499999999999943"/>
    <s v="Moderate Difference"/>
  </r>
  <r>
    <n v="117590"/>
    <n v="34.5"/>
    <n v="34.340000000000003"/>
    <n v="2968"/>
    <s v="Medium"/>
    <s v="Seniors"/>
    <s v="No"/>
    <x v="1"/>
    <x v="0"/>
    <s v="No"/>
    <n v="102396"/>
    <n v="0.15999999999999659"/>
    <s v="Low Difference"/>
  </r>
  <r>
    <n v="189118"/>
    <n v="41.11"/>
    <n v="40.15"/>
    <n v="952"/>
    <s v="High"/>
    <s v="College students"/>
    <s v="Yes"/>
    <x v="2"/>
    <x v="0"/>
    <s v="Yes"/>
    <n v="39136.720000000001"/>
    <n v="0.96000000000000085"/>
    <s v="Low Difference"/>
  </r>
  <r>
    <n v="182157"/>
    <n v="15.75"/>
    <n v="12.3"/>
    <n v="2421"/>
    <s v="Low"/>
    <s v="College students"/>
    <s v="No"/>
    <x v="0"/>
    <x v="0"/>
    <s v="No"/>
    <n v="38130.75"/>
    <n v="3.4499999999999993"/>
    <s v="Moderate Difference"/>
  </r>
  <r>
    <n v="141861"/>
    <n v="30.07"/>
    <n v="26.75"/>
    <n v="1916"/>
    <s v="High"/>
    <s v="Families"/>
    <s v="Yes"/>
    <x v="0"/>
    <x v="1"/>
    <s v="Yes"/>
    <n v="57614.12"/>
    <n v="3.3200000000000003"/>
    <s v="Moderate Difference"/>
  </r>
  <r>
    <n v="137121"/>
    <n v="38"/>
    <n v="33.380000000000003"/>
    <n v="656"/>
    <s v="High"/>
    <s v="Families"/>
    <s v="No"/>
    <x v="0"/>
    <x v="1"/>
    <s v="Yes"/>
    <n v="24928"/>
    <n v="4.6199999999999974"/>
    <s v="High Difference"/>
  </r>
  <r>
    <n v="113143"/>
    <n v="27.42"/>
    <n v="22.82"/>
    <n v="2663"/>
    <s v="High"/>
    <s v="College students"/>
    <s v="Yes"/>
    <x v="0"/>
    <x v="2"/>
    <s v="Yes"/>
    <n v="73019.460000000006"/>
    <n v="4.6000000000000014"/>
    <s v="High Difference"/>
  </r>
  <r>
    <n v="140028"/>
    <n v="12.15"/>
    <n v="9.39"/>
    <n v="1260"/>
    <s v="High"/>
    <s v="College students"/>
    <s v="Yes"/>
    <x v="0"/>
    <x v="2"/>
    <s v="Yes"/>
    <n v="15309"/>
    <n v="2.76"/>
    <s v="Moderate Difference"/>
  </r>
  <r>
    <n v="134693"/>
    <n v="31.45"/>
    <n v="28.93"/>
    <n v="2124"/>
    <s v="Low"/>
    <s v="College students"/>
    <s v="Yes"/>
    <x v="0"/>
    <x v="2"/>
    <s v="No"/>
    <n v="66799.8"/>
    <n v="2.5199999999999996"/>
    <s v="Moderate Difference"/>
  </r>
  <r>
    <n v="151396"/>
    <n v="19.809999999999999"/>
    <n v="17.04"/>
    <n v="729"/>
    <s v="Medium"/>
    <s v="Families"/>
    <s v="Yes"/>
    <x v="2"/>
    <x v="2"/>
    <s v="Yes"/>
    <n v="14441.49"/>
    <n v="2.7699999999999996"/>
    <s v="Moderate Difference"/>
  </r>
  <r>
    <n v="132889"/>
    <n v="15.74"/>
    <n v="12.8"/>
    <n v="2265"/>
    <s v="Low"/>
    <s v="Families"/>
    <s v="Yes"/>
    <x v="0"/>
    <x v="2"/>
    <s v="Yes"/>
    <n v="35651.1"/>
    <n v="2.9399999999999995"/>
    <s v="Moderate Difference"/>
  </r>
  <r>
    <n v="152174"/>
    <n v="13.16"/>
    <n v="12.94"/>
    <n v="2226"/>
    <s v="Medium"/>
    <s v="Young adults"/>
    <s v="No"/>
    <x v="1"/>
    <x v="0"/>
    <s v="No"/>
    <n v="29294.16"/>
    <n v="0.22000000000000064"/>
    <s v="Low Difference"/>
  </r>
  <r>
    <n v="129906"/>
    <n v="14.58"/>
    <n v="14.49"/>
    <n v="2089"/>
    <s v="Medium"/>
    <s v="Young adults"/>
    <s v="No"/>
    <x v="0"/>
    <x v="2"/>
    <s v="No"/>
    <n v="30457.62"/>
    <n v="8.9999999999999858E-2"/>
    <s v="Low Difference"/>
  </r>
  <r>
    <n v="195879"/>
    <n v="21.03"/>
    <n v="18.54"/>
    <n v="2339"/>
    <s v="Medium"/>
    <s v="Young adults"/>
    <s v="Yes"/>
    <x v="2"/>
    <x v="2"/>
    <s v="Yes"/>
    <n v="49189.170000000006"/>
    <n v="2.490000000000002"/>
    <s v="Moderate Difference"/>
  </r>
  <r>
    <n v="155050"/>
    <n v="19.920000000000002"/>
    <n v="14.93"/>
    <n v="2321"/>
    <s v="High"/>
    <s v="College students"/>
    <s v="No"/>
    <x v="0"/>
    <x v="0"/>
    <s v="Yes"/>
    <n v="46234.320000000007"/>
    <n v="4.990000000000002"/>
    <s v="High Difference"/>
  </r>
  <r>
    <n v="194410"/>
    <n v="36.200000000000003"/>
    <n v="32.49"/>
    <n v="669"/>
    <s v="Low"/>
    <s v="Young adults"/>
    <s v="No"/>
    <x v="1"/>
    <x v="1"/>
    <s v="No"/>
    <n v="24217.800000000003"/>
    <n v="3.7100000000000009"/>
    <s v="High Difference"/>
  </r>
  <r>
    <n v="141904"/>
    <n v="27.36"/>
    <n v="23.03"/>
    <n v="1712"/>
    <s v="Medium"/>
    <s v="College students"/>
    <s v="Yes"/>
    <x v="1"/>
    <x v="2"/>
    <s v="Yes"/>
    <n v="46840.32"/>
    <n v="4.3299999999999983"/>
    <s v="High Difference"/>
  </r>
  <r>
    <n v="124981"/>
    <n v="42.74"/>
    <n v="40.29"/>
    <n v="1832"/>
    <s v="Low"/>
    <s v="Families"/>
    <s v="No"/>
    <x v="2"/>
    <x v="0"/>
    <s v="Yes"/>
    <n v="78299.680000000008"/>
    <n v="2.4500000000000028"/>
    <s v="Moderate Difference"/>
  </r>
  <r>
    <n v="161909"/>
    <n v="22.16"/>
    <n v="20.85"/>
    <n v="1290"/>
    <s v="Medium"/>
    <s v="Young adults"/>
    <s v="Yes"/>
    <x v="0"/>
    <x v="1"/>
    <s v="No"/>
    <n v="28586.400000000001"/>
    <n v="1.3099999999999987"/>
    <s v="Moderate Difference"/>
  </r>
  <r>
    <n v="129152"/>
    <n v="48.51"/>
    <n v="47.56"/>
    <n v="2356"/>
    <s v="Low"/>
    <s v="Seniors"/>
    <s v="No"/>
    <x v="1"/>
    <x v="1"/>
    <s v="No"/>
    <n v="114289.56"/>
    <n v="0.94999999999999574"/>
    <s v="Low Difference"/>
  </r>
  <r>
    <n v="183243"/>
    <n v="39.32"/>
    <n v="37.119999999999997"/>
    <n v="1524"/>
    <s v="Low"/>
    <s v="Families"/>
    <s v="Yes"/>
    <x v="2"/>
    <x v="2"/>
    <s v="No"/>
    <n v="59923.68"/>
    <n v="2.2000000000000028"/>
    <s v="Moderate Difference"/>
  </r>
  <r>
    <n v="198248"/>
    <n v="27.81"/>
    <n v="23.4"/>
    <n v="1644"/>
    <s v="High"/>
    <s v="Seniors"/>
    <s v="Yes"/>
    <x v="2"/>
    <x v="0"/>
    <s v="No"/>
    <n v="45719.64"/>
    <n v="4.41"/>
    <s v="High Difference"/>
  </r>
  <r>
    <n v="191230"/>
    <n v="49.95"/>
    <n v="45.65"/>
    <n v="966"/>
    <s v="High"/>
    <s v="Young adults"/>
    <s v="No"/>
    <x v="1"/>
    <x v="0"/>
    <s v="No"/>
    <n v="48251.700000000004"/>
    <n v="4.3000000000000043"/>
    <s v="High Difference"/>
  </r>
  <r>
    <n v="187234"/>
    <n v="39.270000000000003"/>
    <n v="35.549999999999997"/>
    <n v="2575"/>
    <s v="Low"/>
    <s v="College students"/>
    <s v="Yes"/>
    <x v="2"/>
    <x v="0"/>
    <s v="Yes"/>
    <n v="101120.25000000001"/>
    <n v="3.720000000000006"/>
    <s v="High Difference"/>
  </r>
  <r>
    <n v="148888"/>
    <n v="16.920000000000002"/>
    <n v="14.44"/>
    <n v="2774"/>
    <s v="Low"/>
    <s v="Families"/>
    <s v="No"/>
    <x v="2"/>
    <x v="0"/>
    <s v="No"/>
    <n v="46936.08"/>
    <n v="2.4800000000000022"/>
    <s v="Moderate Difference"/>
  </r>
  <r>
    <n v="110805"/>
    <n v="35.909999999999997"/>
    <n v="34.74"/>
    <n v="2477"/>
    <s v="Medium"/>
    <s v="Young adults"/>
    <s v="Yes"/>
    <x v="2"/>
    <x v="2"/>
    <s v="No"/>
    <n v="88949.069999999992"/>
    <n v="1.1699999999999946"/>
    <s v="Moderate Difference"/>
  </r>
  <r>
    <n v="179801"/>
    <n v="46.81"/>
    <n v="43.04"/>
    <n v="2608"/>
    <s v="Low"/>
    <s v="College students"/>
    <s v="No"/>
    <x v="2"/>
    <x v="1"/>
    <s v="Yes"/>
    <n v="122080.48000000001"/>
    <n v="3.7700000000000031"/>
    <s v="High Difference"/>
  </r>
  <r>
    <n v="134927"/>
    <n v="6.1"/>
    <n v="5.37"/>
    <n v="2252"/>
    <s v="High"/>
    <s v="Families"/>
    <s v="Yes"/>
    <x v="0"/>
    <x v="1"/>
    <s v="Yes"/>
    <n v="13737.199999999999"/>
    <n v="0.72999999999999954"/>
    <s v="Low Difference"/>
  </r>
  <r>
    <n v="123150"/>
    <n v="37.03"/>
    <n v="34.9"/>
    <n v="2074"/>
    <s v="Medium"/>
    <s v="Seniors"/>
    <s v="Yes"/>
    <x v="1"/>
    <x v="1"/>
    <s v="No"/>
    <n v="76800.22"/>
    <n v="2.1300000000000026"/>
    <s v="Moderate Difference"/>
  </r>
  <r>
    <n v="159145"/>
    <n v="19.010000000000002"/>
    <n v="18.27"/>
    <n v="2579"/>
    <s v="High"/>
    <s v="Seniors"/>
    <s v="Yes"/>
    <x v="1"/>
    <x v="1"/>
    <s v="No"/>
    <n v="49026.79"/>
    <n v="0.74000000000000199"/>
    <s v="Low Difference"/>
  </r>
  <r>
    <n v="172364"/>
    <n v="12.3"/>
    <n v="10.3"/>
    <n v="2931"/>
    <s v="High"/>
    <s v="College students"/>
    <s v="Yes"/>
    <x v="0"/>
    <x v="0"/>
    <s v="No"/>
    <n v="36051.300000000003"/>
    <n v="2"/>
    <s v="Moderate Difference"/>
  </r>
  <r>
    <n v="178281"/>
    <n v="11.64"/>
    <n v="7.89"/>
    <n v="1145"/>
    <s v="Low"/>
    <s v="College students"/>
    <s v="No"/>
    <x v="1"/>
    <x v="1"/>
    <s v="Yes"/>
    <n v="13327.800000000001"/>
    <n v="3.7500000000000009"/>
    <s v="High Difference"/>
  </r>
  <r>
    <n v="194339"/>
    <n v="18.2"/>
    <n v="16.18"/>
    <n v="1792"/>
    <s v="Low"/>
    <s v="Seniors"/>
    <s v="No"/>
    <x v="1"/>
    <x v="0"/>
    <s v="No"/>
    <n v="32614.399999999998"/>
    <n v="2.0199999999999996"/>
    <s v="Moderate Difference"/>
  </r>
  <r>
    <n v="174412"/>
    <n v="23.93"/>
    <n v="19.71"/>
    <n v="1796"/>
    <s v="Low"/>
    <s v="Young adults"/>
    <s v="No"/>
    <x v="0"/>
    <x v="1"/>
    <s v="Yes"/>
    <n v="42978.28"/>
    <n v="4.2199999999999989"/>
    <s v="High Difference"/>
  </r>
  <r>
    <n v="114877"/>
    <n v="21.76"/>
    <n v="21.09"/>
    <n v="1860"/>
    <s v="Medium"/>
    <s v="College students"/>
    <s v="No"/>
    <x v="0"/>
    <x v="0"/>
    <s v="No"/>
    <n v="40473.600000000006"/>
    <n v="0.67000000000000171"/>
    <s v="Low Difference"/>
  </r>
  <r>
    <n v="140727"/>
    <n v="15.89"/>
    <n v="12.07"/>
    <n v="1002"/>
    <s v="High"/>
    <s v="Families"/>
    <s v="Yes"/>
    <x v="1"/>
    <x v="0"/>
    <s v="Yes"/>
    <n v="15921.78"/>
    <n v="3.8200000000000003"/>
    <s v="High Difference"/>
  </r>
  <r>
    <n v="133109"/>
    <n v="36.130000000000003"/>
    <n v="31.33"/>
    <n v="2063"/>
    <s v="High"/>
    <s v="Families"/>
    <s v="No"/>
    <x v="2"/>
    <x v="0"/>
    <s v="Yes"/>
    <n v="74536.19"/>
    <n v="4.8000000000000043"/>
    <s v="High Difference"/>
  </r>
  <r>
    <n v="127296"/>
    <n v="34.020000000000003"/>
    <n v="32.31"/>
    <n v="1165"/>
    <s v="Low"/>
    <s v="Families"/>
    <s v="No"/>
    <x v="0"/>
    <x v="2"/>
    <s v="No"/>
    <n v="39633.300000000003"/>
    <n v="1.7100000000000009"/>
    <s v="Moderate Difference"/>
  </r>
  <r>
    <n v="133757"/>
    <n v="7.38"/>
    <n v="3.97"/>
    <n v="2071"/>
    <s v="High"/>
    <s v="Families"/>
    <s v="Yes"/>
    <x v="0"/>
    <x v="1"/>
    <s v="No"/>
    <n v="15283.98"/>
    <n v="3.4099999999999997"/>
    <s v="Moderate Difference"/>
  </r>
  <r>
    <n v="111760"/>
    <n v="19.3"/>
    <n v="17.41"/>
    <n v="1474"/>
    <s v="Low"/>
    <s v="College students"/>
    <s v="No"/>
    <x v="1"/>
    <x v="0"/>
    <s v="No"/>
    <n v="28448.2"/>
    <n v="1.8900000000000006"/>
    <s v="Moderate Difference"/>
  </r>
  <r>
    <n v="198375"/>
    <n v="7.1"/>
    <n v="6.84"/>
    <n v="2202"/>
    <s v="Low"/>
    <s v="Seniors"/>
    <s v="No"/>
    <x v="1"/>
    <x v="0"/>
    <s v="No"/>
    <n v="15634.199999999999"/>
    <n v="0.25999999999999979"/>
    <s v="Low Difference"/>
  </r>
  <r>
    <n v="168837"/>
    <n v="43.43"/>
    <n v="38.54"/>
    <n v="665"/>
    <s v="Low"/>
    <s v="Families"/>
    <s v="No"/>
    <x v="0"/>
    <x v="1"/>
    <s v="No"/>
    <n v="28880.95"/>
    <n v="4.8900000000000006"/>
    <s v="High Difference"/>
  </r>
  <r>
    <n v="138505"/>
    <n v="46.72"/>
    <n v="42.48"/>
    <n v="2478"/>
    <s v="Low"/>
    <s v="Seniors"/>
    <s v="No"/>
    <x v="2"/>
    <x v="2"/>
    <s v="No"/>
    <n v="115772.16"/>
    <n v="4.240000000000002"/>
    <s v="High Difference"/>
  </r>
  <r>
    <n v="116228"/>
    <n v="36.32"/>
    <n v="32.950000000000003"/>
    <n v="647"/>
    <s v="Medium"/>
    <s v="Families"/>
    <s v="Yes"/>
    <x v="1"/>
    <x v="0"/>
    <s v="No"/>
    <n v="23499.040000000001"/>
    <n v="3.3699999999999974"/>
    <s v="Moderate Difference"/>
  </r>
  <r>
    <n v="167592"/>
    <n v="17.760000000000002"/>
    <n v="16.84"/>
    <n v="707"/>
    <s v="Medium"/>
    <s v="Seniors"/>
    <s v="Yes"/>
    <x v="2"/>
    <x v="2"/>
    <s v="No"/>
    <n v="12556.320000000002"/>
    <n v="0.92000000000000171"/>
    <s v="Low Difference"/>
  </r>
  <r>
    <n v="133100"/>
    <n v="47.78"/>
    <n v="43.18"/>
    <n v="2729"/>
    <s v="Medium"/>
    <s v="Families"/>
    <s v="Yes"/>
    <x v="1"/>
    <x v="0"/>
    <s v="No"/>
    <n v="130391.62000000001"/>
    <n v="4.6000000000000014"/>
    <s v="High Difference"/>
  </r>
  <r>
    <n v="119955"/>
    <n v="34.119999999999997"/>
    <n v="32.94"/>
    <n v="1590"/>
    <s v="High"/>
    <s v="Young adults"/>
    <s v="No"/>
    <x v="2"/>
    <x v="1"/>
    <s v="No"/>
    <n v="54250.799999999996"/>
    <n v="1.1799999999999997"/>
    <s v="Moderate Difference"/>
  </r>
  <r>
    <n v="189349"/>
    <n v="45.91"/>
    <n v="42.91"/>
    <n v="1245"/>
    <s v="Medium"/>
    <s v="Seniors"/>
    <s v="Yes"/>
    <x v="1"/>
    <x v="1"/>
    <s v="No"/>
    <n v="57157.95"/>
    <n v="3"/>
    <s v="Moderate Difference"/>
  </r>
  <r>
    <n v="127478"/>
    <n v="29.3"/>
    <n v="26.06"/>
    <n v="2498"/>
    <s v="Low"/>
    <s v="Young adults"/>
    <s v="No"/>
    <x v="2"/>
    <x v="0"/>
    <s v="Yes"/>
    <n v="73191.400000000009"/>
    <n v="3.240000000000002"/>
    <s v="Moderate Difference"/>
  </r>
  <r>
    <n v="180661"/>
    <n v="39.96"/>
    <n v="36.049999999999997"/>
    <n v="1041"/>
    <s v="High"/>
    <s v="Young adults"/>
    <s v="No"/>
    <x v="2"/>
    <x v="2"/>
    <s v="Yes"/>
    <n v="41598.36"/>
    <n v="3.9100000000000037"/>
    <s v="High Difference"/>
  </r>
  <r>
    <n v="186681"/>
    <n v="39.46"/>
    <n v="35.1"/>
    <n v="1717"/>
    <s v="Low"/>
    <s v="Young adults"/>
    <s v="No"/>
    <x v="1"/>
    <x v="2"/>
    <s v="Yes"/>
    <n v="67752.820000000007"/>
    <n v="4.3599999999999994"/>
    <s v="High Difference"/>
  </r>
  <r>
    <n v="133183"/>
    <n v="45.07"/>
    <n v="44.26"/>
    <n v="2859"/>
    <s v="Low"/>
    <s v="Families"/>
    <s v="Yes"/>
    <x v="2"/>
    <x v="1"/>
    <s v="Yes"/>
    <n v="128855.13"/>
    <n v="0.81000000000000227"/>
    <s v="Low Difference"/>
  </r>
  <r>
    <n v="173508"/>
    <n v="13.67"/>
    <n v="13.18"/>
    <n v="1658"/>
    <s v="High"/>
    <s v="Families"/>
    <s v="Yes"/>
    <x v="0"/>
    <x v="2"/>
    <s v="No"/>
    <n v="22664.86"/>
    <n v="0.49000000000000021"/>
    <s v="Low Difference"/>
  </r>
  <r>
    <n v="187930"/>
    <n v="19.95"/>
    <n v="19.190000000000001"/>
    <n v="706"/>
    <s v="Medium"/>
    <s v="College students"/>
    <s v="No"/>
    <x v="1"/>
    <x v="1"/>
    <s v="Yes"/>
    <n v="14084.699999999999"/>
    <n v="0.75999999999999801"/>
    <s v="Low Difference"/>
  </r>
  <r>
    <n v="124088"/>
    <n v="48.71"/>
    <n v="46.44"/>
    <n v="2065"/>
    <s v="High"/>
    <s v="Young adults"/>
    <s v="Yes"/>
    <x v="1"/>
    <x v="1"/>
    <s v="Yes"/>
    <n v="100586.15000000001"/>
    <n v="2.2700000000000031"/>
    <s v="Moderate Difference"/>
  </r>
  <r>
    <n v="190238"/>
    <n v="34.67"/>
    <n v="32.6"/>
    <n v="1917"/>
    <s v="High"/>
    <s v="Seniors"/>
    <s v="No"/>
    <x v="2"/>
    <x v="0"/>
    <s v="Yes"/>
    <n v="66462.39"/>
    <n v="2.0700000000000003"/>
    <s v="Moderate Difference"/>
  </r>
  <r>
    <n v="151925"/>
    <n v="47.63"/>
    <n v="42.99"/>
    <n v="2179"/>
    <s v="Medium"/>
    <s v="Seniors"/>
    <s v="Yes"/>
    <x v="1"/>
    <x v="2"/>
    <s v="Yes"/>
    <n v="103785.77"/>
    <n v="4.6400000000000006"/>
    <s v="High Difference"/>
  </r>
  <r>
    <n v="163234"/>
    <n v="12.03"/>
    <n v="7.97"/>
    <n v="1633"/>
    <s v="Medium"/>
    <s v="Young adults"/>
    <s v="No"/>
    <x v="2"/>
    <x v="0"/>
    <s v="No"/>
    <n v="19644.989999999998"/>
    <n v="4.0599999999999996"/>
    <s v="High Difference"/>
  </r>
  <r>
    <n v="135610"/>
    <n v="36.04"/>
    <n v="35.590000000000003"/>
    <n v="1513"/>
    <s v="High"/>
    <s v="College students"/>
    <s v="Yes"/>
    <x v="0"/>
    <x v="1"/>
    <s v="Yes"/>
    <n v="54528.52"/>
    <n v="0.44999999999999574"/>
    <s v="Low Difference"/>
  </r>
  <r>
    <n v="117065"/>
    <n v="47.39"/>
    <n v="47.31"/>
    <n v="758"/>
    <s v="High"/>
    <s v="Seniors"/>
    <s v="Yes"/>
    <x v="0"/>
    <x v="1"/>
    <s v="Yes"/>
    <n v="35921.620000000003"/>
    <n v="7.9999999999998295E-2"/>
    <s v="Low Difference"/>
  </r>
  <r>
    <n v="149315"/>
    <n v="24.71"/>
    <n v="24.08"/>
    <n v="718"/>
    <s v="Low"/>
    <s v="Families"/>
    <s v="Yes"/>
    <x v="1"/>
    <x v="1"/>
    <s v="No"/>
    <n v="17741.78"/>
    <n v="0.63000000000000256"/>
    <s v="Low Difference"/>
  </r>
  <r>
    <n v="149510"/>
    <n v="36.18"/>
    <n v="34.020000000000003"/>
    <n v="1412"/>
    <s v="High"/>
    <s v="Young adults"/>
    <s v="No"/>
    <x v="0"/>
    <x v="0"/>
    <s v="Yes"/>
    <n v="51086.159999999996"/>
    <n v="2.1599999999999966"/>
    <s v="Moderate Difference"/>
  </r>
  <r>
    <n v="137990"/>
    <n v="12.01"/>
    <n v="10.23"/>
    <n v="2929"/>
    <s v="High"/>
    <s v="Seniors"/>
    <s v="No"/>
    <x v="0"/>
    <x v="0"/>
    <s v="No"/>
    <n v="35177.29"/>
    <n v="1.7799999999999994"/>
    <s v="Moderate Difference"/>
  </r>
  <r>
    <n v="154016"/>
    <n v="46.04"/>
    <n v="42.05"/>
    <n v="2366"/>
    <s v="High"/>
    <s v="Seniors"/>
    <s v="Yes"/>
    <x v="1"/>
    <x v="2"/>
    <s v="Yes"/>
    <n v="108930.64"/>
    <n v="3.990000000000002"/>
    <s v="High Difference"/>
  </r>
  <r>
    <n v="117751"/>
    <n v="10"/>
    <n v="5.63"/>
    <n v="2749"/>
    <s v="Medium"/>
    <s v="Seniors"/>
    <s v="No"/>
    <x v="0"/>
    <x v="1"/>
    <s v="No"/>
    <n v="27490"/>
    <n v="4.37"/>
    <s v="High Difference"/>
  </r>
  <r>
    <n v="182362"/>
    <n v="14.1"/>
    <n v="13.51"/>
    <n v="2019"/>
    <s v="Low"/>
    <s v="Families"/>
    <s v="No"/>
    <x v="2"/>
    <x v="1"/>
    <s v="No"/>
    <n v="28467.899999999998"/>
    <n v="0.58999999999999986"/>
    <s v="Low Difference"/>
  </r>
  <r>
    <n v="117725"/>
    <n v="40.15"/>
    <n v="35.86"/>
    <n v="1506"/>
    <s v="Low"/>
    <s v="Seniors"/>
    <s v="No"/>
    <x v="0"/>
    <x v="2"/>
    <s v="Yes"/>
    <n v="60465.9"/>
    <n v="4.2899999999999991"/>
    <s v="High Difference"/>
  </r>
  <r>
    <n v="145289"/>
    <n v="30.65"/>
    <n v="30.08"/>
    <n v="1012"/>
    <s v="High"/>
    <s v="Families"/>
    <s v="No"/>
    <x v="1"/>
    <x v="0"/>
    <s v="No"/>
    <n v="31017.8"/>
    <n v="0.57000000000000028"/>
    <s v="Low Difference"/>
  </r>
  <r>
    <n v="173576"/>
    <n v="46.74"/>
    <n v="46.32"/>
    <n v="1838"/>
    <s v="Medium"/>
    <s v="College students"/>
    <s v="Yes"/>
    <x v="1"/>
    <x v="1"/>
    <s v="No"/>
    <n v="85908.12000000001"/>
    <n v="0.42000000000000171"/>
    <s v="Low Difference"/>
  </r>
  <r>
    <n v="175059"/>
    <n v="19.16"/>
    <n v="18.62"/>
    <n v="2170"/>
    <s v="High"/>
    <s v="Seniors"/>
    <s v="Yes"/>
    <x v="0"/>
    <x v="2"/>
    <s v="No"/>
    <n v="41577.199999999997"/>
    <n v="0.53999999999999915"/>
    <s v="Low Difference"/>
  </r>
  <r>
    <n v="199368"/>
    <n v="31.93"/>
    <n v="27.22"/>
    <n v="1061"/>
    <s v="Low"/>
    <s v="Families"/>
    <s v="No"/>
    <x v="2"/>
    <x v="0"/>
    <s v="Yes"/>
    <n v="33877.730000000003"/>
    <n v="4.7100000000000009"/>
    <s v="High Difference"/>
  </r>
  <r>
    <n v="162883"/>
    <n v="18.3"/>
    <n v="14.19"/>
    <n v="786"/>
    <s v="Low"/>
    <s v="Seniors"/>
    <s v="Yes"/>
    <x v="2"/>
    <x v="2"/>
    <s v="No"/>
    <n v="14383.800000000001"/>
    <n v="4.1100000000000012"/>
    <s v="High Difference"/>
  </r>
  <r>
    <n v="135490"/>
    <n v="18.72"/>
    <n v="17.29"/>
    <n v="1094"/>
    <s v="Medium"/>
    <s v="Families"/>
    <s v="No"/>
    <x v="2"/>
    <x v="0"/>
    <s v="No"/>
    <n v="20479.68"/>
    <n v="1.4299999999999997"/>
    <s v="Moderate Difference"/>
  </r>
  <r>
    <n v="125408"/>
    <n v="21.79"/>
    <n v="18.920000000000002"/>
    <n v="2220"/>
    <s v="High"/>
    <s v="College students"/>
    <s v="Yes"/>
    <x v="1"/>
    <x v="0"/>
    <s v="Yes"/>
    <n v="48373.799999999996"/>
    <n v="2.8699999999999974"/>
    <s v="Moderate Difference"/>
  </r>
  <r>
    <n v="134763"/>
    <n v="18.75"/>
    <n v="17.420000000000002"/>
    <n v="2048"/>
    <s v="Low"/>
    <s v="College students"/>
    <s v="No"/>
    <x v="2"/>
    <x v="0"/>
    <s v="Yes"/>
    <n v="38400"/>
    <n v="1.3299999999999983"/>
    <s v="Moderate Difference"/>
  </r>
  <r>
    <n v="143231"/>
    <n v="44.2"/>
    <n v="42.72"/>
    <n v="2578"/>
    <s v="Low"/>
    <s v="Families"/>
    <s v="No"/>
    <x v="0"/>
    <x v="2"/>
    <s v="No"/>
    <n v="113947.6"/>
    <n v="1.480000000000004"/>
    <s v="Moderate Difference"/>
  </r>
  <r>
    <n v="125409"/>
    <n v="42.55"/>
    <n v="40.35"/>
    <n v="2040"/>
    <s v="High"/>
    <s v="College students"/>
    <s v="Yes"/>
    <x v="1"/>
    <x v="0"/>
    <s v="No"/>
    <n v="86802"/>
    <n v="2.1999999999999957"/>
    <s v="Moderate Difference"/>
  </r>
  <r>
    <n v="183074"/>
    <n v="34.15"/>
    <n v="30.46"/>
    <n v="2791"/>
    <s v="Low"/>
    <s v="College students"/>
    <s v="No"/>
    <x v="0"/>
    <x v="0"/>
    <s v="No"/>
    <n v="95312.65"/>
    <n v="3.6899999999999977"/>
    <s v="Moderate Difference"/>
  </r>
  <r>
    <n v="147947"/>
    <n v="19.239999999999998"/>
    <n v="15.64"/>
    <n v="1249"/>
    <s v="High"/>
    <s v="Young adults"/>
    <s v="Yes"/>
    <x v="0"/>
    <x v="0"/>
    <s v="Yes"/>
    <n v="24030.76"/>
    <n v="3.5999999999999979"/>
    <s v="Moderate Difference"/>
  </r>
  <r>
    <n v="174171"/>
    <n v="8.01"/>
    <n v="5.34"/>
    <n v="2273"/>
    <s v="Medium"/>
    <s v="Seniors"/>
    <s v="Yes"/>
    <x v="2"/>
    <x v="2"/>
    <s v="Yes"/>
    <n v="18206.73"/>
    <n v="2.67"/>
    <s v="Moderate Difference"/>
  </r>
  <r>
    <n v="183064"/>
    <n v="19.25"/>
    <n v="17.13"/>
    <n v="1773"/>
    <s v="Low"/>
    <s v="Young adults"/>
    <s v="Yes"/>
    <x v="2"/>
    <x v="1"/>
    <s v="No"/>
    <n v="34130.25"/>
    <n v="2.120000000000001"/>
    <s v="Moderate Difference"/>
  </r>
  <r>
    <n v="177131"/>
    <n v="47.16"/>
    <n v="43.78"/>
    <n v="1733"/>
    <s v="High"/>
    <s v="Families"/>
    <s v="Yes"/>
    <x v="0"/>
    <x v="2"/>
    <s v="Yes"/>
    <n v="81728.28"/>
    <n v="3.3799999999999955"/>
    <s v="Moderate Difference"/>
  </r>
  <r>
    <n v="128179"/>
    <n v="38.75"/>
    <n v="35.22"/>
    <n v="2060"/>
    <s v="High"/>
    <s v="Seniors"/>
    <s v="Yes"/>
    <x v="1"/>
    <x v="1"/>
    <s v="No"/>
    <n v="79825"/>
    <n v="3.5300000000000011"/>
    <s v="Moderate Difference"/>
  </r>
  <r>
    <n v="152723"/>
    <n v="44.16"/>
    <n v="42.34"/>
    <n v="2849"/>
    <s v="High"/>
    <s v="Seniors"/>
    <s v="No"/>
    <x v="0"/>
    <x v="2"/>
    <s v="Yes"/>
    <n v="125811.84"/>
    <n v="1.8199999999999932"/>
    <s v="Moderate Difference"/>
  </r>
  <r>
    <n v="123824"/>
    <n v="32.35"/>
    <n v="28.97"/>
    <n v="2277"/>
    <s v="Low"/>
    <s v="Families"/>
    <s v="Yes"/>
    <x v="0"/>
    <x v="1"/>
    <s v="No"/>
    <n v="73660.95"/>
    <n v="3.3800000000000026"/>
    <s v="Moderate Difference"/>
  </r>
  <r>
    <n v="166345"/>
    <n v="40.770000000000003"/>
    <n v="39.729999999999997"/>
    <n v="1135"/>
    <s v="Low"/>
    <s v="Seniors"/>
    <s v="No"/>
    <x v="0"/>
    <x v="1"/>
    <s v="Yes"/>
    <n v="46273.950000000004"/>
    <n v="1.0400000000000063"/>
    <s v="Low Difference"/>
  </r>
  <r>
    <n v="199279"/>
    <n v="18.36"/>
    <n v="15.23"/>
    <n v="1770"/>
    <s v="Low"/>
    <s v="Seniors"/>
    <s v="No"/>
    <x v="0"/>
    <x v="1"/>
    <s v="No"/>
    <n v="32497.200000000001"/>
    <n v="3.129999999999999"/>
    <s v="Moderate Difference"/>
  </r>
  <r>
    <n v="167981"/>
    <n v="37.4"/>
    <n v="37.29"/>
    <n v="730"/>
    <s v="High"/>
    <s v="College students"/>
    <s v="No"/>
    <x v="1"/>
    <x v="0"/>
    <s v="No"/>
    <n v="27302"/>
    <n v="0.10999999999999943"/>
    <s v="Low Difference"/>
  </r>
  <r>
    <n v="146839"/>
    <n v="10.039999999999999"/>
    <n v="7.54"/>
    <n v="1525"/>
    <s v="Medium"/>
    <s v="College students"/>
    <s v="No"/>
    <x v="0"/>
    <x v="2"/>
    <s v="No"/>
    <n v="15310.999999999998"/>
    <n v="2.4999999999999991"/>
    <s v="Moderate Difference"/>
  </r>
  <r>
    <n v="187180"/>
    <n v="47.5"/>
    <n v="46.74"/>
    <n v="647"/>
    <s v="High"/>
    <s v="Families"/>
    <s v="No"/>
    <x v="2"/>
    <x v="1"/>
    <s v="Yes"/>
    <n v="30732.5"/>
    <n v="0.75999999999999801"/>
    <s v="Low Difference"/>
  </r>
  <r>
    <n v="167640"/>
    <n v="46.56"/>
    <n v="43.71"/>
    <n v="1017"/>
    <s v="High"/>
    <s v="Families"/>
    <s v="Yes"/>
    <x v="1"/>
    <x v="1"/>
    <s v="Yes"/>
    <n v="47351.520000000004"/>
    <n v="2.8500000000000014"/>
    <s v="Moderate Difference"/>
  </r>
  <r>
    <n v="165158"/>
    <n v="40.44"/>
    <n v="37.89"/>
    <n v="1622"/>
    <s v="Low"/>
    <s v="College students"/>
    <s v="No"/>
    <x v="2"/>
    <x v="2"/>
    <s v="No"/>
    <n v="65593.679999999993"/>
    <n v="2.5499999999999972"/>
    <s v="Moderate Difference"/>
  </r>
  <r>
    <n v="111521"/>
    <n v="31.98"/>
    <n v="27.82"/>
    <n v="2553"/>
    <s v="High"/>
    <s v="Seniors"/>
    <s v="Yes"/>
    <x v="2"/>
    <x v="2"/>
    <s v="Yes"/>
    <n v="81644.94"/>
    <n v="4.16"/>
    <s v="High Difference"/>
  </r>
  <r>
    <n v="120228"/>
    <n v="15.92"/>
    <n v="13.41"/>
    <n v="2347"/>
    <s v="High"/>
    <s v="Seniors"/>
    <s v="No"/>
    <x v="1"/>
    <x v="2"/>
    <s v="No"/>
    <n v="37364.239999999998"/>
    <n v="2.5099999999999998"/>
    <s v="Moderate Difference"/>
  </r>
  <r>
    <n v="133078"/>
    <n v="48.34"/>
    <n v="45.21"/>
    <n v="2535"/>
    <s v="Low"/>
    <s v="Families"/>
    <s v="No"/>
    <x v="0"/>
    <x v="0"/>
    <s v="Yes"/>
    <n v="122541.90000000001"/>
    <n v="3.1300000000000026"/>
    <s v="Moderate Difference"/>
  </r>
  <r>
    <n v="137598"/>
    <n v="38.21"/>
    <n v="37.69"/>
    <n v="2839"/>
    <s v="Medium"/>
    <s v="Families"/>
    <s v="No"/>
    <x v="0"/>
    <x v="1"/>
    <s v="Yes"/>
    <n v="108478.19"/>
    <n v="0.52000000000000313"/>
    <s v="Low Difference"/>
  </r>
  <r>
    <n v="138779"/>
    <n v="44.97"/>
    <n v="42.24"/>
    <n v="2801"/>
    <s v="Low"/>
    <s v="Families"/>
    <s v="Yes"/>
    <x v="2"/>
    <x v="0"/>
    <s v="Yes"/>
    <n v="125960.97"/>
    <n v="2.7299999999999969"/>
    <s v="Moderate Difference"/>
  </r>
  <r>
    <n v="198329"/>
    <n v="19.55"/>
    <n v="15.77"/>
    <n v="628"/>
    <s v="Low"/>
    <s v="Young adults"/>
    <s v="Yes"/>
    <x v="2"/>
    <x v="1"/>
    <s v="Yes"/>
    <n v="12277.4"/>
    <n v="3.7800000000000011"/>
    <s v="High Difference"/>
  </r>
  <r>
    <n v="110295"/>
    <n v="13.1"/>
    <n v="8.4700000000000006"/>
    <n v="1448"/>
    <s v="Low"/>
    <s v="Young adults"/>
    <s v="Yes"/>
    <x v="1"/>
    <x v="1"/>
    <s v="No"/>
    <n v="18968.8"/>
    <n v="4.629999999999999"/>
    <s v="High Difference"/>
  </r>
  <r>
    <n v="196427"/>
    <n v="36.729999999999997"/>
    <n v="31.98"/>
    <n v="1401"/>
    <s v="Low"/>
    <s v="Families"/>
    <s v="Yes"/>
    <x v="0"/>
    <x v="1"/>
    <s v="No"/>
    <n v="51458.729999999996"/>
    <n v="4.7499999999999964"/>
    <s v="High Difference"/>
  </r>
  <r>
    <n v="110075"/>
    <n v="42.96"/>
    <n v="41.45"/>
    <n v="2185"/>
    <s v="Medium"/>
    <s v="College students"/>
    <s v="Yes"/>
    <x v="2"/>
    <x v="1"/>
    <s v="Yes"/>
    <n v="93867.6"/>
    <n v="1.509999999999998"/>
    <s v="Moderate Difference"/>
  </r>
  <r>
    <n v="132322"/>
    <n v="37.74"/>
    <n v="34.99"/>
    <n v="2135"/>
    <s v="Low"/>
    <s v="Families"/>
    <s v="Yes"/>
    <x v="2"/>
    <x v="0"/>
    <s v="No"/>
    <n v="80574.900000000009"/>
    <n v="2.75"/>
    <s v="Moderate Difference"/>
  </r>
  <r>
    <n v="199631"/>
    <n v="14.8"/>
    <n v="14.51"/>
    <n v="1269"/>
    <s v="Medium"/>
    <s v="Families"/>
    <s v="Yes"/>
    <x v="2"/>
    <x v="1"/>
    <s v="No"/>
    <n v="18781.2"/>
    <n v="0.29000000000000092"/>
    <s v="Low Difference"/>
  </r>
  <r>
    <n v="182306"/>
    <n v="5.93"/>
    <n v="5.84"/>
    <n v="2805"/>
    <s v="Medium"/>
    <s v="Seniors"/>
    <s v="No"/>
    <x v="2"/>
    <x v="2"/>
    <s v="No"/>
    <n v="16633.649999999998"/>
    <n v="8.9999999999999858E-2"/>
    <s v="Low Difference"/>
  </r>
  <r>
    <n v="194915"/>
    <n v="23.91"/>
    <n v="21.1"/>
    <n v="1796"/>
    <s v="Low"/>
    <s v="Seniors"/>
    <s v="Yes"/>
    <x v="0"/>
    <x v="2"/>
    <s v="No"/>
    <n v="42942.36"/>
    <n v="2.8099999999999987"/>
    <s v="Moderate Difference"/>
  </r>
  <r>
    <n v="131298"/>
    <n v="41.46"/>
    <n v="37.69"/>
    <n v="2133"/>
    <s v="Medium"/>
    <s v="College students"/>
    <s v="Yes"/>
    <x v="1"/>
    <x v="1"/>
    <s v="No"/>
    <n v="88434.180000000008"/>
    <n v="3.7700000000000031"/>
    <s v="High Difference"/>
  </r>
  <r>
    <n v="168571"/>
    <n v="10.78"/>
    <n v="6.39"/>
    <n v="1778"/>
    <s v="High"/>
    <s v="Seniors"/>
    <s v="No"/>
    <x v="0"/>
    <x v="1"/>
    <s v="No"/>
    <n v="19166.84"/>
    <n v="4.3899999999999997"/>
    <s v="High Difference"/>
  </r>
  <r>
    <n v="154224"/>
    <n v="22.69"/>
    <n v="21.79"/>
    <n v="2474"/>
    <s v="Medium"/>
    <s v="Families"/>
    <s v="Yes"/>
    <x v="1"/>
    <x v="2"/>
    <s v="No"/>
    <n v="56135.060000000005"/>
    <n v="0.90000000000000213"/>
    <s v="Low Difference"/>
  </r>
  <r>
    <n v="171061"/>
    <n v="23.25"/>
    <n v="22.71"/>
    <n v="2032"/>
    <s v="Low"/>
    <s v="College students"/>
    <s v="No"/>
    <x v="0"/>
    <x v="1"/>
    <s v="Yes"/>
    <n v="47244"/>
    <n v="0.53999999999999915"/>
    <s v="Low Difference"/>
  </r>
  <r>
    <n v="119049"/>
    <n v="16.239999999999998"/>
    <n v="11.33"/>
    <n v="1659"/>
    <s v="Low"/>
    <s v="Seniors"/>
    <s v="No"/>
    <x v="0"/>
    <x v="0"/>
    <s v="Yes"/>
    <n v="26942.159999999996"/>
    <n v="4.9099999999999984"/>
    <s v="High Difference"/>
  </r>
  <r>
    <n v="158781"/>
    <n v="19.91"/>
    <n v="16.77"/>
    <n v="2443"/>
    <s v="Medium"/>
    <s v="Young adults"/>
    <s v="Yes"/>
    <x v="1"/>
    <x v="0"/>
    <s v="Yes"/>
    <n v="48640.13"/>
    <n v="3.1400000000000006"/>
    <s v="Moderate Difference"/>
  </r>
  <r>
    <n v="151438"/>
    <n v="5.41"/>
    <n v="2.73"/>
    <n v="1137"/>
    <s v="Medium"/>
    <s v="Seniors"/>
    <s v="No"/>
    <x v="0"/>
    <x v="2"/>
    <s v="Yes"/>
    <n v="6151.17"/>
    <n v="2.68"/>
    <s v="Moderate Difference"/>
  </r>
  <r>
    <n v="152871"/>
    <n v="13.39"/>
    <n v="12.76"/>
    <n v="1847"/>
    <s v="High"/>
    <s v="Families"/>
    <s v="No"/>
    <x v="1"/>
    <x v="0"/>
    <s v="Yes"/>
    <n v="24731.33"/>
    <n v="0.63000000000000078"/>
    <s v="Low Difference"/>
  </r>
  <r>
    <n v="126806"/>
    <n v="40.270000000000003"/>
    <n v="37.159999999999997"/>
    <n v="2404"/>
    <s v="High"/>
    <s v="Young adults"/>
    <s v="Yes"/>
    <x v="1"/>
    <x v="0"/>
    <s v="Yes"/>
    <n v="96809.08"/>
    <n v="3.1100000000000065"/>
    <s v="Moderate Difference"/>
  </r>
  <r>
    <n v="134104"/>
    <n v="23.84"/>
    <n v="21.61"/>
    <n v="1466"/>
    <s v="Medium"/>
    <s v="College students"/>
    <s v="No"/>
    <x v="1"/>
    <x v="1"/>
    <s v="Yes"/>
    <n v="34949.440000000002"/>
    <n v="2.2300000000000004"/>
    <s v="Moderate Difference"/>
  </r>
  <r>
    <n v="120266"/>
    <n v="20.04"/>
    <n v="16.05"/>
    <n v="2328"/>
    <s v="High"/>
    <s v="Families"/>
    <s v="No"/>
    <x v="2"/>
    <x v="1"/>
    <s v="No"/>
    <n v="46653.119999999995"/>
    <n v="3.9899999999999984"/>
    <s v="High Difference"/>
  </r>
  <r>
    <n v="173550"/>
    <n v="33"/>
    <n v="29.46"/>
    <n v="1431"/>
    <s v="Medium"/>
    <s v="Families"/>
    <s v="No"/>
    <x v="1"/>
    <x v="1"/>
    <s v="Yes"/>
    <n v="47223"/>
    <n v="3.5399999999999991"/>
    <s v="Moderate Difference"/>
  </r>
  <r>
    <n v="175927"/>
    <n v="22.25"/>
    <n v="21.68"/>
    <n v="1506"/>
    <s v="Medium"/>
    <s v="Young adults"/>
    <s v="No"/>
    <x v="1"/>
    <x v="0"/>
    <s v="Yes"/>
    <n v="33508.5"/>
    <n v="0.57000000000000028"/>
    <s v="Low Difference"/>
  </r>
  <r>
    <n v="154278"/>
    <n v="17.07"/>
    <n v="16.29"/>
    <n v="2749"/>
    <s v="Medium"/>
    <s v="Seniors"/>
    <s v="No"/>
    <x v="1"/>
    <x v="0"/>
    <s v="Yes"/>
    <n v="46925.43"/>
    <n v="0.78000000000000114"/>
    <s v="Low Difference"/>
  </r>
  <r>
    <n v="183537"/>
    <n v="40.64"/>
    <n v="36.61"/>
    <n v="2434"/>
    <s v="Low"/>
    <s v="College students"/>
    <s v="Yes"/>
    <x v="2"/>
    <x v="1"/>
    <s v="Yes"/>
    <n v="98917.759999999995"/>
    <n v="4.0300000000000011"/>
    <s v="High Difference"/>
  </r>
  <r>
    <n v="150424"/>
    <n v="25.47"/>
    <n v="25.19"/>
    <n v="2067"/>
    <s v="Medium"/>
    <s v="Young adults"/>
    <s v="No"/>
    <x v="2"/>
    <x v="2"/>
    <s v="Yes"/>
    <n v="52646.49"/>
    <n v="0.27999999999999758"/>
    <s v="Low Difference"/>
  </r>
  <r>
    <n v="183825"/>
    <n v="42.7"/>
    <n v="40.51"/>
    <n v="2989"/>
    <s v="Low"/>
    <s v="Families"/>
    <s v="Yes"/>
    <x v="0"/>
    <x v="0"/>
    <s v="Yes"/>
    <n v="127630.3"/>
    <n v="2.1900000000000048"/>
    <s v="Moderate Difference"/>
  </r>
  <r>
    <n v="144012"/>
    <n v="33.28"/>
    <n v="31.57"/>
    <n v="743"/>
    <s v="Low"/>
    <s v="Families"/>
    <s v="Yes"/>
    <x v="2"/>
    <x v="1"/>
    <s v="No"/>
    <n v="24727.040000000001"/>
    <n v="1.7100000000000009"/>
    <s v="Moderate Difference"/>
  </r>
  <r>
    <n v="147051"/>
    <n v="31.59"/>
    <n v="28.91"/>
    <n v="2325"/>
    <s v="Low"/>
    <s v="Young adults"/>
    <s v="No"/>
    <x v="2"/>
    <x v="1"/>
    <s v="No"/>
    <n v="73446.75"/>
    <n v="2.6799999999999997"/>
    <s v="Moderate Difference"/>
  </r>
  <r>
    <n v="185800"/>
    <n v="24.2"/>
    <n v="21.33"/>
    <n v="1841"/>
    <s v="Medium"/>
    <s v="College students"/>
    <s v="No"/>
    <x v="1"/>
    <x v="1"/>
    <s v="Yes"/>
    <n v="44552.2"/>
    <n v="2.870000000000001"/>
    <s v="Moderate Difference"/>
  </r>
  <r>
    <n v="197524"/>
    <n v="31.52"/>
    <n v="28.79"/>
    <n v="2231"/>
    <s v="Low"/>
    <s v="Seniors"/>
    <s v="Yes"/>
    <x v="0"/>
    <x v="0"/>
    <s v="Yes"/>
    <n v="70321.119999999995"/>
    <n v="2.7300000000000004"/>
    <s v="Moderate Difference"/>
  </r>
  <r>
    <n v="148823"/>
    <n v="12.31"/>
    <n v="8.65"/>
    <n v="2211"/>
    <s v="Low"/>
    <s v="Seniors"/>
    <s v="No"/>
    <x v="0"/>
    <x v="0"/>
    <s v="Yes"/>
    <n v="27217.41"/>
    <n v="3.66"/>
    <s v="Moderate Difference"/>
  </r>
  <r>
    <n v="114550"/>
    <n v="28.13"/>
    <n v="25.72"/>
    <n v="2114"/>
    <s v="Low"/>
    <s v="Young adults"/>
    <s v="No"/>
    <x v="1"/>
    <x v="0"/>
    <s v="No"/>
    <n v="59466.82"/>
    <n v="2.41"/>
    <s v="Moderate Difference"/>
  </r>
  <r>
    <n v="125398"/>
    <n v="48.12"/>
    <n v="43.56"/>
    <n v="1350"/>
    <s v="High"/>
    <s v="College students"/>
    <s v="Yes"/>
    <x v="0"/>
    <x v="1"/>
    <s v="Yes"/>
    <n v="64962"/>
    <n v="4.5599999999999952"/>
    <s v="High Difference"/>
  </r>
  <r>
    <n v="123985"/>
    <n v="9.52"/>
    <n v="6.43"/>
    <n v="2240"/>
    <s v="High"/>
    <s v="Seniors"/>
    <s v="No"/>
    <x v="1"/>
    <x v="1"/>
    <s v="No"/>
    <n v="21324.799999999999"/>
    <n v="3.09"/>
    <s v="Moderate Difference"/>
  </r>
  <r>
    <n v="186638"/>
    <n v="18.78"/>
    <n v="17.11"/>
    <n v="1296"/>
    <s v="High"/>
    <s v="College students"/>
    <s v="Yes"/>
    <x v="1"/>
    <x v="1"/>
    <s v="No"/>
    <n v="24338.880000000001"/>
    <n v="1.6700000000000017"/>
    <s v="Moderate Difference"/>
  </r>
  <r>
    <n v="167281"/>
    <n v="19.489999999999998"/>
    <n v="16.8"/>
    <n v="892"/>
    <s v="High"/>
    <s v="Families"/>
    <s v="Yes"/>
    <x v="1"/>
    <x v="1"/>
    <s v="Yes"/>
    <n v="17385.079999999998"/>
    <n v="2.6899999999999977"/>
    <s v="Moderate Difference"/>
  </r>
  <r>
    <n v="118578"/>
    <n v="9.07"/>
    <n v="6.59"/>
    <n v="1678"/>
    <s v="High"/>
    <s v="Seniors"/>
    <s v="No"/>
    <x v="1"/>
    <x v="0"/>
    <s v="Yes"/>
    <n v="15219.460000000001"/>
    <n v="2.4800000000000004"/>
    <s v="Moderate Difference"/>
  </r>
  <r>
    <n v="174041"/>
    <n v="5.0599999999999996"/>
    <n v="4.51"/>
    <n v="2016"/>
    <s v="Medium"/>
    <s v="Seniors"/>
    <s v="No"/>
    <x v="1"/>
    <x v="1"/>
    <s v="No"/>
    <n v="10200.959999999999"/>
    <n v="0.54999999999999982"/>
    <s v="Low Difference"/>
  </r>
  <r>
    <n v="127644"/>
    <n v="36.479999999999997"/>
    <n v="36.14"/>
    <n v="1498"/>
    <s v="Low"/>
    <s v="Young adults"/>
    <s v="No"/>
    <x v="2"/>
    <x v="0"/>
    <s v="Yes"/>
    <n v="54647.039999999994"/>
    <n v="0.33999999999999631"/>
    <s v="Low Difference"/>
  </r>
  <r>
    <n v="132007"/>
    <n v="38.630000000000003"/>
    <n v="35.08"/>
    <n v="2491"/>
    <s v="Low"/>
    <s v="Families"/>
    <s v="No"/>
    <x v="0"/>
    <x v="0"/>
    <s v="Yes"/>
    <n v="96227.33"/>
    <n v="3.5500000000000043"/>
    <s v="Moderate Difference"/>
  </r>
  <r>
    <n v="147998"/>
    <n v="36.43"/>
    <n v="34.909999999999997"/>
    <n v="2556"/>
    <s v="Low"/>
    <s v="Young adults"/>
    <s v="No"/>
    <x v="0"/>
    <x v="0"/>
    <s v="No"/>
    <n v="93115.08"/>
    <n v="1.5200000000000031"/>
    <s v="Moderate Difference"/>
  </r>
  <r>
    <n v="176666"/>
    <n v="43.93"/>
    <n v="41.71"/>
    <n v="2852"/>
    <s v="Low"/>
    <s v="Families"/>
    <s v="Yes"/>
    <x v="0"/>
    <x v="2"/>
    <s v="No"/>
    <n v="125288.36"/>
    <n v="2.2199999999999989"/>
    <s v="Moderate Difference"/>
  </r>
  <r>
    <n v="193686"/>
    <n v="25.07"/>
    <n v="21.6"/>
    <n v="1899"/>
    <s v="Medium"/>
    <s v="College students"/>
    <s v="Yes"/>
    <x v="0"/>
    <x v="2"/>
    <s v="No"/>
    <n v="47607.93"/>
    <n v="3.4699999999999989"/>
    <s v="Moderate Difference"/>
  </r>
  <r>
    <n v="163610"/>
    <n v="39.369999999999997"/>
    <n v="36.119999999999997"/>
    <n v="2466"/>
    <s v="High"/>
    <s v="Families"/>
    <s v="Yes"/>
    <x v="2"/>
    <x v="2"/>
    <s v="No"/>
    <n v="97086.42"/>
    <n v="3.25"/>
    <s v="Moderate Difference"/>
  </r>
  <r>
    <n v="170364"/>
    <n v="7.88"/>
    <n v="6.55"/>
    <n v="818"/>
    <s v="Medium"/>
    <s v="College students"/>
    <s v="No"/>
    <x v="0"/>
    <x v="2"/>
    <s v="No"/>
    <n v="6445.84"/>
    <n v="1.33"/>
    <s v="Moderate Difference"/>
  </r>
  <r>
    <n v="167599"/>
    <n v="13.94"/>
    <n v="11.06"/>
    <n v="1500"/>
    <s v="Medium"/>
    <s v="Young adults"/>
    <s v="No"/>
    <x v="0"/>
    <x v="0"/>
    <s v="No"/>
    <n v="20910"/>
    <n v="2.879999999999999"/>
    <s v="Moderate Difference"/>
  </r>
  <r>
    <n v="166421"/>
    <n v="44.85"/>
    <n v="39.96"/>
    <n v="2878"/>
    <s v="High"/>
    <s v="Young adults"/>
    <s v="Yes"/>
    <x v="1"/>
    <x v="0"/>
    <s v="No"/>
    <n v="129078.3"/>
    <n v="4.8900000000000006"/>
    <s v="High Difference"/>
  </r>
  <r>
    <n v="129247"/>
    <n v="47.79"/>
    <n v="45.05"/>
    <n v="2386"/>
    <s v="Low"/>
    <s v="College students"/>
    <s v="Yes"/>
    <x v="2"/>
    <x v="1"/>
    <s v="No"/>
    <n v="114026.94"/>
    <n v="2.740000000000002"/>
    <s v="Moderate Difference"/>
  </r>
  <r>
    <n v="127314"/>
    <n v="13.34"/>
    <n v="11.51"/>
    <n v="2076"/>
    <s v="Medium"/>
    <s v="Families"/>
    <s v="Yes"/>
    <x v="1"/>
    <x v="2"/>
    <s v="Yes"/>
    <n v="27693.84"/>
    <n v="1.83"/>
    <s v="Moderate Difference"/>
  </r>
  <r>
    <n v="111979"/>
    <n v="21.28"/>
    <n v="19.52"/>
    <n v="2734"/>
    <s v="Medium"/>
    <s v="Families"/>
    <s v="No"/>
    <x v="2"/>
    <x v="2"/>
    <s v="No"/>
    <n v="58179.520000000004"/>
    <n v="1.7600000000000016"/>
    <s v="Moderate Difference"/>
  </r>
  <r>
    <n v="120354"/>
    <n v="37.15"/>
    <n v="35.979999999999997"/>
    <n v="2836"/>
    <s v="High"/>
    <s v="Seniors"/>
    <s v="Yes"/>
    <x v="0"/>
    <x v="2"/>
    <s v="No"/>
    <n v="105357.4"/>
    <n v="1.1700000000000017"/>
    <s v="Moderate Difference"/>
  </r>
  <r>
    <n v="144848"/>
    <n v="18.579999999999998"/>
    <n v="16.190000000000001"/>
    <n v="2193"/>
    <s v="Medium"/>
    <s v="College students"/>
    <s v="No"/>
    <x v="2"/>
    <x v="0"/>
    <s v="No"/>
    <n v="40745.939999999995"/>
    <n v="2.389999999999997"/>
    <s v="Moderate Difference"/>
  </r>
  <r>
    <n v="111957"/>
    <n v="37.86"/>
    <n v="33.729999999999997"/>
    <n v="2164"/>
    <s v="High"/>
    <s v="Seniors"/>
    <s v="Yes"/>
    <x v="0"/>
    <x v="2"/>
    <s v="No"/>
    <n v="81929.039999999994"/>
    <n v="4.1300000000000026"/>
    <s v="High Difference"/>
  </r>
  <r>
    <n v="160763"/>
    <n v="20.34"/>
    <n v="17.62"/>
    <n v="991"/>
    <s v="High"/>
    <s v="College students"/>
    <s v="Yes"/>
    <x v="2"/>
    <x v="1"/>
    <s v="Yes"/>
    <n v="20156.939999999999"/>
    <n v="2.7199999999999989"/>
    <s v="Moderate Difference"/>
  </r>
  <r>
    <n v="168270"/>
    <n v="37.619999999999997"/>
    <n v="37.33"/>
    <n v="1525"/>
    <s v="Medium"/>
    <s v="Young adults"/>
    <s v="Yes"/>
    <x v="1"/>
    <x v="0"/>
    <s v="Yes"/>
    <n v="57370.499999999993"/>
    <n v="0.28999999999999915"/>
    <s v="Low Difference"/>
  </r>
  <r>
    <n v="195082"/>
    <n v="16.739999999999998"/>
    <n v="14.22"/>
    <n v="923"/>
    <s v="Low"/>
    <s v="Families"/>
    <s v="No"/>
    <x v="2"/>
    <x v="1"/>
    <s v="No"/>
    <n v="15451.019999999999"/>
    <n v="2.5199999999999978"/>
    <s v="Moderate Difference"/>
  </r>
  <r>
    <n v="110329"/>
    <n v="44.11"/>
    <n v="43.31"/>
    <n v="2397"/>
    <s v="Low"/>
    <s v="College students"/>
    <s v="No"/>
    <x v="2"/>
    <x v="0"/>
    <s v="Yes"/>
    <n v="105731.67"/>
    <n v="0.79999999999999716"/>
    <s v="Low Difference"/>
  </r>
  <r>
    <n v="147449"/>
    <n v="12.89"/>
    <n v="10.18"/>
    <n v="1191"/>
    <s v="Low"/>
    <s v="Families"/>
    <s v="No"/>
    <x v="1"/>
    <x v="1"/>
    <s v="No"/>
    <n v="15351.99"/>
    <n v="2.7100000000000009"/>
    <s v="Moderate Difference"/>
  </r>
  <r>
    <n v="193332"/>
    <n v="37.729999999999997"/>
    <n v="36.700000000000003"/>
    <n v="1237"/>
    <s v="Low"/>
    <s v="College students"/>
    <s v="Yes"/>
    <x v="0"/>
    <x v="1"/>
    <s v="No"/>
    <n v="46672.009999999995"/>
    <n v="1.029999999999994"/>
    <s v="Low Difference"/>
  </r>
  <r>
    <n v="146804"/>
    <n v="14.38"/>
    <n v="11.45"/>
    <n v="1504"/>
    <s v="Medium"/>
    <s v="Families"/>
    <s v="Yes"/>
    <x v="0"/>
    <x v="2"/>
    <s v="No"/>
    <n v="21627.52"/>
    <n v="2.9300000000000015"/>
    <s v="Moderate Difference"/>
  </r>
  <r>
    <n v="188909"/>
    <n v="16.989999999999998"/>
    <n v="16.98"/>
    <n v="2863"/>
    <s v="Medium"/>
    <s v="Seniors"/>
    <s v="Yes"/>
    <x v="0"/>
    <x v="2"/>
    <s v="Yes"/>
    <n v="48642.369999999995"/>
    <n v="9.9999999999980105E-3"/>
    <s v="Low Difference"/>
  </r>
  <r>
    <n v="165910"/>
    <n v="39.26"/>
    <n v="37.799999999999997"/>
    <n v="2760"/>
    <s v="High"/>
    <s v="College students"/>
    <s v="Yes"/>
    <x v="1"/>
    <x v="0"/>
    <s v="No"/>
    <n v="108357.59999999999"/>
    <n v="1.4600000000000009"/>
    <s v="Moderate Difference"/>
  </r>
  <r>
    <n v="136738"/>
    <n v="36.520000000000003"/>
    <n v="31.9"/>
    <n v="542"/>
    <s v="Low"/>
    <s v="Seniors"/>
    <s v="No"/>
    <x v="2"/>
    <x v="1"/>
    <s v="Yes"/>
    <n v="19793.84"/>
    <n v="4.6200000000000045"/>
    <s v="High Difference"/>
  </r>
  <r>
    <n v="144497"/>
    <n v="31.39"/>
    <n v="28.18"/>
    <n v="1105"/>
    <s v="Low"/>
    <s v="Young adults"/>
    <s v="Yes"/>
    <x v="1"/>
    <x v="2"/>
    <s v="Yes"/>
    <n v="34685.949999999997"/>
    <n v="3.2100000000000009"/>
    <s v="Moderate Difference"/>
  </r>
  <r>
    <n v="135036"/>
    <n v="46.1"/>
    <n v="42.07"/>
    <n v="1435"/>
    <s v="Low"/>
    <s v="College students"/>
    <s v="Yes"/>
    <x v="1"/>
    <x v="0"/>
    <s v="No"/>
    <n v="66153.5"/>
    <n v="4.0300000000000011"/>
    <s v="High Difference"/>
  </r>
  <r>
    <n v="166331"/>
    <n v="19.28"/>
    <n v="17.22"/>
    <n v="2877"/>
    <s v="Low"/>
    <s v="Families"/>
    <s v="Yes"/>
    <x v="0"/>
    <x v="1"/>
    <s v="Yes"/>
    <n v="55468.560000000005"/>
    <n v="2.0600000000000023"/>
    <s v="Moderate Difference"/>
  </r>
  <r>
    <n v="139789"/>
    <n v="6.22"/>
    <n v="3.38"/>
    <n v="1094"/>
    <s v="High"/>
    <s v="Families"/>
    <s v="No"/>
    <x v="0"/>
    <x v="2"/>
    <s v="Yes"/>
    <n v="6804.6799999999994"/>
    <n v="2.84"/>
    <s v="Moderate Difference"/>
  </r>
  <r>
    <n v="118569"/>
    <n v="40.06"/>
    <n v="39.409999999999997"/>
    <n v="994"/>
    <s v="Medium"/>
    <s v="Young adults"/>
    <s v="No"/>
    <x v="0"/>
    <x v="0"/>
    <s v="Yes"/>
    <n v="39819.64"/>
    <n v="0.65000000000000568"/>
    <s v="Low Difference"/>
  </r>
  <r>
    <n v="155848"/>
    <n v="46.91"/>
    <n v="46.85"/>
    <n v="1942"/>
    <s v="Medium"/>
    <s v="Seniors"/>
    <s v="Yes"/>
    <x v="1"/>
    <x v="1"/>
    <s v="No"/>
    <n v="91099.219999999987"/>
    <n v="5.9999999999995168E-2"/>
    <s v="Low Difference"/>
  </r>
  <r>
    <n v="152563"/>
    <n v="42.42"/>
    <n v="40.6"/>
    <n v="2572"/>
    <s v="Low"/>
    <s v="College students"/>
    <s v="No"/>
    <x v="2"/>
    <x v="1"/>
    <s v="Yes"/>
    <n v="109104.24"/>
    <n v="1.8200000000000003"/>
    <s v="Moderate Difference"/>
  </r>
  <r>
    <n v="115153"/>
    <n v="30.55"/>
    <n v="26.84"/>
    <n v="1736"/>
    <s v="Medium"/>
    <s v="Families"/>
    <s v="No"/>
    <x v="0"/>
    <x v="1"/>
    <s v="No"/>
    <n v="53034.8"/>
    <n v="3.7100000000000009"/>
    <s v="High Difference"/>
  </r>
  <r>
    <n v="125938"/>
    <n v="39.07"/>
    <n v="37.81"/>
    <n v="1204"/>
    <s v="High"/>
    <s v="Young adults"/>
    <s v="Yes"/>
    <x v="0"/>
    <x v="0"/>
    <s v="Yes"/>
    <n v="47040.28"/>
    <n v="1.259999999999998"/>
    <s v="Moderate Difference"/>
  </r>
  <r>
    <n v="122809"/>
    <n v="47.47"/>
    <n v="43.47"/>
    <n v="1592"/>
    <s v="High"/>
    <s v="Young adults"/>
    <s v="No"/>
    <x v="1"/>
    <x v="0"/>
    <s v="Yes"/>
    <n v="75572.240000000005"/>
    <n v="4"/>
    <s v="High Difference"/>
  </r>
  <r>
    <n v="181502"/>
    <n v="10.83"/>
    <n v="8.48"/>
    <n v="2591"/>
    <s v="High"/>
    <s v="Young adults"/>
    <s v="Yes"/>
    <x v="2"/>
    <x v="1"/>
    <s v="No"/>
    <n v="28060.53"/>
    <n v="2.3499999999999996"/>
    <s v="Moderate Difference"/>
  </r>
  <r>
    <n v="182779"/>
    <n v="7.27"/>
    <n v="4.93"/>
    <n v="2097"/>
    <s v="Low"/>
    <s v="Young adults"/>
    <s v="Yes"/>
    <x v="1"/>
    <x v="2"/>
    <s v="Yes"/>
    <n v="15245.189999999999"/>
    <n v="2.34"/>
    <s v="Moderate Difference"/>
  </r>
  <r>
    <n v="155674"/>
    <n v="16.91"/>
    <n v="14.52"/>
    <n v="897"/>
    <s v="Low"/>
    <s v="Families"/>
    <s v="No"/>
    <x v="2"/>
    <x v="0"/>
    <s v="No"/>
    <n v="15168.27"/>
    <n v="2.3900000000000006"/>
    <s v="Moderate Difference"/>
  </r>
  <r>
    <n v="182866"/>
    <n v="41.95"/>
    <n v="40.42"/>
    <n v="1552"/>
    <s v="High"/>
    <s v="Seniors"/>
    <s v="No"/>
    <x v="0"/>
    <x v="0"/>
    <s v="Yes"/>
    <n v="65106.400000000001"/>
    <n v="1.5300000000000011"/>
    <s v="Moderate Difference"/>
  </r>
  <r>
    <n v="148230"/>
    <n v="49.98"/>
    <n v="45.42"/>
    <n v="2494"/>
    <s v="Medium"/>
    <s v="Young adults"/>
    <s v="Yes"/>
    <x v="2"/>
    <x v="0"/>
    <s v="No"/>
    <n v="124650.12"/>
    <n v="4.5599999999999952"/>
    <s v="High Difference"/>
  </r>
  <r>
    <n v="126979"/>
    <n v="30.53"/>
    <n v="30.01"/>
    <n v="2141"/>
    <s v="High"/>
    <s v="Seniors"/>
    <s v="No"/>
    <x v="2"/>
    <x v="0"/>
    <s v="No"/>
    <n v="65364.73"/>
    <n v="0.51999999999999957"/>
    <s v="Low Difference"/>
  </r>
  <r>
    <n v="135521"/>
    <n v="5.38"/>
    <n v="1.63"/>
    <n v="2835"/>
    <s v="Medium"/>
    <s v="Young adults"/>
    <s v="No"/>
    <x v="1"/>
    <x v="1"/>
    <s v="Yes"/>
    <n v="15252.3"/>
    <n v="3.75"/>
    <s v="High Difference"/>
  </r>
  <r>
    <n v="185809"/>
    <n v="47.3"/>
    <n v="46.34"/>
    <n v="622"/>
    <s v="High"/>
    <s v="Families"/>
    <s v="No"/>
    <x v="1"/>
    <x v="1"/>
    <s v="No"/>
    <n v="29420.6"/>
    <n v="0.95999999999999375"/>
    <s v="Low Difference"/>
  </r>
  <r>
    <n v="171520"/>
    <n v="30.02"/>
    <n v="28.02"/>
    <n v="2901"/>
    <s v="Low"/>
    <s v="Families"/>
    <s v="Yes"/>
    <x v="1"/>
    <x v="1"/>
    <s v="Yes"/>
    <n v="87088.02"/>
    <n v="2"/>
    <s v="Moderate Difference"/>
  </r>
  <r>
    <n v="122926"/>
    <n v="31.05"/>
    <n v="27.1"/>
    <n v="867"/>
    <s v="Low"/>
    <s v="Young adults"/>
    <s v="No"/>
    <x v="1"/>
    <x v="2"/>
    <s v="No"/>
    <n v="26920.350000000002"/>
    <n v="3.9499999999999993"/>
    <s v="High Difference"/>
  </r>
  <r>
    <n v="150953"/>
    <n v="48.14"/>
    <n v="47.6"/>
    <n v="2434"/>
    <s v="Low"/>
    <s v="Young adults"/>
    <s v="Yes"/>
    <x v="2"/>
    <x v="2"/>
    <s v="Yes"/>
    <n v="117172.76"/>
    <n v="0.53999999999999915"/>
    <s v="Low Difference"/>
  </r>
  <r>
    <n v="115873"/>
    <n v="43.99"/>
    <n v="39.08"/>
    <n v="2606"/>
    <s v="High"/>
    <s v="Seniors"/>
    <s v="Yes"/>
    <x v="1"/>
    <x v="1"/>
    <s v="Yes"/>
    <n v="114637.94"/>
    <n v="4.9100000000000037"/>
    <s v="High Difference"/>
  </r>
  <r>
    <n v="115581"/>
    <n v="48.63"/>
    <n v="46.11"/>
    <n v="2728"/>
    <s v="Medium"/>
    <s v="College students"/>
    <s v="No"/>
    <x v="0"/>
    <x v="0"/>
    <s v="Yes"/>
    <n v="132662.64000000001"/>
    <n v="2.5200000000000031"/>
    <s v="Moderate Difference"/>
  </r>
  <r>
    <n v="183634"/>
    <n v="25.95"/>
    <n v="21.98"/>
    <n v="2778"/>
    <s v="Medium"/>
    <s v="Seniors"/>
    <s v="Yes"/>
    <x v="2"/>
    <x v="0"/>
    <s v="Yes"/>
    <n v="72089.099999999991"/>
    <n v="3.9699999999999989"/>
    <s v="High Difference"/>
  </r>
  <r>
    <n v="122484"/>
    <n v="21.73"/>
    <n v="16.98"/>
    <n v="558"/>
    <s v="High"/>
    <s v="College students"/>
    <s v="Yes"/>
    <x v="0"/>
    <x v="2"/>
    <s v="Yes"/>
    <n v="12125.34"/>
    <n v="4.75"/>
    <s v="High Difference"/>
  </r>
  <r>
    <n v="183574"/>
    <n v="19"/>
    <n v="14.94"/>
    <n v="1752"/>
    <s v="High"/>
    <s v="College students"/>
    <s v="Yes"/>
    <x v="0"/>
    <x v="1"/>
    <s v="Yes"/>
    <n v="33288"/>
    <n v="4.0600000000000005"/>
    <s v="High Difference"/>
  </r>
  <r>
    <n v="185307"/>
    <n v="41.4"/>
    <n v="39.950000000000003"/>
    <n v="2743"/>
    <s v="High"/>
    <s v="Families"/>
    <s v="No"/>
    <x v="2"/>
    <x v="0"/>
    <s v="Yes"/>
    <n v="113560.2"/>
    <n v="1.4499999999999957"/>
    <s v="Moderate Difference"/>
  </r>
  <r>
    <n v="118719"/>
    <n v="31.62"/>
    <n v="27.6"/>
    <n v="1669"/>
    <s v="Medium"/>
    <s v="College students"/>
    <s v="No"/>
    <x v="1"/>
    <x v="2"/>
    <s v="Yes"/>
    <n v="52773.78"/>
    <n v="4.0199999999999996"/>
    <s v="High Difference"/>
  </r>
  <r>
    <n v="134788"/>
    <n v="36.11"/>
    <n v="34.17"/>
    <n v="2179"/>
    <s v="High"/>
    <s v="College students"/>
    <s v="No"/>
    <x v="2"/>
    <x v="2"/>
    <s v="No"/>
    <n v="78683.69"/>
    <n v="1.9399999999999977"/>
    <s v="Moderate Difference"/>
  </r>
  <r>
    <n v="140142"/>
    <n v="14.5"/>
    <n v="13.62"/>
    <n v="606"/>
    <s v="Medium"/>
    <s v="Young adults"/>
    <s v="Yes"/>
    <x v="2"/>
    <x v="2"/>
    <s v="No"/>
    <n v="8787"/>
    <n v="0.88000000000000078"/>
    <s v="Low Difference"/>
  </r>
  <r>
    <n v="153997"/>
    <n v="15.27"/>
    <n v="14.61"/>
    <n v="1608"/>
    <s v="High"/>
    <s v="College students"/>
    <s v="No"/>
    <x v="1"/>
    <x v="1"/>
    <s v="Yes"/>
    <n v="24554.16"/>
    <n v="0.66000000000000014"/>
    <s v="Low Difference"/>
  </r>
  <r>
    <n v="123230"/>
    <n v="16.59"/>
    <n v="13.03"/>
    <n v="880"/>
    <s v="Medium"/>
    <s v="Young adults"/>
    <s v="No"/>
    <x v="0"/>
    <x v="0"/>
    <s v="Yes"/>
    <n v="14599.2"/>
    <n v="3.5600000000000005"/>
    <s v="Moderate Difference"/>
  </r>
  <r>
    <n v="154676"/>
    <n v="26.04"/>
    <n v="23.26"/>
    <n v="943"/>
    <s v="Low"/>
    <s v="College students"/>
    <s v="No"/>
    <x v="0"/>
    <x v="1"/>
    <s v="No"/>
    <n v="24555.719999999998"/>
    <n v="2.7799999999999976"/>
    <s v="Moderate Difference"/>
  </r>
  <r>
    <n v="152985"/>
    <n v="6.25"/>
    <n v="2.86"/>
    <n v="1049"/>
    <s v="Medium"/>
    <s v="Seniors"/>
    <s v="Yes"/>
    <x v="0"/>
    <x v="0"/>
    <s v="Yes"/>
    <n v="6556.25"/>
    <n v="3.39"/>
    <s v="Moderate Difference"/>
  </r>
  <r>
    <n v="175584"/>
    <n v="10.57"/>
    <n v="8.5399999999999991"/>
    <n v="2084"/>
    <s v="Low"/>
    <s v="Young adults"/>
    <s v="No"/>
    <x v="2"/>
    <x v="0"/>
    <s v="No"/>
    <n v="22027.88"/>
    <n v="2.0300000000000011"/>
    <s v="Moderate Difference"/>
  </r>
  <r>
    <n v="147491"/>
    <n v="20.09"/>
    <n v="19.82"/>
    <n v="1563"/>
    <s v="Medium"/>
    <s v="College students"/>
    <s v="No"/>
    <x v="1"/>
    <x v="0"/>
    <s v="No"/>
    <n v="31400.67"/>
    <n v="0.26999999999999957"/>
    <s v="Low Difference"/>
  </r>
  <r>
    <n v="198283"/>
    <n v="25.15"/>
    <n v="20.84"/>
    <n v="1558"/>
    <s v="Medium"/>
    <s v="Seniors"/>
    <s v="Yes"/>
    <x v="1"/>
    <x v="2"/>
    <s v="Yes"/>
    <n v="39183.699999999997"/>
    <n v="4.3099999999999987"/>
    <s v="High Difference"/>
  </r>
  <r>
    <n v="141547"/>
    <n v="23.27"/>
    <n v="19.05"/>
    <n v="1426"/>
    <s v="High"/>
    <s v="Families"/>
    <s v="No"/>
    <x v="1"/>
    <x v="2"/>
    <s v="No"/>
    <n v="33183.019999999997"/>
    <n v="4.2199999999999989"/>
    <s v="High Difference"/>
  </r>
  <r>
    <n v="156342"/>
    <n v="38.94"/>
    <n v="37.619999999999997"/>
    <n v="1466"/>
    <s v="High"/>
    <s v="Seniors"/>
    <s v="Yes"/>
    <x v="2"/>
    <x v="2"/>
    <s v="Yes"/>
    <n v="57086.039999999994"/>
    <n v="1.3200000000000003"/>
    <s v="Moderate Difference"/>
  </r>
  <r>
    <n v="186083"/>
    <n v="28.87"/>
    <n v="28.36"/>
    <n v="624"/>
    <s v="Low"/>
    <s v="Seniors"/>
    <s v="No"/>
    <x v="1"/>
    <x v="2"/>
    <s v="Yes"/>
    <n v="18014.88"/>
    <n v="0.51000000000000156"/>
    <s v="Low Difference"/>
  </r>
  <r>
    <n v="171776"/>
    <n v="34.06"/>
    <n v="31.39"/>
    <n v="1685"/>
    <s v="Medium"/>
    <s v="College students"/>
    <s v="Yes"/>
    <x v="0"/>
    <x v="2"/>
    <s v="No"/>
    <n v="57391.100000000006"/>
    <n v="2.6700000000000017"/>
    <s v="Moderate Difference"/>
  </r>
  <r>
    <n v="134429"/>
    <n v="40.01"/>
    <n v="37.93"/>
    <n v="2914"/>
    <s v="High"/>
    <s v="Seniors"/>
    <s v="No"/>
    <x v="0"/>
    <x v="2"/>
    <s v="No"/>
    <n v="116589.14"/>
    <n v="2.0799999999999983"/>
    <s v="Moderate Difference"/>
  </r>
  <r>
    <n v="172816"/>
    <n v="14.36"/>
    <n v="12.26"/>
    <n v="1524"/>
    <s v="Medium"/>
    <s v="Seniors"/>
    <s v="No"/>
    <x v="0"/>
    <x v="2"/>
    <s v="Yes"/>
    <n v="21884.639999999999"/>
    <n v="2.0999999999999996"/>
    <s v="Moderate Difference"/>
  </r>
  <r>
    <n v="136272"/>
    <n v="28.47"/>
    <n v="25.9"/>
    <n v="2887"/>
    <s v="Low"/>
    <s v="Young adults"/>
    <s v="No"/>
    <x v="1"/>
    <x v="0"/>
    <s v="Yes"/>
    <n v="82192.89"/>
    <n v="2.5700000000000003"/>
    <s v="Moderate Difference"/>
  </r>
  <r>
    <n v="193227"/>
    <n v="40.47"/>
    <n v="39.26"/>
    <n v="1778"/>
    <s v="Low"/>
    <s v="Seniors"/>
    <s v="Yes"/>
    <x v="1"/>
    <x v="1"/>
    <s v="Yes"/>
    <n v="71955.66"/>
    <n v="1.2100000000000009"/>
    <s v="Moderate Difference"/>
  </r>
  <r>
    <n v="165786"/>
    <n v="18.03"/>
    <n v="13.4"/>
    <n v="1278"/>
    <s v="High"/>
    <s v="Families"/>
    <s v="No"/>
    <x v="1"/>
    <x v="1"/>
    <s v="Yes"/>
    <n v="23042.34"/>
    <n v="4.6300000000000008"/>
    <s v="High Difference"/>
  </r>
  <r>
    <n v="174708"/>
    <n v="21.75"/>
    <n v="17.579999999999998"/>
    <n v="529"/>
    <s v="High"/>
    <s v="College students"/>
    <s v="No"/>
    <x v="2"/>
    <x v="2"/>
    <s v="Yes"/>
    <n v="11505.75"/>
    <n v="4.1700000000000017"/>
    <s v="High Difference"/>
  </r>
  <r>
    <n v="142257"/>
    <n v="21.7"/>
    <n v="18.91"/>
    <n v="1180"/>
    <s v="Medium"/>
    <s v="Seniors"/>
    <s v="Yes"/>
    <x v="0"/>
    <x v="0"/>
    <s v="Yes"/>
    <n v="25606"/>
    <n v="2.7899999999999991"/>
    <s v="Moderate Difference"/>
  </r>
  <r>
    <n v="126146"/>
    <n v="34.72"/>
    <n v="32.729999999999997"/>
    <n v="2759"/>
    <s v="High"/>
    <s v="Seniors"/>
    <s v="No"/>
    <x v="0"/>
    <x v="1"/>
    <s v="No"/>
    <n v="95792.48"/>
    <n v="1.990000000000002"/>
    <s v="Moderate Difference"/>
  </r>
  <r>
    <n v="129134"/>
    <n v="23.29"/>
    <n v="22.91"/>
    <n v="1831"/>
    <s v="Medium"/>
    <s v="College students"/>
    <s v="No"/>
    <x v="0"/>
    <x v="2"/>
    <s v="Yes"/>
    <n v="42643.99"/>
    <n v="0.37999999999999901"/>
    <s v="Low Difference"/>
  </r>
  <r>
    <n v="129898"/>
    <n v="10.33"/>
    <n v="6.98"/>
    <n v="1866"/>
    <s v="Low"/>
    <s v="Seniors"/>
    <s v="No"/>
    <x v="1"/>
    <x v="1"/>
    <s v="No"/>
    <n v="19275.78"/>
    <n v="3.3499999999999996"/>
    <s v="Moderate Difference"/>
  </r>
  <r>
    <n v="189692"/>
    <n v="14.58"/>
    <n v="12.26"/>
    <n v="1553"/>
    <s v="Low"/>
    <s v="College students"/>
    <s v="Yes"/>
    <x v="1"/>
    <x v="2"/>
    <s v="No"/>
    <n v="22642.74"/>
    <n v="2.3200000000000003"/>
    <s v="Moderate Difference"/>
  </r>
  <r>
    <n v="154846"/>
    <n v="35.78"/>
    <n v="35.35"/>
    <n v="917"/>
    <s v="Low"/>
    <s v="Families"/>
    <s v="Yes"/>
    <x v="1"/>
    <x v="1"/>
    <s v="No"/>
    <n v="32810.26"/>
    <n v="0.42999999999999972"/>
    <s v="Low Difference"/>
  </r>
  <r>
    <n v="122307"/>
    <n v="32.92"/>
    <n v="31.62"/>
    <n v="702"/>
    <s v="Low"/>
    <s v="Seniors"/>
    <s v="No"/>
    <x v="1"/>
    <x v="0"/>
    <s v="No"/>
    <n v="23109.84"/>
    <n v="1.3000000000000007"/>
    <s v="Moderate Difference"/>
  </r>
  <r>
    <n v="182099"/>
    <n v="35.29"/>
    <n v="31.65"/>
    <n v="1978"/>
    <s v="Low"/>
    <s v="Families"/>
    <s v="Yes"/>
    <x v="0"/>
    <x v="2"/>
    <s v="No"/>
    <n v="69803.62"/>
    <n v="3.6400000000000006"/>
    <s v="Moderate Difference"/>
  </r>
  <r>
    <n v="159816"/>
    <n v="34.76"/>
    <n v="31.95"/>
    <n v="1961"/>
    <s v="Medium"/>
    <s v="College students"/>
    <s v="No"/>
    <x v="2"/>
    <x v="1"/>
    <s v="Yes"/>
    <n v="68164.36"/>
    <n v="2.8099999999999987"/>
    <s v="Moderate Difference"/>
  </r>
  <r>
    <n v="165326"/>
    <n v="8.86"/>
    <n v="3.91"/>
    <n v="1188"/>
    <s v="Medium"/>
    <s v="Young adults"/>
    <s v="No"/>
    <x v="0"/>
    <x v="0"/>
    <s v="No"/>
    <n v="10525.679999999998"/>
    <n v="4.9499999999999993"/>
    <s v="High Difference"/>
  </r>
  <r>
    <n v="185154"/>
    <n v="24.95"/>
    <n v="20.84"/>
    <n v="996"/>
    <s v="High"/>
    <s v="Young adults"/>
    <s v="Yes"/>
    <x v="0"/>
    <x v="2"/>
    <s v="No"/>
    <n v="24850.2"/>
    <n v="4.1099999999999994"/>
    <s v="High Difference"/>
  </r>
  <r>
    <n v="141330"/>
    <n v="46.1"/>
    <n v="45.49"/>
    <n v="1915"/>
    <s v="High"/>
    <s v="Seniors"/>
    <s v="No"/>
    <x v="0"/>
    <x v="0"/>
    <s v="Yes"/>
    <n v="88281.5"/>
    <n v="0.60999999999999943"/>
    <s v="Low Difference"/>
  </r>
  <r>
    <n v="158958"/>
    <n v="5.62"/>
    <n v="2.52"/>
    <n v="903"/>
    <s v="High"/>
    <s v="Young adults"/>
    <s v="No"/>
    <x v="1"/>
    <x v="0"/>
    <s v="No"/>
    <n v="5074.8599999999997"/>
    <n v="3.1"/>
    <s v="Moderate Difference"/>
  </r>
  <r>
    <n v="155010"/>
    <n v="45.12"/>
    <n v="42.21"/>
    <n v="729"/>
    <s v="Medium"/>
    <s v="Families"/>
    <s v="Yes"/>
    <x v="0"/>
    <x v="1"/>
    <s v="Yes"/>
    <n v="32892.479999999996"/>
    <n v="2.9099999999999966"/>
    <s v="Moderate Difference"/>
  </r>
  <r>
    <n v="135857"/>
    <n v="36.020000000000003"/>
    <n v="34.82"/>
    <n v="2045"/>
    <s v="Medium"/>
    <s v="Young adults"/>
    <s v="No"/>
    <x v="0"/>
    <x v="1"/>
    <s v="Yes"/>
    <n v="73660.900000000009"/>
    <n v="1.2000000000000028"/>
    <s v="Moderate Difference"/>
  </r>
  <r>
    <n v="147690"/>
    <n v="20.14"/>
    <n v="16.600000000000001"/>
    <n v="881"/>
    <s v="High"/>
    <s v="Families"/>
    <s v="Yes"/>
    <x v="0"/>
    <x v="2"/>
    <s v="No"/>
    <n v="17743.34"/>
    <n v="3.5399999999999991"/>
    <s v="Moderate Difference"/>
  </r>
  <r>
    <n v="130321"/>
    <n v="24.71"/>
    <n v="23.07"/>
    <n v="2093"/>
    <s v="Low"/>
    <s v="College students"/>
    <s v="Yes"/>
    <x v="1"/>
    <x v="0"/>
    <s v="No"/>
    <n v="51718.03"/>
    <n v="1.6400000000000006"/>
    <s v="Moderate Difference"/>
  </r>
  <r>
    <n v="196752"/>
    <n v="17.3"/>
    <n v="15.83"/>
    <n v="2227"/>
    <s v="Medium"/>
    <s v="College students"/>
    <s v="No"/>
    <x v="1"/>
    <x v="0"/>
    <s v="No"/>
    <n v="38527.1"/>
    <n v="1.4700000000000006"/>
    <s v="Moderate Difference"/>
  </r>
  <r>
    <n v="181011"/>
    <n v="8.9"/>
    <n v="4.0599999999999996"/>
    <n v="994"/>
    <s v="High"/>
    <s v="Seniors"/>
    <s v="Yes"/>
    <x v="0"/>
    <x v="2"/>
    <s v="Yes"/>
    <n v="8846.6"/>
    <n v="4.8400000000000007"/>
    <s v="High Difference"/>
  </r>
  <r>
    <n v="139967"/>
    <n v="28.7"/>
    <n v="24.82"/>
    <n v="2634"/>
    <s v="High"/>
    <s v="College students"/>
    <s v="No"/>
    <x v="1"/>
    <x v="1"/>
    <s v="No"/>
    <n v="75595.8"/>
    <n v="3.879999999999999"/>
    <s v="High Difference"/>
  </r>
  <r>
    <n v="162699"/>
    <n v="49.58"/>
    <n v="47.36"/>
    <n v="2732"/>
    <s v="High"/>
    <s v="Young adults"/>
    <s v="No"/>
    <x v="1"/>
    <x v="1"/>
    <s v="Yes"/>
    <n v="135452.56"/>
    <n v="2.2199999999999989"/>
    <s v="Moderate Difference"/>
  </r>
  <r>
    <n v="119044"/>
    <n v="36.67"/>
    <n v="32.79"/>
    <n v="1140"/>
    <s v="High"/>
    <s v="College students"/>
    <s v="No"/>
    <x v="0"/>
    <x v="2"/>
    <s v="Yes"/>
    <n v="41803.800000000003"/>
    <n v="3.8800000000000026"/>
    <s v="High Difference"/>
  </r>
  <r>
    <n v="121348"/>
    <n v="32.06"/>
    <n v="29"/>
    <n v="1008"/>
    <s v="High"/>
    <s v="Seniors"/>
    <s v="No"/>
    <x v="1"/>
    <x v="1"/>
    <s v="Yes"/>
    <n v="32316.480000000003"/>
    <n v="3.0600000000000023"/>
    <s v="Moderate Difference"/>
  </r>
  <r>
    <n v="163982"/>
    <n v="17.2"/>
    <n v="12.21"/>
    <n v="2685"/>
    <s v="Medium"/>
    <s v="Families"/>
    <s v="No"/>
    <x v="2"/>
    <x v="0"/>
    <s v="No"/>
    <n v="46182"/>
    <n v="4.9899999999999984"/>
    <s v="High Difference"/>
  </r>
  <r>
    <n v="185774"/>
    <n v="7.33"/>
    <n v="2.63"/>
    <n v="1145"/>
    <s v="High"/>
    <s v="College students"/>
    <s v="Yes"/>
    <x v="1"/>
    <x v="0"/>
    <s v="Yes"/>
    <n v="8392.85"/>
    <n v="4.7"/>
    <s v="High Difference"/>
  </r>
  <r>
    <n v="144651"/>
    <n v="31.45"/>
    <n v="31.4"/>
    <n v="1791"/>
    <s v="High"/>
    <s v="Families"/>
    <s v="Yes"/>
    <x v="0"/>
    <x v="0"/>
    <s v="No"/>
    <n v="56326.95"/>
    <n v="5.0000000000000711E-2"/>
    <s v="Low Difference"/>
  </r>
  <r>
    <n v="195103"/>
    <n v="41.79"/>
    <n v="41.5"/>
    <n v="2849"/>
    <s v="High"/>
    <s v="Families"/>
    <s v="Yes"/>
    <x v="0"/>
    <x v="2"/>
    <s v="No"/>
    <n v="119059.70999999999"/>
    <n v="0.28999999999999915"/>
    <s v="Low Difference"/>
  </r>
  <r>
    <n v="123047"/>
    <n v="9.8800000000000008"/>
    <n v="6.03"/>
    <n v="2985"/>
    <s v="Low"/>
    <s v="Seniors"/>
    <s v="No"/>
    <x v="0"/>
    <x v="2"/>
    <s v="Yes"/>
    <n v="29491.800000000003"/>
    <n v="3.8500000000000005"/>
    <s v="High Difference"/>
  </r>
  <r>
    <n v="123077"/>
    <n v="16.27"/>
    <n v="13.48"/>
    <n v="1603"/>
    <s v="Medium"/>
    <s v="Young adults"/>
    <s v="No"/>
    <x v="2"/>
    <x v="1"/>
    <s v="No"/>
    <n v="26080.809999999998"/>
    <n v="2.7899999999999991"/>
    <s v="Moderate Difference"/>
  </r>
  <r>
    <n v="171860"/>
    <n v="43.18"/>
    <n v="39.47"/>
    <n v="707"/>
    <s v="High"/>
    <s v="Young adults"/>
    <s v="Yes"/>
    <x v="0"/>
    <x v="1"/>
    <s v="No"/>
    <n v="30528.26"/>
    <n v="3.7100000000000009"/>
    <s v="High Difference"/>
  </r>
  <r>
    <n v="149487"/>
    <n v="25.54"/>
    <n v="20.91"/>
    <n v="1258"/>
    <s v="High"/>
    <s v="Families"/>
    <s v="No"/>
    <x v="0"/>
    <x v="0"/>
    <s v="Yes"/>
    <n v="32129.32"/>
    <n v="4.629999999999999"/>
    <s v="High Difference"/>
  </r>
  <r>
    <n v="168516"/>
    <n v="17.09"/>
    <n v="14.13"/>
    <n v="2168"/>
    <s v="Medium"/>
    <s v="College students"/>
    <s v="Yes"/>
    <x v="2"/>
    <x v="0"/>
    <s v="No"/>
    <n v="37051.120000000003"/>
    <n v="2.9599999999999991"/>
    <s v="Moderate Difference"/>
  </r>
  <r>
    <n v="177771"/>
    <n v="37.72"/>
    <n v="36.32"/>
    <n v="1764"/>
    <s v="Low"/>
    <s v="Young adults"/>
    <s v="Yes"/>
    <x v="1"/>
    <x v="1"/>
    <s v="Yes"/>
    <n v="66538.080000000002"/>
    <n v="1.3999999999999986"/>
    <s v="Moderate Difference"/>
  </r>
  <r>
    <n v="172015"/>
    <n v="33.93"/>
    <n v="30.5"/>
    <n v="2622"/>
    <s v="Medium"/>
    <s v="College students"/>
    <s v="Yes"/>
    <x v="1"/>
    <x v="1"/>
    <s v="Yes"/>
    <n v="88964.46"/>
    <n v="3.4299999999999997"/>
    <s v="Moderate Difference"/>
  </r>
  <r>
    <n v="118985"/>
    <n v="49.12"/>
    <n v="48.16"/>
    <n v="694"/>
    <s v="Medium"/>
    <s v="Young adults"/>
    <s v="No"/>
    <x v="0"/>
    <x v="0"/>
    <s v="Yes"/>
    <n v="34089.279999999999"/>
    <n v="0.96000000000000085"/>
    <s v="Low Difference"/>
  </r>
  <r>
    <n v="112194"/>
    <n v="14.02"/>
    <n v="10.78"/>
    <n v="2187"/>
    <s v="High"/>
    <s v="Young adults"/>
    <s v="Yes"/>
    <x v="0"/>
    <x v="2"/>
    <s v="Yes"/>
    <n v="30661.739999999998"/>
    <n v="3.24"/>
    <s v="Moderate Difference"/>
  </r>
  <r>
    <n v="113435"/>
    <n v="6.72"/>
    <n v="3.47"/>
    <n v="2973"/>
    <s v="Low"/>
    <s v="Seniors"/>
    <s v="No"/>
    <x v="0"/>
    <x v="2"/>
    <s v="Yes"/>
    <n v="19978.559999999998"/>
    <n v="3.2499999999999996"/>
    <s v="Moderate Difference"/>
  </r>
  <r>
    <n v="159182"/>
    <n v="8.5500000000000007"/>
    <n v="4.4400000000000004"/>
    <n v="1014"/>
    <s v="Medium"/>
    <s v="Young adults"/>
    <s v="Yes"/>
    <x v="2"/>
    <x v="1"/>
    <s v="No"/>
    <n v="8669.7000000000007"/>
    <n v="4.1100000000000003"/>
    <s v="High Difference"/>
  </r>
  <r>
    <n v="199233"/>
    <n v="13.99"/>
    <n v="13.2"/>
    <n v="2222"/>
    <s v="Low"/>
    <s v="Families"/>
    <s v="Yes"/>
    <x v="0"/>
    <x v="0"/>
    <s v="No"/>
    <n v="31085.78"/>
    <n v="0.79000000000000092"/>
    <s v="Low Difference"/>
  </r>
  <r>
    <n v="137044"/>
    <n v="46.2"/>
    <n v="45.42"/>
    <n v="2534"/>
    <s v="Low"/>
    <s v="Seniors"/>
    <s v="No"/>
    <x v="0"/>
    <x v="1"/>
    <s v="Yes"/>
    <n v="117070.8"/>
    <n v="0.78000000000000114"/>
    <s v="Low Difference"/>
  </r>
  <r>
    <n v="154736"/>
    <n v="9.2799999999999994"/>
    <n v="7.91"/>
    <n v="1466"/>
    <s v="Medium"/>
    <s v="Families"/>
    <s v="Yes"/>
    <x v="2"/>
    <x v="2"/>
    <s v="Yes"/>
    <n v="13604.48"/>
    <n v="1.3699999999999992"/>
    <s v="Moderate Difference"/>
  </r>
  <r>
    <n v="141434"/>
    <n v="46.6"/>
    <n v="45.81"/>
    <n v="2870"/>
    <s v="Low"/>
    <s v="Families"/>
    <s v="No"/>
    <x v="2"/>
    <x v="0"/>
    <s v="Yes"/>
    <n v="133742"/>
    <n v="0.78999999999999915"/>
    <s v="Low Difference"/>
  </r>
  <r>
    <n v="155659"/>
    <n v="47.38"/>
    <n v="42.54"/>
    <n v="2654"/>
    <s v="Medium"/>
    <s v="Seniors"/>
    <s v="Yes"/>
    <x v="0"/>
    <x v="2"/>
    <s v="Yes"/>
    <n v="125746.52"/>
    <n v="4.8400000000000034"/>
    <s v="High Difference"/>
  </r>
  <r>
    <n v="168643"/>
    <n v="33.26"/>
    <n v="32.47"/>
    <n v="2166"/>
    <s v="High"/>
    <s v="Seniors"/>
    <s v="No"/>
    <x v="1"/>
    <x v="2"/>
    <s v="No"/>
    <n v="72041.159999999989"/>
    <n v="0.78999999999999915"/>
    <s v="Low Difference"/>
  </r>
  <r>
    <n v="175357"/>
    <n v="23.04"/>
    <n v="20.07"/>
    <n v="867"/>
    <s v="Medium"/>
    <s v="Families"/>
    <s v="No"/>
    <x v="1"/>
    <x v="0"/>
    <s v="Yes"/>
    <n v="19975.68"/>
    <n v="2.9699999999999989"/>
    <s v="Moderate Difference"/>
  </r>
  <r>
    <n v="137530"/>
    <n v="45.45"/>
    <n v="41.12"/>
    <n v="1522"/>
    <s v="Medium"/>
    <s v="College students"/>
    <s v="No"/>
    <x v="2"/>
    <x v="2"/>
    <s v="No"/>
    <n v="69174.900000000009"/>
    <n v="4.3300000000000054"/>
    <s v="High Difference"/>
  </r>
  <r>
    <n v="153482"/>
    <n v="39.56"/>
    <n v="36.33"/>
    <n v="2969"/>
    <s v="Low"/>
    <s v="Young adults"/>
    <s v="Yes"/>
    <x v="0"/>
    <x v="1"/>
    <s v="No"/>
    <n v="117453.64000000001"/>
    <n v="3.230000000000004"/>
    <s v="Moderate Difference"/>
  </r>
  <r>
    <n v="112593"/>
    <n v="41.98"/>
    <n v="41.17"/>
    <n v="2651"/>
    <s v="Medium"/>
    <s v="Young adults"/>
    <s v="No"/>
    <x v="0"/>
    <x v="2"/>
    <s v="Yes"/>
    <n v="111288.98"/>
    <n v="0.80999999999999517"/>
    <s v="Low Difference"/>
  </r>
  <r>
    <n v="110241"/>
    <n v="28.62"/>
    <n v="27"/>
    <n v="2353"/>
    <s v="Low"/>
    <s v="College students"/>
    <s v="No"/>
    <x v="1"/>
    <x v="1"/>
    <s v="No"/>
    <n v="67342.86"/>
    <n v="1.620000000000001"/>
    <s v="Moderate Difference"/>
  </r>
  <r>
    <n v="144970"/>
    <n v="44.16"/>
    <n v="40.380000000000003"/>
    <n v="1461"/>
    <s v="High"/>
    <s v="Families"/>
    <s v="No"/>
    <x v="2"/>
    <x v="2"/>
    <s v="Yes"/>
    <n v="64517.759999999995"/>
    <n v="3.779999999999994"/>
    <s v="High Difference"/>
  </r>
  <r>
    <n v="114822"/>
    <n v="17.98"/>
    <n v="16.78"/>
    <n v="1698"/>
    <s v="Low"/>
    <s v="Young adults"/>
    <s v="Yes"/>
    <x v="2"/>
    <x v="1"/>
    <s v="No"/>
    <n v="30530.04"/>
    <n v="1.1999999999999993"/>
    <s v="Moderate Difference"/>
  </r>
  <r>
    <n v="153452"/>
    <n v="34.49"/>
    <n v="31.14"/>
    <n v="1563"/>
    <s v="Medium"/>
    <s v="College students"/>
    <s v="Yes"/>
    <x v="2"/>
    <x v="1"/>
    <s v="Yes"/>
    <n v="53907.87"/>
    <n v="3.3500000000000014"/>
    <s v="Moderate Difference"/>
  </r>
  <r>
    <n v="144264"/>
    <n v="14.56"/>
    <n v="11.4"/>
    <n v="2516"/>
    <s v="Low"/>
    <s v="Families"/>
    <s v="Yes"/>
    <x v="1"/>
    <x v="1"/>
    <s v="Yes"/>
    <n v="36632.959999999999"/>
    <n v="3.16"/>
    <s v="Moderate Difference"/>
  </r>
  <r>
    <n v="128749"/>
    <n v="44.71"/>
    <n v="42.78"/>
    <n v="1061"/>
    <s v="Medium"/>
    <s v="Seniors"/>
    <s v="Yes"/>
    <x v="2"/>
    <x v="2"/>
    <s v="No"/>
    <n v="47437.31"/>
    <n v="1.9299999999999997"/>
    <s v="Moderate Difference"/>
  </r>
  <r>
    <n v="147955"/>
    <n v="19.47"/>
    <n v="14.6"/>
    <n v="1898"/>
    <s v="Medium"/>
    <s v="College students"/>
    <s v="No"/>
    <x v="1"/>
    <x v="2"/>
    <s v="Yes"/>
    <n v="36954.06"/>
    <n v="4.8699999999999992"/>
    <s v="High Difference"/>
  </r>
  <r>
    <n v="142210"/>
    <n v="42.69"/>
    <n v="38.51"/>
    <n v="1959"/>
    <s v="High"/>
    <s v="Families"/>
    <s v="Yes"/>
    <x v="2"/>
    <x v="0"/>
    <s v="No"/>
    <n v="83629.709999999992"/>
    <n v="4.18"/>
    <s v="High Difference"/>
  </r>
  <r>
    <n v="110696"/>
    <n v="33.200000000000003"/>
    <n v="32.630000000000003"/>
    <n v="2630"/>
    <s v="High"/>
    <s v="Families"/>
    <s v="No"/>
    <x v="0"/>
    <x v="0"/>
    <s v="No"/>
    <n v="87316.000000000015"/>
    <n v="0.57000000000000028"/>
    <s v="Low Difference"/>
  </r>
  <r>
    <n v="111826"/>
    <n v="29.04"/>
    <n v="27.7"/>
    <n v="1926"/>
    <s v="Low"/>
    <s v="Seniors"/>
    <s v="No"/>
    <x v="2"/>
    <x v="2"/>
    <s v="No"/>
    <n v="55931.040000000001"/>
    <n v="1.3399999999999999"/>
    <s v="Moderate Difference"/>
  </r>
  <r>
    <n v="118116"/>
    <n v="38.6"/>
    <n v="38.229999999999997"/>
    <n v="1857"/>
    <s v="Medium"/>
    <s v="Young adults"/>
    <s v="No"/>
    <x v="1"/>
    <x v="0"/>
    <s v="No"/>
    <n v="71680.2"/>
    <n v="0.37000000000000455"/>
    <s v="Low Difference"/>
  </r>
  <r>
    <n v="152727"/>
    <n v="15.44"/>
    <n v="13.43"/>
    <n v="1383"/>
    <s v="Low"/>
    <s v="College students"/>
    <s v="No"/>
    <x v="2"/>
    <x v="0"/>
    <s v="Yes"/>
    <n v="21353.52"/>
    <n v="2.0099999999999998"/>
    <s v="Moderate Difference"/>
  </r>
  <r>
    <n v="198291"/>
    <n v="21.52"/>
    <n v="19.8"/>
    <n v="2475"/>
    <s v="Medium"/>
    <s v="Seniors"/>
    <s v="Yes"/>
    <x v="2"/>
    <x v="2"/>
    <s v="No"/>
    <n v="53262"/>
    <n v="1.7199999999999989"/>
    <s v="Moderate Difference"/>
  </r>
  <r>
    <n v="136227"/>
    <n v="18.39"/>
    <n v="13.66"/>
    <n v="2452"/>
    <s v="Medium"/>
    <s v="College students"/>
    <s v="No"/>
    <x v="1"/>
    <x v="0"/>
    <s v="Yes"/>
    <n v="45092.28"/>
    <n v="4.7300000000000004"/>
    <s v="High Difference"/>
  </r>
  <r>
    <n v="144031"/>
    <n v="19.87"/>
    <n v="19.739999999999998"/>
    <n v="1470"/>
    <s v="High"/>
    <s v="Families"/>
    <s v="No"/>
    <x v="1"/>
    <x v="1"/>
    <s v="Yes"/>
    <n v="29208.9"/>
    <n v="0.13000000000000256"/>
    <s v="Low Difference"/>
  </r>
  <r>
    <n v="198924"/>
    <n v="22.87"/>
    <n v="19.29"/>
    <n v="776"/>
    <s v="High"/>
    <s v="College students"/>
    <s v="Yes"/>
    <x v="1"/>
    <x v="0"/>
    <s v="Yes"/>
    <n v="17747.12"/>
    <n v="3.5800000000000018"/>
    <s v="Moderate Difference"/>
  </r>
  <r>
    <n v="187922"/>
    <n v="17.82"/>
    <n v="17.309999999999999"/>
    <n v="1688"/>
    <s v="Medium"/>
    <s v="Families"/>
    <s v="No"/>
    <x v="2"/>
    <x v="0"/>
    <s v="Yes"/>
    <n v="30080.16"/>
    <n v="0.51000000000000156"/>
    <s v="Low Difference"/>
  </r>
  <r>
    <n v="168448"/>
    <n v="44.19"/>
    <n v="40.880000000000003"/>
    <n v="2926"/>
    <s v="Medium"/>
    <s v="College students"/>
    <s v="Yes"/>
    <x v="1"/>
    <x v="2"/>
    <s v="Yes"/>
    <n v="129299.93999999999"/>
    <n v="3.3099999999999952"/>
    <s v="Moderate Difference"/>
  </r>
  <r>
    <n v="192111"/>
    <n v="20.88"/>
    <n v="17.54"/>
    <n v="737"/>
    <s v="Low"/>
    <s v="Seniors"/>
    <s v="No"/>
    <x v="0"/>
    <x v="1"/>
    <s v="No"/>
    <n v="15388.56"/>
    <n v="3.34"/>
    <s v="Moderate Difference"/>
  </r>
  <r>
    <n v="185466"/>
    <n v="14.83"/>
    <n v="14.72"/>
    <n v="509"/>
    <s v="High"/>
    <s v="Families"/>
    <s v="No"/>
    <x v="0"/>
    <x v="1"/>
    <s v="No"/>
    <n v="7548.47"/>
    <n v="0.10999999999999943"/>
    <s v="Low Difference"/>
  </r>
  <r>
    <n v="174277"/>
    <n v="20.76"/>
    <n v="20.72"/>
    <n v="2343"/>
    <s v="Medium"/>
    <s v="Young adults"/>
    <s v="No"/>
    <x v="1"/>
    <x v="2"/>
    <s v="Yes"/>
    <n v="48640.68"/>
    <n v="4.00000000000027E-2"/>
    <s v="Low Difference"/>
  </r>
  <r>
    <n v="158519"/>
    <n v="16.41"/>
    <n v="11.61"/>
    <n v="1986"/>
    <s v="Low"/>
    <s v="Families"/>
    <s v="Yes"/>
    <x v="0"/>
    <x v="1"/>
    <s v="No"/>
    <n v="32590.260000000002"/>
    <n v="4.8000000000000007"/>
    <s v="High Difference"/>
  </r>
  <r>
    <n v="178624"/>
    <n v="23.22"/>
    <n v="20.6"/>
    <n v="1821"/>
    <s v="Medium"/>
    <s v="Young adults"/>
    <s v="No"/>
    <x v="2"/>
    <x v="2"/>
    <s v="No"/>
    <n v="42283.619999999995"/>
    <n v="2.6199999999999974"/>
    <s v="Moderate Difference"/>
  </r>
  <r>
    <n v="123728"/>
    <n v="11.53"/>
    <n v="9.07"/>
    <n v="2669"/>
    <s v="High"/>
    <s v="Seniors"/>
    <s v="Yes"/>
    <x v="0"/>
    <x v="1"/>
    <s v="No"/>
    <n v="30773.57"/>
    <n v="2.4599999999999991"/>
    <s v="Moderate Difference"/>
  </r>
  <r>
    <n v="197954"/>
    <n v="27.06"/>
    <n v="22.66"/>
    <n v="2391"/>
    <s v="Low"/>
    <s v="College students"/>
    <s v="Yes"/>
    <x v="0"/>
    <x v="2"/>
    <s v="No"/>
    <n v="64700.46"/>
    <n v="4.3999999999999986"/>
    <s v="High Difference"/>
  </r>
  <r>
    <n v="133328"/>
    <n v="16.63"/>
    <n v="12.63"/>
    <n v="1241"/>
    <s v="Medium"/>
    <s v="Young adults"/>
    <s v="No"/>
    <x v="2"/>
    <x v="2"/>
    <s v="Yes"/>
    <n v="20637.829999999998"/>
    <n v="3.9999999999999982"/>
    <s v="High Difference"/>
  </r>
  <r>
    <n v="145345"/>
    <n v="37.29"/>
    <n v="36.950000000000003"/>
    <n v="869"/>
    <s v="High"/>
    <s v="Young adults"/>
    <s v="Yes"/>
    <x v="1"/>
    <x v="0"/>
    <s v="No"/>
    <n v="32405.01"/>
    <n v="0.33999999999999631"/>
    <s v="Low Difference"/>
  </r>
  <r>
    <n v="116054"/>
    <n v="43.59"/>
    <n v="39.42"/>
    <n v="2931"/>
    <s v="Medium"/>
    <s v="College students"/>
    <s v="No"/>
    <x v="2"/>
    <x v="1"/>
    <s v="Yes"/>
    <n v="127762.29000000001"/>
    <n v="4.1700000000000017"/>
    <s v="High Difference"/>
  </r>
  <r>
    <n v="173141"/>
    <n v="16.63"/>
    <n v="15.78"/>
    <n v="1721"/>
    <s v="Medium"/>
    <s v="Families"/>
    <s v="Yes"/>
    <x v="2"/>
    <x v="1"/>
    <s v="Yes"/>
    <n v="28620.23"/>
    <n v="0.84999999999999964"/>
    <s v="Low Difference"/>
  </r>
  <r>
    <n v="178180"/>
    <n v="25.99"/>
    <n v="24.45"/>
    <n v="581"/>
    <s v="Medium"/>
    <s v="College students"/>
    <s v="Yes"/>
    <x v="0"/>
    <x v="1"/>
    <s v="No"/>
    <n v="15100.189999999999"/>
    <n v="1.5399999999999991"/>
    <s v="Moderate Difference"/>
  </r>
  <r>
    <n v="129418"/>
    <n v="20.059999999999999"/>
    <n v="16.579999999999998"/>
    <n v="707"/>
    <s v="Medium"/>
    <s v="College students"/>
    <s v="No"/>
    <x v="1"/>
    <x v="0"/>
    <s v="Yes"/>
    <n v="14182.419999999998"/>
    <n v="3.4800000000000004"/>
    <s v="Moderate Difference"/>
  </r>
  <r>
    <n v="188708"/>
    <n v="26.67"/>
    <n v="25.1"/>
    <n v="666"/>
    <s v="Medium"/>
    <s v="Young adults"/>
    <s v="Yes"/>
    <x v="2"/>
    <x v="2"/>
    <s v="Yes"/>
    <n v="17762.22"/>
    <n v="1.5700000000000003"/>
    <s v="Moderate Difference"/>
  </r>
  <r>
    <n v="132833"/>
    <n v="31.79"/>
    <n v="28.82"/>
    <n v="642"/>
    <s v="Medium"/>
    <s v="College students"/>
    <s v="Yes"/>
    <x v="0"/>
    <x v="1"/>
    <s v="No"/>
    <n v="20409.18"/>
    <n v="2.9699999999999989"/>
    <s v="Moderate Difference"/>
  </r>
  <r>
    <n v="146914"/>
    <n v="41.24"/>
    <n v="36.64"/>
    <n v="2745"/>
    <s v="Low"/>
    <s v="Seniors"/>
    <s v="No"/>
    <x v="2"/>
    <x v="1"/>
    <s v="No"/>
    <n v="113203.8"/>
    <n v="4.6000000000000014"/>
    <s v="High Difference"/>
  </r>
  <r>
    <n v="113624"/>
    <n v="47.84"/>
    <n v="44.86"/>
    <n v="2478"/>
    <s v="Medium"/>
    <s v="Families"/>
    <s v="No"/>
    <x v="2"/>
    <x v="2"/>
    <s v="No"/>
    <n v="118547.52"/>
    <n v="2.980000000000004"/>
    <s v="Moderate Difference"/>
  </r>
  <r>
    <n v="180250"/>
    <n v="12.65"/>
    <n v="12.61"/>
    <n v="2906"/>
    <s v="Low"/>
    <s v="Families"/>
    <s v="No"/>
    <x v="2"/>
    <x v="2"/>
    <s v="Yes"/>
    <n v="36760.9"/>
    <n v="4.0000000000000924E-2"/>
    <s v="Low Difference"/>
  </r>
  <r>
    <n v="137287"/>
    <n v="46.2"/>
    <n v="45.85"/>
    <n v="611"/>
    <s v="High"/>
    <s v="Families"/>
    <s v="Yes"/>
    <x v="0"/>
    <x v="2"/>
    <s v="Yes"/>
    <n v="28228.2"/>
    <n v="0.35000000000000142"/>
    <s v="Low Difference"/>
  </r>
  <r>
    <n v="150836"/>
    <n v="34.97"/>
    <n v="31.08"/>
    <n v="734"/>
    <s v="High"/>
    <s v="Young adults"/>
    <s v="No"/>
    <x v="1"/>
    <x v="2"/>
    <s v="Yes"/>
    <n v="25667.98"/>
    <n v="3.8900000000000006"/>
    <s v="High Difference"/>
  </r>
  <r>
    <n v="151474"/>
    <n v="29.23"/>
    <n v="26.88"/>
    <n v="2366"/>
    <s v="High"/>
    <s v="Families"/>
    <s v="Yes"/>
    <x v="1"/>
    <x v="0"/>
    <s v="Yes"/>
    <n v="69158.180000000008"/>
    <n v="2.3500000000000014"/>
    <s v="Moderate Difference"/>
  </r>
  <r>
    <n v="119803"/>
    <n v="43.26"/>
    <n v="40.82"/>
    <n v="1580"/>
    <s v="Low"/>
    <s v="College students"/>
    <s v="No"/>
    <x v="1"/>
    <x v="2"/>
    <s v="Yes"/>
    <n v="68350.8"/>
    <n v="2.4399999999999977"/>
    <s v="Moderate Difference"/>
  </r>
  <r>
    <n v="115986"/>
    <n v="10.16"/>
    <n v="6.72"/>
    <n v="1971"/>
    <s v="Medium"/>
    <s v="Seniors"/>
    <s v="Yes"/>
    <x v="2"/>
    <x v="1"/>
    <s v="Yes"/>
    <n v="20025.36"/>
    <n v="3.4400000000000004"/>
    <s v="Moderate Difference"/>
  </r>
  <r>
    <n v="181896"/>
    <n v="10.82"/>
    <n v="6.8"/>
    <n v="582"/>
    <s v="Low"/>
    <s v="Families"/>
    <s v="No"/>
    <x v="2"/>
    <x v="2"/>
    <s v="Yes"/>
    <n v="6297.24"/>
    <n v="4.0200000000000005"/>
    <s v="High Difference"/>
  </r>
  <r>
    <n v="115036"/>
    <n v="45.34"/>
    <n v="41.26"/>
    <n v="961"/>
    <s v="Low"/>
    <s v="Young adults"/>
    <s v="Yes"/>
    <x v="1"/>
    <x v="2"/>
    <s v="No"/>
    <n v="43571.740000000005"/>
    <n v="4.0800000000000054"/>
    <s v="High Difference"/>
  </r>
  <r>
    <n v="179683"/>
    <n v="5.58"/>
    <n v="3.41"/>
    <n v="1847"/>
    <s v="Medium"/>
    <s v="Families"/>
    <s v="Yes"/>
    <x v="1"/>
    <x v="0"/>
    <s v="Yes"/>
    <n v="10306.26"/>
    <n v="2.17"/>
    <s v="Moderate Difference"/>
  </r>
  <r>
    <n v="151421"/>
    <n v="26.86"/>
    <n v="22.38"/>
    <n v="1716"/>
    <s v="Low"/>
    <s v="Seniors"/>
    <s v="No"/>
    <x v="2"/>
    <x v="2"/>
    <s v="Yes"/>
    <n v="46091.76"/>
    <n v="4.4800000000000004"/>
    <s v="High Difference"/>
  </r>
  <r>
    <n v="169867"/>
    <n v="35.270000000000003"/>
    <n v="33.42"/>
    <n v="1095"/>
    <s v="Low"/>
    <s v="Seniors"/>
    <s v="No"/>
    <x v="1"/>
    <x v="1"/>
    <s v="No"/>
    <n v="38620.65"/>
    <n v="1.8500000000000014"/>
    <s v="Moderate Difference"/>
  </r>
  <r>
    <n v="191946"/>
    <n v="8.84"/>
    <n v="8.82"/>
    <n v="1507"/>
    <s v="Medium"/>
    <s v="Young adults"/>
    <s v="No"/>
    <x v="0"/>
    <x v="1"/>
    <s v="Yes"/>
    <n v="13321.88"/>
    <n v="1.9999999999999574E-2"/>
    <s v="Low Difference"/>
  </r>
  <r>
    <n v="165630"/>
    <n v="36.42"/>
    <n v="31.86"/>
    <n v="2381"/>
    <s v="Medium"/>
    <s v="Young adults"/>
    <s v="Yes"/>
    <x v="2"/>
    <x v="2"/>
    <s v="No"/>
    <n v="86716.02"/>
    <n v="4.5600000000000023"/>
    <s v="High Difference"/>
  </r>
  <r>
    <n v="173122"/>
    <n v="15.04"/>
    <n v="10.96"/>
    <n v="1299"/>
    <s v="High"/>
    <s v="Families"/>
    <s v="Yes"/>
    <x v="2"/>
    <x v="1"/>
    <s v="Yes"/>
    <n v="19536.96"/>
    <n v="4.0799999999999983"/>
    <s v="High Difference"/>
  </r>
  <r>
    <n v="137617"/>
    <n v="46.48"/>
    <n v="43.92"/>
    <n v="931"/>
    <s v="Medium"/>
    <s v="Young adults"/>
    <s v="No"/>
    <x v="1"/>
    <x v="1"/>
    <s v="Yes"/>
    <n v="43272.88"/>
    <n v="2.5599999999999952"/>
    <s v="Moderate Difference"/>
  </r>
  <r>
    <n v="181415"/>
    <n v="44"/>
    <n v="42.4"/>
    <n v="2179"/>
    <s v="Medium"/>
    <s v="Families"/>
    <s v="No"/>
    <x v="0"/>
    <x v="2"/>
    <s v="Yes"/>
    <n v="95876"/>
    <n v="1.6000000000000014"/>
    <s v="Moderate Difference"/>
  </r>
  <r>
    <n v="141652"/>
    <n v="12.79"/>
    <n v="11.24"/>
    <n v="1634"/>
    <s v="High"/>
    <s v="Young adults"/>
    <s v="No"/>
    <x v="1"/>
    <x v="2"/>
    <s v="Yes"/>
    <n v="20898.859999999997"/>
    <n v="1.5499999999999989"/>
    <s v="Moderate Difference"/>
  </r>
  <r>
    <n v="161479"/>
    <n v="25.99"/>
    <n v="23.59"/>
    <n v="1381"/>
    <s v="Medium"/>
    <s v="Seniors"/>
    <s v="Yes"/>
    <x v="1"/>
    <x v="2"/>
    <s v="No"/>
    <n v="35892.189999999995"/>
    <n v="2.3999999999999986"/>
    <s v="Moderate Difference"/>
  </r>
  <r>
    <n v="152924"/>
    <n v="19.260000000000002"/>
    <n v="15.59"/>
    <n v="845"/>
    <s v="High"/>
    <s v="Families"/>
    <s v="Yes"/>
    <x v="1"/>
    <x v="0"/>
    <s v="No"/>
    <n v="16274.7"/>
    <n v="3.6700000000000017"/>
    <s v="Moderate Difference"/>
  </r>
  <r>
    <n v="176510"/>
    <n v="46.46"/>
    <n v="43.44"/>
    <n v="2075"/>
    <s v="Medium"/>
    <s v="Seniors"/>
    <s v="No"/>
    <x v="1"/>
    <x v="2"/>
    <s v="No"/>
    <n v="96404.5"/>
    <n v="3.0200000000000031"/>
    <s v="Moderate Difference"/>
  </r>
  <r>
    <n v="156390"/>
    <n v="30.51"/>
    <n v="25.84"/>
    <n v="2962"/>
    <s v="Medium"/>
    <s v="College students"/>
    <s v="No"/>
    <x v="1"/>
    <x v="2"/>
    <s v="No"/>
    <n v="90370.62000000001"/>
    <n v="4.6700000000000017"/>
    <s v="High Difference"/>
  </r>
  <r>
    <n v="177033"/>
    <n v="5.08"/>
    <n v="3.54"/>
    <n v="660"/>
    <s v="Medium"/>
    <s v="Young adults"/>
    <s v="No"/>
    <x v="0"/>
    <x v="0"/>
    <s v="No"/>
    <n v="3352.8"/>
    <n v="1.54"/>
    <s v="Moderate Difference"/>
  </r>
  <r>
    <n v="133753"/>
    <n v="30.11"/>
    <n v="26.52"/>
    <n v="1418"/>
    <s v="Medium"/>
    <s v="Young adults"/>
    <s v="Yes"/>
    <x v="2"/>
    <x v="1"/>
    <s v="Yes"/>
    <n v="42695.979999999996"/>
    <n v="3.59"/>
    <s v="Moderate Difference"/>
  </r>
  <r>
    <n v="165841"/>
    <n v="35.69"/>
    <n v="31.05"/>
    <n v="2058"/>
    <s v="High"/>
    <s v="Seniors"/>
    <s v="Yes"/>
    <x v="0"/>
    <x v="2"/>
    <s v="Yes"/>
    <n v="73450.01999999999"/>
    <n v="4.639999999999997"/>
    <s v="High Difference"/>
  </r>
  <r>
    <n v="183061"/>
    <n v="33.67"/>
    <n v="30.14"/>
    <n v="2678"/>
    <s v="High"/>
    <s v="College students"/>
    <s v="No"/>
    <x v="1"/>
    <x v="0"/>
    <s v="No"/>
    <n v="90168.260000000009"/>
    <n v="3.5300000000000011"/>
    <s v="Moderate Difference"/>
  </r>
  <r>
    <n v="125175"/>
    <n v="43.43"/>
    <n v="41.7"/>
    <n v="1212"/>
    <s v="Low"/>
    <s v="Seniors"/>
    <s v="No"/>
    <x v="2"/>
    <x v="1"/>
    <s v="No"/>
    <n v="52637.159999999996"/>
    <n v="1.7299999999999969"/>
    <s v="Moderate Difference"/>
  </r>
  <r>
    <n v="115464"/>
    <n v="31.14"/>
    <n v="28.57"/>
    <n v="1001"/>
    <s v="Medium"/>
    <s v="College students"/>
    <s v="No"/>
    <x v="0"/>
    <x v="2"/>
    <s v="No"/>
    <n v="31171.14"/>
    <n v="2.5700000000000003"/>
    <s v="Moderate Difference"/>
  </r>
  <r>
    <n v="117231"/>
    <n v="47.65"/>
    <n v="46.81"/>
    <n v="818"/>
    <s v="High"/>
    <s v="Young adults"/>
    <s v="No"/>
    <x v="1"/>
    <x v="2"/>
    <s v="No"/>
    <n v="38977.699999999997"/>
    <n v="0.83999999999999631"/>
    <s v="Low Difference"/>
  </r>
  <r>
    <n v="154948"/>
    <n v="35.18"/>
    <n v="34.520000000000003"/>
    <n v="1549"/>
    <s v="Medium"/>
    <s v="Families"/>
    <s v="Yes"/>
    <x v="1"/>
    <x v="2"/>
    <s v="Yes"/>
    <n v="54493.82"/>
    <n v="0.65999999999999659"/>
    <s v="Low Difference"/>
  </r>
  <r>
    <n v="197375"/>
    <n v="17.239999999999998"/>
    <n v="16.93"/>
    <n v="1135"/>
    <s v="Medium"/>
    <s v="Seniors"/>
    <s v="No"/>
    <x v="0"/>
    <x v="1"/>
    <s v="No"/>
    <n v="19567.399999999998"/>
    <n v="0.30999999999999872"/>
    <s v="Low Difference"/>
  </r>
  <r>
    <n v="191131"/>
    <n v="17.29"/>
    <n v="12.32"/>
    <n v="1833"/>
    <s v="Low"/>
    <s v="Seniors"/>
    <s v="No"/>
    <x v="2"/>
    <x v="2"/>
    <s v="Yes"/>
    <n v="31692.57"/>
    <n v="4.9699999999999989"/>
    <s v="High Difference"/>
  </r>
  <r>
    <n v="131682"/>
    <n v="41.89"/>
    <n v="38.32"/>
    <n v="2618"/>
    <s v="Medium"/>
    <s v="Seniors"/>
    <s v="Yes"/>
    <x v="0"/>
    <x v="2"/>
    <s v="Yes"/>
    <n v="109668.02"/>
    <n v="3.5700000000000003"/>
    <s v="Moderate Difference"/>
  </r>
  <r>
    <n v="196276"/>
    <n v="32.26"/>
    <n v="32.14"/>
    <n v="1046"/>
    <s v="Medium"/>
    <s v="Young adults"/>
    <s v="No"/>
    <x v="1"/>
    <x v="1"/>
    <s v="No"/>
    <n v="33743.96"/>
    <n v="0.11999999999999744"/>
    <s v="Low Difference"/>
  </r>
  <r>
    <n v="190412"/>
    <n v="7.35"/>
    <n v="4.09"/>
    <n v="2656"/>
    <s v="Medium"/>
    <s v="Young adults"/>
    <s v="Yes"/>
    <x v="0"/>
    <x v="1"/>
    <s v="Yes"/>
    <n v="19521.599999999999"/>
    <n v="3.26"/>
    <s v="Moderate Difference"/>
  </r>
  <r>
    <n v="149903"/>
    <n v="38.17"/>
    <n v="36.06"/>
    <n v="2673"/>
    <s v="High"/>
    <s v="Families"/>
    <s v="Yes"/>
    <x v="1"/>
    <x v="0"/>
    <s v="Yes"/>
    <n v="102028.41"/>
    <n v="2.1099999999999994"/>
    <s v="Moderate Difference"/>
  </r>
  <r>
    <n v="189131"/>
    <n v="19.12"/>
    <n v="16.5"/>
    <n v="2424"/>
    <s v="Low"/>
    <s v="College students"/>
    <s v="Yes"/>
    <x v="0"/>
    <x v="2"/>
    <s v="No"/>
    <n v="46346.880000000005"/>
    <n v="2.620000000000001"/>
    <s v="Moderate Difference"/>
  </r>
  <r>
    <n v="148327"/>
    <n v="31.77"/>
    <n v="30.3"/>
    <n v="1717"/>
    <s v="Low"/>
    <s v="Young adults"/>
    <s v="Yes"/>
    <x v="2"/>
    <x v="1"/>
    <s v="Yes"/>
    <n v="54549.09"/>
    <n v="1.4699999999999989"/>
    <s v="Moderate Difference"/>
  </r>
  <r>
    <n v="189088"/>
    <n v="15.93"/>
    <n v="14.41"/>
    <n v="2116"/>
    <s v="Low"/>
    <s v="Seniors"/>
    <s v="No"/>
    <x v="0"/>
    <x v="1"/>
    <s v="Yes"/>
    <n v="33707.879999999997"/>
    <n v="1.5199999999999996"/>
    <s v="Moderate Difference"/>
  </r>
  <r>
    <n v="143305"/>
    <n v="13.33"/>
    <n v="11.8"/>
    <n v="2880"/>
    <s v="Medium"/>
    <s v="Seniors"/>
    <s v="No"/>
    <x v="0"/>
    <x v="2"/>
    <s v="Yes"/>
    <n v="38390.400000000001"/>
    <n v="1.5299999999999994"/>
    <s v="Moderate Difference"/>
  </r>
  <r>
    <n v="180943"/>
    <n v="17.48"/>
    <n v="13.88"/>
    <n v="2734"/>
    <s v="High"/>
    <s v="College students"/>
    <s v="No"/>
    <x v="2"/>
    <x v="0"/>
    <s v="Yes"/>
    <n v="47790.32"/>
    <n v="3.5999999999999996"/>
    <s v="Moderate Difference"/>
  </r>
  <r>
    <n v="152059"/>
    <n v="17.05"/>
    <n v="12.61"/>
    <n v="1091"/>
    <s v="High"/>
    <s v="Seniors"/>
    <s v="No"/>
    <x v="2"/>
    <x v="0"/>
    <s v="No"/>
    <n v="18601.55"/>
    <n v="4.4400000000000013"/>
    <s v="High Difference"/>
  </r>
  <r>
    <n v="133691"/>
    <n v="49.8"/>
    <n v="48.64"/>
    <n v="2919"/>
    <s v="High"/>
    <s v="Families"/>
    <s v="No"/>
    <x v="0"/>
    <x v="1"/>
    <s v="No"/>
    <n v="145366.19999999998"/>
    <n v="1.1599999999999966"/>
    <s v="Low Difference"/>
  </r>
  <r>
    <n v="161644"/>
    <n v="28.16"/>
    <n v="23.86"/>
    <n v="1145"/>
    <s v="High"/>
    <s v="Young adults"/>
    <s v="No"/>
    <x v="1"/>
    <x v="2"/>
    <s v="Yes"/>
    <n v="32243.200000000001"/>
    <n v="4.3000000000000007"/>
    <s v="High Difference"/>
  </r>
  <r>
    <n v="132643"/>
    <n v="44.21"/>
    <n v="43.36"/>
    <n v="566"/>
    <s v="High"/>
    <s v="Families"/>
    <s v="No"/>
    <x v="0"/>
    <x v="2"/>
    <s v="Yes"/>
    <n v="25022.86"/>
    <n v="0.85000000000000142"/>
    <s v="Low Difference"/>
  </r>
  <r>
    <n v="162317"/>
    <n v="21.33"/>
    <n v="18.04"/>
    <n v="2517"/>
    <s v="Medium"/>
    <s v="Young adults"/>
    <s v="No"/>
    <x v="1"/>
    <x v="2"/>
    <s v="Yes"/>
    <n v="53687.609999999993"/>
    <n v="3.2899999999999991"/>
    <s v="Moderate Difference"/>
  </r>
  <r>
    <n v="128592"/>
    <n v="11.29"/>
    <n v="10.38"/>
    <n v="1086"/>
    <s v="Medium"/>
    <s v="Young adults"/>
    <s v="No"/>
    <x v="2"/>
    <x v="2"/>
    <s v="No"/>
    <n v="12260.939999999999"/>
    <n v="0.90999999999999837"/>
    <s v="Low Difference"/>
  </r>
  <r>
    <n v="192892"/>
    <n v="35.43"/>
    <n v="33.799999999999997"/>
    <n v="2623"/>
    <s v="High"/>
    <s v="Young adults"/>
    <s v="Yes"/>
    <x v="2"/>
    <x v="2"/>
    <s v="Yes"/>
    <n v="92932.89"/>
    <n v="1.6300000000000026"/>
    <s v="Moderate Difference"/>
  </r>
  <r>
    <n v="197147"/>
    <n v="44.35"/>
    <n v="44.32"/>
    <n v="2205"/>
    <s v="Medium"/>
    <s v="Families"/>
    <s v="No"/>
    <x v="2"/>
    <x v="2"/>
    <s v="No"/>
    <n v="97791.75"/>
    <n v="3.0000000000001137E-2"/>
    <s v="Low Difference"/>
  </r>
  <r>
    <n v="130871"/>
    <n v="13.89"/>
    <n v="10.9"/>
    <n v="707"/>
    <s v="Low"/>
    <s v="College students"/>
    <s v="No"/>
    <x v="2"/>
    <x v="2"/>
    <s v="Yes"/>
    <n v="9820.23"/>
    <n v="2.99"/>
    <s v="Moderate Difference"/>
  </r>
  <r>
    <n v="184314"/>
    <n v="29.6"/>
    <n v="25.68"/>
    <n v="2689"/>
    <s v="Low"/>
    <s v="Young adults"/>
    <s v="No"/>
    <x v="0"/>
    <x v="0"/>
    <s v="No"/>
    <n v="79594.400000000009"/>
    <n v="3.9200000000000017"/>
    <s v="High Difference"/>
  </r>
  <r>
    <n v="131922"/>
    <n v="40.96"/>
    <n v="37.770000000000003"/>
    <n v="1544"/>
    <s v="Low"/>
    <s v="College students"/>
    <s v="Yes"/>
    <x v="2"/>
    <x v="1"/>
    <s v="Yes"/>
    <n v="63242.239999999998"/>
    <n v="3.1899999999999977"/>
    <s v="Moderate Difference"/>
  </r>
  <r>
    <n v="130546"/>
    <n v="41.34"/>
    <n v="38.01"/>
    <n v="2776"/>
    <s v="Medium"/>
    <s v="Families"/>
    <s v="Yes"/>
    <x v="1"/>
    <x v="2"/>
    <s v="Yes"/>
    <n v="114759.84000000001"/>
    <n v="3.3300000000000054"/>
    <s v="Moderate Difference"/>
  </r>
  <r>
    <n v="167541"/>
    <n v="20.149999999999999"/>
    <n v="15.96"/>
    <n v="2054"/>
    <s v="Medium"/>
    <s v="Seniors"/>
    <s v="Yes"/>
    <x v="1"/>
    <x v="0"/>
    <s v="Yes"/>
    <n v="41388.1"/>
    <n v="4.1899999999999977"/>
    <s v="High Difference"/>
  </r>
  <r>
    <n v="165128"/>
    <n v="5.8"/>
    <n v="2.21"/>
    <n v="1242"/>
    <s v="Medium"/>
    <s v="Families"/>
    <s v="Yes"/>
    <x v="2"/>
    <x v="2"/>
    <s v="No"/>
    <n v="7203.5999999999995"/>
    <n v="3.59"/>
    <s v="Moderate Difference"/>
  </r>
  <r>
    <n v="126255"/>
    <n v="23.1"/>
    <n v="22.97"/>
    <n v="1195"/>
    <s v="Low"/>
    <s v="Seniors"/>
    <s v="Yes"/>
    <x v="2"/>
    <x v="1"/>
    <s v="Yes"/>
    <n v="27604.5"/>
    <n v="0.13000000000000256"/>
    <s v="Low Difference"/>
  </r>
  <r>
    <n v="176976"/>
    <n v="41.72"/>
    <n v="41.7"/>
    <n v="2825"/>
    <s v="Low"/>
    <s v="Seniors"/>
    <s v="No"/>
    <x v="1"/>
    <x v="0"/>
    <s v="Yes"/>
    <n v="117859"/>
    <n v="1.9999999999996021E-2"/>
    <s v="Low Difference"/>
  </r>
  <r>
    <n v="185599"/>
    <n v="24.04"/>
    <n v="19.71"/>
    <n v="2656"/>
    <s v="Low"/>
    <s v="Seniors"/>
    <s v="No"/>
    <x v="0"/>
    <x v="2"/>
    <s v="No"/>
    <n v="63850.239999999998"/>
    <n v="4.3299999999999983"/>
    <s v="High Difference"/>
  </r>
  <r>
    <n v="167273"/>
    <n v="5.55"/>
    <n v="3.4"/>
    <n v="1598"/>
    <s v="Medium"/>
    <s v="Families"/>
    <s v="No"/>
    <x v="1"/>
    <x v="2"/>
    <s v="No"/>
    <n v="8868.9"/>
    <n v="2.15"/>
    <s v="Moderate Difference"/>
  </r>
  <r>
    <n v="189296"/>
    <n v="39"/>
    <n v="34.9"/>
    <n v="1452"/>
    <s v="High"/>
    <s v="Families"/>
    <s v="Yes"/>
    <x v="1"/>
    <x v="0"/>
    <s v="No"/>
    <n v="56628"/>
    <n v="4.1000000000000014"/>
    <s v="High Difference"/>
  </r>
  <r>
    <n v="125082"/>
    <n v="29.75"/>
    <n v="28.24"/>
    <n v="1446"/>
    <s v="Low"/>
    <s v="College students"/>
    <s v="No"/>
    <x v="1"/>
    <x v="1"/>
    <s v="No"/>
    <n v="43018.5"/>
    <n v="1.5100000000000016"/>
    <s v="Moderate Difference"/>
  </r>
  <r>
    <n v="116920"/>
    <n v="32.25"/>
    <n v="29.15"/>
    <n v="1634"/>
    <s v="High"/>
    <s v="Seniors"/>
    <s v="Yes"/>
    <x v="0"/>
    <x v="0"/>
    <s v="No"/>
    <n v="52696.5"/>
    <n v="3.1000000000000014"/>
    <s v="Moderate Difference"/>
  </r>
  <r>
    <n v="111320"/>
    <n v="44.51"/>
    <n v="43.38"/>
    <n v="1098"/>
    <s v="Medium"/>
    <s v="Seniors"/>
    <s v="No"/>
    <x v="1"/>
    <x v="0"/>
    <s v="Yes"/>
    <n v="48871.979999999996"/>
    <n v="1.1299999999999955"/>
    <s v="Low Difference"/>
  </r>
  <r>
    <n v="172247"/>
    <n v="11.85"/>
    <n v="11"/>
    <n v="867"/>
    <s v="Medium"/>
    <s v="Families"/>
    <s v="No"/>
    <x v="1"/>
    <x v="0"/>
    <s v="No"/>
    <n v="10273.949999999999"/>
    <n v="0.84999999999999964"/>
    <s v="Low Difference"/>
  </r>
  <r>
    <n v="143462"/>
    <n v="33.11"/>
    <n v="29.2"/>
    <n v="2329"/>
    <s v="High"/>
    <s v="Seniors"/>
    <s v="No"/>
    <x v="1"/>
    <x v="2"/>
    <s v="No"/>
    <n v="77113.19"/>
    <n v="3.91"/>
    <s v="High Difference"/>
  </r>
  <r>
    <n v="125637"/>
    <n v="24.67"/>
    <n v="21.83"/>
    <n v="1797"/>
    <s v="Low"/>
    <s v="Seniors"/>
    <s v="No"/>
    <x v="2"/>
    <x v="0"/>
    <s v="Yes"/>
    <n v="44331.990000000005"/>
    <n v="2.8400000000000034"/>
    <s v="Moderate Difference"/>
  </r>
  <r>
    <n v="115827"/>
    <n v="8.9"/>
    <n v="5.4"/>
    <n v="2636"/>
    <s v="Medium"/>
    <s v="Families"/>
    <s v="Yes"/>
    <x v="1"/>
    <x v="0"/>
    <s v="Yes"/>
    <n v="23460.400000000001"/>
    <n v="3.5"/>
    <s v="Moderate Difference"/>
  </r>
  <r>
    <n v="183225"/>
    <n v="37.72"/>
    <n v="37.14"/>
    <n v="2659"/>
    <s v="Low"/>
    <s v="Young adults"/>
    <s v="Yes"/>
    <x v="1"/>
    <x v="2"/>
    <s v="No"/>
    <n v="100297.48"/>
    <n v="0.57999999999999829"/>
    <s v="Low Difference"/>
  </r>
  <r>
    <n v="133283"/>
    <n v="30.44"/>
    <n v="28.74"/>
    <n v="1937"/>
    <s v="High"/>
    <s v="Young adults"/>
    <s v="Yes"/>
    <x v="0"/>
    <x v="1"/>
    <s v="No"/>
    <n v="58962.280000000006"/>
    <n v="1.7000000000000028"/>
    <s v="Moderate Difference"/>
  </r>
  <r>
    <n v="164389"/>
    <n v="23.18"/>
    <n v="19.440000000000001"/>
    <n v="946"/>
    <s v="Low"/>
    <s v="Families"/>
    <s v="No"/>
    <x v="2"/>
    <x v="1"/>
    <s v="Yes"/>
    <n v="21928.28"/>
    <n v="3.7399999999999984"/>
    <s v="High Difference"/>
  </r>
  <r>
    <n v="163108"/>
    <n v="9.48"/>
    <n v="8.56"/>
    <n v="2015"/>
    <s v="Low"/>
    <s v="Seniors"/>
    <s v="No"/>
    <x v="0"/>
    <x v="0"/>
    <s v="Yes"/>
    <n v="19102.2"/>
    <n v="0.91999999999999993"/>
    <s v="Low Difference"/>
  </r>
  <r>
    <n v="160121"/>
    <n v="45.89"/>
    <n v="42.27"/>
    <n v="1826"/>
    <s v="Medium"/>
    <s v="Young adults"/>
    <s v="Yes"/>
    <x v="0"/>
    <x v="2"/>
    <s v="Yes"/>
    <n v="83795.14"/>
    <n v="3.6199999999999974"/>
    <s v="Moderate Difference"/>
  </r>
  <r>
    <n v="141116"/>
    <n v="13.57"/>
    <n v="13.42"/>
    <n v="2175"/>
    <s v="Low"/>
    <s v="College students"/>
    <s v="Yes"/>
    <x v="2"/>
    <x v="0"/>
    <s v="Yes"/>
    <n v="29514.75"/>
    <n v="0.15000000000000036"/>
    <s v="Low Difference"/>
  </r>
  <r>
    <n v="157901"/>
    <n v="44.95"/>
    <n v="44.81"/>
    <n v="2429"/>
    <s v="High"/>
    <s v="Seniors"/>
    <s v="Yes"/>
    <x v="1"/>
    <x v="0"/>
    <s v="No"/>
    <n v="109183.55"/>
    <n v="0.14000000000000057"/>
    <s v="Low Difference"/>
  </r>
  <r>
    <n v="165017"/>
    <n v="29.79"/>
    <n v="28.21"/>
    <n v="2257"/>
    <s v="Medium"/>
    <s v="Seniors"/>
    <s v="Yes"/>
    <x v="0"/>
    <x v="2"/>
    <s v="Yes"/>
    <n v="67236.03"/>
    <n v="1.5799999999999983"/>
    <s v="Moderate Difference"/>
  </r>
  <r>
    <n v="165689"/>
    <n v="41.01"/>
    <n v="39.78"/>
    <n v="696"/>
    <s v="Medium"/>
    <s v="Families"/>
    <s v="No"/>
    <x v="1"/>
    <x v="2"/>
    <s v="No"/>
    <n v="28542.959999999999"/>
    <n v="1.2299999999999969"/>
    <s v="Moderate Difference"/>
  </r>
  <r>
    <n v="172370"/>
    <n v="49.94"/>
    <n v="48.76"/>
    <n v="1789"/>
    <s v="High"/>
    <s v="Young adults"/>
    <s v="No"/>
    <x v="1"/>
    <x v="2"/>
    <s v="No"/>
    <n v="89342.659999999989"/>
    <n v="1.1799999999999997"/>
    <s v="Moderate Difference"/>
  </r>
  <r>
    <n v="149539"/>
    <n v="6.23"/>
    <n v="4.53"/>
    <n v="2203"/>
    <s v="Medium"/>
    <s v="Seniors"/>
    <s v="No"/>
    <x v="1"/>
    <x v="1"/>
    <s v="No"/>
    <n v="13724.69"/>
    <n v="1.7000000000000002"/>
    <s v="Moderate Difference"/>
  </r>
  <r>
    <n v="149127"/>
    <n v="46.45"/>
    <n v="45.65"/>
    <n v="2727"/>
    <s v="High"/>
    <s v="Young adults"/>
    <s v="No"/>
    <x v="2"/>
    <x v="2"/>
    <s v="No"/>
    <n v="126669.15000000001"/>
    <n v="0.80000000000000426"/>
    <s v="Low Difference"/>
  </r>
  <r>
    <n v="199887"/>
    <n v="29.76"/>
    <n v="29.19"/>
    <n v="1109"/>
    <s v="High"/>
    <s v="Seniors"/>
    <s v="No"/>
    <x v="2"/>
    <x v="2"/>
    <s v="Yes"/>
    <n v="33003.840000000004"/>
    <n v="0.57000000000000028"/>
    <s v="Low Difference"/>
  </r>
  <r>
    <n v="166103"/>
    <n v="21.8"/>
    <n v="21.43"/>
    <n v="2428"/>
    <s v="Low"/>
    <s v="Young adults"/>
    <s v="Yes"/>
    <x v="1"/>
    <x v="0"/>
    <s v="Yes"/>
    <n v="52930.400000000001"/>
    <n v="0.37000000000000099"/>
    <s v="Low Difference"/>
  </r>
  <r>
    <n v="144850"/>
    <n v="25.49"/>
    <n v="24.92"/>
    <n v="2190"/>
    <s v="Medium"/>
    <s v="Seniors"/>
    <s v="No"/>
    <x v="2"/>
    <x v="2"/>
    <s v="No"/>
    <n v="55823.1"/>
    <n v="0.56999999999999673"/>
    <s v="Low Difference"/>
  </r>
  <r>
    <n v="139746"/>
    <n v="14.04"/>
    <n v="11.23"/>
    <n v="699"/>
    <s v="High"/>
    <s v="Young adults"/>
    <s v="Yes"/>
    <x v="0"/>
    <x v="2"/>
    <s v="Yes"/>
    <n v="9813.9599999999991"/>
    <n v="2.8099999999999987"/>
    <s v="Moderate Difference"/>
  </r>
  <r>
    <n v="177685"/>
    <n v="29.68"/>
    <n v="28.94"/>
    <n v="2204"/>
    <s v="Low"/>
    <s v="Young adults"/>
    <s v="No"/>
    <x v="0"/>
    <x v="2"/>
    <s v="No"/>
    <n v="65414.720000000001"/>
    <n v="0.73999999999999844"/>
    <s v="Low Difference"/>
  </r>
  <r>
    <n v="166728"/>
    <n v="25.92"/>
    <n v="23.68"/>
    <n v="542"/>
    <s v="High"/>
    <s v="College students"/>
    <s v="Yes"/>
    <x v="0"/>
    <x v="1"/>
    <s v="No"/>
    <n v="14048.640000000001"/>
    <n v="2.240000000000002"/>
    <s v="Moderate Difference"/>
  </r>
  <r>
    <n v="116065"/>
    <n v="36.880000000000003"/>
    <n v="35.72"/>
    <n v="2912"/>
    <s v="Medium"/>
    <s v="Seniors"/>
    <s v="Yes"/>
    <x v="2"/>
    <x v="2"/>
    <s v="Yes"/>
    <n v="107394.56000000001"/>
    <n v="1.1600000000000037"/>
    <s v="Low Difference"/>
  </r>
  <r>
    <n v="110033"/>
    <n v="40.15"/>
    <n v="39.380000000000003"/>
    <n v="1998"/>
    <s v="Low"/>
    <s v="Families"/>
    <s v="Yes"/>
    <x v="2"/>
    <x v="1"/>
    <s v="Yes"/>
    <n v="80219.7"/>
    <n v="0.76999999999999602"/>
    <s v="Low Difference"/>
  </r>
  <r>
    <n v="164617"/>
    <n v="41.6"/>
    <n v="38.19"/>
    <n v="577"/>
    <s v="High"/>
    <s v="Seniors"/>
    <s v="Yes"/>
    <x v="2"/>
    <x v="1"/>
    <s v="No"/>
    <n v="24003.200000000001"/>
    <n v="3.4100000000000037"/>
    <s v="Moderate Difference"/>
  </r>
  <r>
    <n v="112314"/>
    <n v="42.47"/>
    <n v="41.94"/>
    <n v="1370"/>
    <s v="Low"/>
    <s v="College students"/>
    <s v="Yes"/>
    <x v="0"/>
    <x v="1"/>
    <s v="No"/>
    <n v="58183.9"/>
    <n v="0.53000000000000114"/>
    <s v="Low Difference"/>
  </r>
  <r>
    <n v="130671"/>
    <n v="35.950000000000003"/>
    <n v="31.23"/>
    <n v="2432"/>
    <s v="Low"/>
    <s v="Seniors"/>
    <s v="Yes"/>
    <x v="1"/>
    <x v="1"/>
    <s v="No"/>
    <n v="87430.400000000009"/>
    <n v="4.7200000000000024"/>
    <s v="High Difference"/>
  </r>
  <r>
    <n v="176094"/>
    <n v="32.369999999999997"/>
    <n v="28.91"/>
    <n v="1506"/>
    <s v="High"/>
    <s v="Families"/>
    <s v="Yes"/>
    <x v="1"/>
    <x v="1"/>
    <s v="No"/>
    <n v="48749.219999999994"/>
    <n v="3.4599999999999973"/>
    <s v="Moderate Difference"/>
  </r>
  <r>
    <n v="133227"/>
    <n v="13.73"/>
    <n v="10.09"/>
    <n v="1911"/>
    <s v="High"/>
    <s v="Seniors"/>
    <s v="Yes"/>
    <x v="2"/>
    <x v="2"/>
    <s v="Yes"/>
    <n v="26238.030000000002"/>
    <n v="3.6400000000000006"/>
    <s v="Moderate Difference"/>
  </r>
  <r>
    <n v="170530"/>
    <n v="34.86"/>
    <n v="33.159999999999997"/>
    <n v="880"/>
    <s v="High"/>
    <s v="College students"/>
    <s v="Yes"/>
    <x v="0"/>
    <x v="2"/>
    <s v="Yes"/>
    <n v="30676.799999999999"/>
    <n v="1.7000000000000028"/>
    <s v="Moderate Difference"/>
  </r>
  <r>
    <n v="195782"/>
    <n v="22.2"/>
    <n v="18.07"/>
    <n v="2748"/>
    <s v="Medium"/>
    <s v="Seniors"/>
    <s v="No"/>
    <x v="2"/>
    <x v="0"/>
    <s v="No"/>
    <n v="61005.599999999999"/>
    <n v="4.129999999999999"/>
    <s v="High Difference"/>
  </r>
  <r>
    <n v="113054"/>
    <n v="32.090000000000003"/>
    <n v="28.27"/>
    <n v="1705"/>
    <s v="Medium"/>
    <s v="Young adults"/>
    <s v="Yes"/>
    <x v="1"/>
    <x v="2"/>
    <s v="No"/>
    <n v="54713.450000000004"/>
    <n v="3.8200000000000038"/>
    <s v="High Difference"/>
  </r>
  <r>
    <n v="198313"/>
    <n v="33.950000000000003"/>
    <n v="33.43"/>
    <n v="1298"/>
    <s v="Medium"/>
    <s v="Families"/>
    <s v="No"/>
    <x v="0"/>
    <x v="2"/>
    <s v="Yes"/>
    <n v="44067.100000000006"/>
    <n v="0.52000000000000313"/>
    <s v="Low Difference"/>
  </r>
  <r>
    <n v="158628"/>
    <n v="22.29"/>
    <n v="17.88"/>
    <n v="708"/>
    <s v="High"/>
    <s v="Seniors"/>
    <s v="Yes"/>
    <x v="1"/>
    <x v="0"/>
    <s v="Yes"/>
    <n v="15781.32"/>
    <n v="4.41"/>
    <s v="High Difference"/>
  </r>
  <r>
    <n v="154165"/>
    <n v="30.33"/>
    <n v="30.04"/>
    <n v="1887"/>
    <s v="High"/>
    <s v="Seniors"/>
    <s v="No"/>
    <x v="0"/>
    <x v="1"/>
    <s v="Yes"/>
    <n v="57232.71"/>
    <n v="0.28999999999999915"/>
    <s v="Low Difference"/>
  </r>
  <r>
    <n v="122473"/>
    <n v="32.200000000000003"/>
    <n v="31.52"/>
    <n v="1604"/>
    <s v="Medium"/>
    <s v="Seniors"/>
    <s v="No"/>
    <x v="0"/>
    <x v="0"/>
    <s v="Yes"/>
    <n v="51648.800000000003"/>
    <n v="0.68000000000000327"/>
    <s v="Low Difference"/>
  </r>
  <r>
    <n v="150408"/>
    <n v="31.86"/>
    <n v="27.95"/>
    <n v="1603"/>
    <s v="Low"/>
    <s v="College students"/>
    <s v="Yes"/>
    <x v="1"/>
    <x v="2"/>
    <s v="Yes"/>
    <n v="51071.58"/>
    <n v="3.91"/>
    <s v="High Difference"/>
  </r>
  <r>
    <n v="178253"/>
    <n v="13.82"/>
    <n v="9.57"/>
    <n v="2609"/>
    <s v="Low"/>
    <s v="College students"/>
    <s v="No"/>
    <x v="0"/>
    <x v="0"/>
    <s v="Yes"/>
    <n v="36056.379999999997"/>
    <n v="4.25"/>
    <s v="High Difference"/>
  </r>
  <r>
    <n v="182211"/>
    <n v="6.38"/>
    <n v="5.8"/>
    <n v="1956"/>
    <s v="Medium"/>
    <s v="Families"/>
    <s v="No"/>
    <x v="1"/>
    <x v="0"/>
    <s v="Yes"/>
    <n v="12479.28"/>
    <n v="0.58000000000000007"/>
    <s v="Low Difference"/>
  </r>
  <r>
    <n v="157396"/>
    <n v="7.24"/>
    <n v="4.3"/>
    <n v="1929"/>
    <s v="High"/>
    <s v="College students"/>
    <s v="Yes"/>
    <x v="2"/>
    <x v="0"/>
    <s v="No"/>
    <n v="13965.960000000001"/>
    <n v="2.9400000000000004"/>
    <s v="Moderate Difference"/>
  </r>
  <r>
    <n v="152736"/>
    <n v="6.99"/>
    <n v="4.25"/>
    <n v="570"/>
    <s v="Low"/>
    <s v="Seniors"/>
    <s v="Yes"/>
    <x v="0"/>
    <x v="1"/>
    <s v="No"/>
    <n v="3984.3"/>
    <n v="2.74"/>
    <s v="Moderate Difference"/>
  </r>
  <r>
    <n v="168051"/>
    <n v="13.03"/>
    <n v="9.9600000000000009"/>
    <n v="1680"/>
    <s v="High"/>
    <s v="Young adults"/>
    <s v="No"/>
    <x v="0"/>
    <x v="1"/>
    <s v="Yes"/>
    <n v="21890.399999999998"/>
    <n v="3.0699999999999985"/>
    <s v="Moderate Difference"/>
  </r>
  <r>
    <n v="119648"/>
    <n v="31.46"/>
    <n v="28.87"/>
    <n v="2356"/>
    <s v="Medium"/>
    <s v="College students"/>
    <s v="No"/>
    <x v="0"/>
    <x v="0"/>
    <s v="No"/>
    <n v="74119.759999999995"/>
    <n v="2.59"/>
    <s v="Moderate Difference"/>
  </r>
  <r>
    <n v="130206"/>
    <n v="37.159999999999997"/>
    <n v="32.19"/>
    <n v="2510"/>
    <s v="Low"/>
    <s v="College students"/>
    <s v="Yes"/>
    <x v="0"/>
    <x v="1"/>
    <s v="No"/>
    <n v="93271.599999999991"/>
    <n v="4.9699999999999989"/>
    <s v="High Difference"/>
  </r>
  <r>
    <n v="153501"/>
    <n v="29.56"/>
    <n v="29.41"/>
    <n v="1103"/>
    <s v="Medium"/>
    <s v="Families"/>
    <s v="Yes"/>
    <x v="0"/>
    <x v="0"/>
    <s v="Yes"/>
    <n v="32604.68"/>
    <n v="0.14999999999999858"/>
    <s v="Low Difference"/>
  </r>
  <r>
    <n v="196059"/>
    <n v="43.14"/>
    <n v="38.22"/>
    <n v="1692"/>
    <s v="High"/>
    <s v="Seniors"/>
    <s v="No"/>
    <x v="0"/>
    <x v="0"/>
    <s v="No"/>
    <n v="72992.88"/>
    <n v="4.9200000000000017"/>
    <s v="High Difference"/>
  </r>
  <r>
    <n v="153655"/>
    <n v="6.98"/>
    <n v="3.65"/>
    <n v="2949"/>
    <s v="Low"/>
    <s v="Young adults"/>
    <s v="Yes"/>
    <x v="0"/>
    <x v="0"/>
    <s v="No"/>
    <n v="20584.02"/>
    <n v="3.3300000000000005"/>
    <s v="Moderate Difference"/>
  </r>
  <r>
    <n v="191803"/>
    <n v="22.04"/>
    <n v="18.39"/>
    <n v="1956"/>
    <s v="Medium"/>
    <s v="Young adults"/>
    <s v="Yes"/>
    <x v="2"/>
    <x v="1"/>
    <s v="Yes"/>
    <n v="43110.239999999998"/>
    <n v="3.6499999999999986"/>
    <s v="Moderate Difference"/>
  </r>
  <r>
    <n v="145992"/>
    <n v="5.25"/>
    <n v="4.12"/>
    <n v="1519"/>
    <s v="Low"/>
    <s v="College students"/>
    <s v="Yes"/>
    <x v="2"/>
    <x v="1"/>
    <s v="No"/>
    <n v="7974.75"/>
    <n v="1.1299999999999999"/>
    <s v="Low Difference"/>
  </r>
  <r>
    <n v="118967"/>
    <n v="7.93"/>
    <n v="4.75"/>
    <n v="777"/>
    <s v="High"/>
    <s v="Young adults"/>
    <s v="Yes"/>
    <x v="1"/>
    <x v="1"/>
    <s v="No"/>
    <n v="6161.61"/>
    <n v="3.1799999999999997"/>
    <s v="Moderate Difference"/>
  </r>
  <r>
    <n v="125062"/>
    <n v="45.23"/>
    <n v="43.36"/>
    <n v="768"/>
    <s v="High"/>
    <s v="College students"/>
    <s v="No"/>
    <x v="1"/>
    <x v="2"/>
    <s v="No"/>
    <n v="34736.639999999999"/>
    <n v="1.8699999999999974"/>
    <s v="Moderate Difference"/>
  </r>
  <r>
    <n v="165448"/>
    <n v="46.61"/>
    <n v="41.87"/>
    <n v="1294"/>
    <s v="High"/>
    <s v="Families"/>
    <s v="Yes"/>
    <x v="1"/>
    <x v="0"/>
    <s v="Yes"/>
    <n v="60313.34"/>
    <n v="4.740000000000002"/>
    <s v="High Difference"/>
  </r>
  <r>
    <n v="160827"/>
    <n v="25.91"/>
    <n v="21.37"/>
    <n v="2555"/>
    <s v="Low"/>
    <s v="Seniors"/>
    <s v="No"/>
    <x v="1"/>
    <x v="1"/>
    <s v="Yes"/>
    <n v="66200.05"/>
    <n v="4.5399999999999991"/>
    <s v="High Difference"/>
  </r>
  <r>
    <n v="125378"/>
    <n v="23.53"/>
    <n v="22.66"/>
    <n v="1770"/>
    <s v="Medium"/>
    <s v="Young adults"/>
    <s v="Yes"/>
    <x v="0"/>
    <x v="1"/>
    <s v="No"/>
    <n v="41648.1"/>
    <n v="0.87000000000000099"/>
    <s v="Low Difference"/>
  </r>
  <r>
    <n v="185547"/>
    <n v="33.880000000000003"/>
    <n v="32.200000000000003"/>
    <n v="2933"/>
    <s v="High"/>
    <s v="College students"/>
    <s v="Yes"/>
    <x v="0"/>
    <x v="2"/>
    <s v="Yes"/>
    <n v="99370.040000000008"/>
    <n v="1.6799999999999997"/>
    <s v="Moderate Difference"/>
  </r>
  <r>
    <n v="191475"/>
    <n v="29.88"/>
    <n v="26.09"/>
    <n v="1808"/>
    <s v="High"/>
    <s v="Seniors"/>
    <s v="No"/>
    <x v="0"/>
    <x v="0"/>
    <s v="No"/>
    <n v="54023.040000000001"/>
    <n v="3.7899999999999991"/>
    <s v="High Difference"/>
  </r>
  <r>
    <n v="193605"/>
    <n v="5.18"/>
    <n v="1.25"/>
    <n v="960"/>
    <s v="Medium"/>
    <s v="Families"/>
    <s v="No"/>
    <x v="2"/>
    <x v="1"/>
    <s v="Yes"/>
    <n v="4972.7999999999993"/>
    <n v="3.9299999999999997"/>
    <s v="High Difference"/>
  </r>
  <r>
    <n v="193179"/>
    <n v="29.65"/>
    <n v="25.39"/>
    <n v="2593"/>
    <s v="Low"/>
    <s v="Young adults"/>
    <s v="Yes"/>
    <x v="2"/>
    <x v="1"/>
    <s v="Yes"/>
    <n v="76882.45"/>
    <n v="4.259999999999998"/>
    <s v="High Difference"/>
  </r>
  <r>
    <n v="131808"/>
    <n v="5.49"/>
    <n v="3.93"/>
    <n v="2071"/>
    <s v="Medium"/>
    <s v="Young adults"/>
    <s v="Yes"/>
    <x v="2"/>
    <x v="1"/>
    <s v="No"/>
    <n v="11369.79"/>
    <n v="1.56"/>
    <s v="Moderate Difference"/>
  </r>
  <r>
    <n v="134615"/>
    <n v="46.83"/>
    <n v="43.95"/>
    <n v="2441"/>
    <s v="High"/>
    <s v="Young adults"/>
    <s v="No"/>
    <x v="1"/>
    <x v="1"/>
    <s v="Yes"/>
    <n v="114312.03"/>
    <n v="2.8799999999999955"/>
    <s v="Moderate Difference"/>
  </r>
  <r>
    <n v="142414"/>
    <n v="47.21"/>
    <n v="43.5"/>
    <n v="2683"/>
    <s v="High"/>
    <s v="Young adults"/>
    <s v="Yes"/>
    <x v="0"/>
    <x v="0"/>
    <s v="No"/>
    <n v="126664.43000000001"/>
    <n v="3.7100000000000009"/>
    <s v="High Difference"/>
  </r>
  <r>
    <n v="152245"/>
    <n v="30.79"/>
    <n v="28.5"/>
    <n v="1105"/>
    <s v="High"/>
    <s v="Families"/>
    <s v="No"/>
    <x v="0"/>
    <x v="0"/>
    <s v="No"/>
    <n v="34022.949999999997"/>
    <n v="2.2899999999999991"/>
    <s v="Moderate Difference"/>
  </r>
  <r>
    <n v="186093"/>
    <n v="42.17"/>
    <n v="41.97"/>
    <n v="1697"/>
    <s v="High"/>
    <s v="College students"/>
    <s v="No"/>
    <x v="1"/>
    <x v="0"/>
    <s v="Yes"/>
    <n v="71562.490000000005"/>
    <n v="0.20000000000000284"/>
    <s v="Low Difference"/>
  </r>
  <r>
    <n v="123603"/>
    <n v="23.26"/>
    <n v="19.02"/>
    <n v="2963"/>
    <s v="High"/>
    <s v="Seniors"/>
    <s v="Yes"/>
    <x v="0"/>
    <x v="1"/>
    <s v="No"/>
    <n v="68919.38"/>
    <n v="4.240000000000002"/>
    <s v="High Difference"/>
  </r>
  <r>
    <n v="178518"/>
    <n v="38.840000000000003"/>
    <n v="37.74"/>
    <n v="2200"/>
    <s v="High"/>
    <s v="Families"/>
    <s v="No"/>
    <x v="2"/>
    <x v="0"/>
    <s v="No"/>
    <n v="85448.000000000015"/>
    <n v="1.1000000000000014"/>
    <s v="Low Difference"/>
  </r>
  <r>
    <n v="185924"/>
    <n v="5.84"/>
    <n v="1.86"/>
    <n v="2840"/>
    <s v="High"/>
    <s v="College students"/>
    <s v="Yes"/>
    <x v="2"/>
    <x v="1"/>
    <s v="No"/>
    <n v="16585.599999999999"/>
    <n v="3.9799999999999995"/>
    <s v="High Difference"/>
  </r>
  <r>
    <n v="161426"/>
    <n v="44.13"/>
    <n v="43.27"/>
    <n v="1739"/>
    <s v="Low"/>
    <s v="Seniors"/>
    <s v="No"/>
    <x v="1"/>
    <x v="2"/>
    <s v="No"/>
    <n v="76742.070000000007"/>
    <n v="0.85999999999999943"/>
    <s v="Low Difference"/>
  </r>
  <r>
    <n v="179528"/>
    <n v="40.14"/>
    <n v="36.200000000000003"/>
    <n v="2999"/>
    <s v="Low"/>
    <s v="College students"/>
    <s v="No"/>
    <x v="1"/>
    <x v="0"/>
    <s v="No"/>
    <n v="120379.86"/>
    <n v="3.9399999999999977"/>
    <s v="High Difference"/>
  </r>
  <r>
    <n v="152881"/>
    <n v="27.34"/>
    <n v="22.81"/>
    <n v="2971"/>
    <s v="Low"/>
    <s v="Seniors"/>
    <s v="Yes"/>
    <x v="2"/>
    <x v="1"/>
    <s v="No"/>
    <n v="81227.14"/>
    <n v="4.5300000000000011"/>
    <s v="High Difference"/>
  </r>
  <r>
    <n v="158853"/>
    <n v="46.23"/>
    <n v="41.51"/>
    <n v="793"/>
    <s v="Low"/>
    <s v="College students"/>
    <s v="Yes"/>
    <x v="0"/>
    <x v="2"/>
    <s v="No"/>
    <n v="36660.39"/>
    <n v="4.7199999999999989"/>
    <s v="High Difference"/>
  </r>
  <r>
    <n v="186138"/>
    <n v="33.229999999999997"/>
    <n v="30.17"/>
    <n v="2641"/>
    <s v="Low"/>
    <s v="Young adults"/>
    <s v="No"/>
    <x v="0"/>
    <x v="1"/>
    <s v="Yes"/>
    <n v="87760.43"/>
    <n v="3.0599999999999952"/>
    <s v="Moderate Difference"/>
  </r>
  <r>
    <n v="183223"/>
    <n v="27.65"/>
    <n v="27.47"/>
    <n v="1171"/>
    <s v="High"/>
    <s v="Young adults"/>
    <s v="Yes"/>
    <x v="0"/>
    <x v="2"/>
    <s v="Yes"/>
    <n v="32378.149999999998"/>
    <n v="0.17999999999999972"/>
    <s v="Low Difference"/>
  </r>
  <r>
    <n v="113169"/>
    <n v="22.42"/>
    <n v="20.12"/>
    <n v="2971"/>
    <s v="Low"/>
    <s v="Seniors"/>
    <s v="Yes"/>
    <x v="0"/>
    <x v="0"/>
    <s v="No"/>
    <n v="66609.820000000007"/>
    <n v="2.3000000000000007"/>
    <s v="Moderate Difference"/>
  </r>
  <r>
    <n v="138256"/>
    <n v="30.63"/>
    <n v="26.41"/>
    <n v="2188"/>
    <s v="High"/>
    <s v="College students"/>
    <s v="Yes"/>
    <x v="2"/>
    <x v="2"/>
    <s v="No"/>
    <n v="67018.44"/>
    <n v="4.2199999999999989"/>
    <s v="High Difference"/>
  </r>
  <r>
    <n v="115815"/>
    <n v="29.87"/>
    <n v="25.64"/>
    <n v="1287"/>
    <s v="High"/>
    <s v="Seniors"/>
    <s v="Yes"/>
    <x v="1"/>
    <x v="2"/>
    <s v="Yes"/>
    <n v="38442.69"/>
    <n v="4.2300000000000004"/>
    <s v="High Difference"/>
  </r>
  <r>
    <n v="162665"/>
    <n v="27.54"/>
    <n v="27.44"/>
    <n v="1946"/>
    <s v="Medium"/>
    <s v="Young adults"/>
    <s v="Yes"/>
    <x v="0"/>
    <x v="1"/>
    <s v="Yes"/>
    <n v="53592.84"/>
    <n v="9.9999999999997868E-2"/>
    <s v="Low Difference"/>
  </r>
  <r>
    <n v="135610"/>
    <n v="6.2"/>
    <n v="4.47"/>
    <n v="1989"/>
    <s v="High"/>
    <s v="College students"/>
    <s v="Yes"/>
    <x v="0"/>
    <x v="1"/>
    <s v="Yes"/>
    <n v="12331.800000000001"/>
    <n v="1.7300000000000004"/>
    <s v="Moderate Difference"/>
  </r>
  <r>
    <n v="164361"/>
    <n v="11.57"/>
    <n v="8.19"/>
    <n v="1557"/>
    <s v="High"/>
    <s v="Families"/>
    <s v="Yes"/>
    <x v="0"/>
    <x v="0"/>
    <s v="Yes"/>
    <n v="18014.490000000002"/>
    <n v="3.3800000000000008"/>
    <s v="Moderate Difference"/>
  </r>
  <r>
    <n v="112551"/>
    <n v="12.44"/>
    <n v="9.74"/>
    <n v="1060"/>
    <s v="Low"/>
    <s v="Families"/>
    <s v="No"/>
    <x v="2"/>
    <x v="0"/>
    <s v="No"/>
    <n v="13186.4"/>
    <n v="2.6999999999999993"/>
    <s v="Moderate Difference"/>
  </r>
  <r>
    <n v="184922"/>
    <n v="49.7"/>
    <n v="47.27"/>
    <n v="2461"/>
    <s v="Medium"/>
    <s v="College students"/>
    <s v="Yes"/>
    <x v="0"/>
    <x v="1"/>
    <s v="Yes"/>
    <n v="122311.70000000001"/>
    <n v="2.4299999999999997"/>
    <s v="Moderate Difference"/>
  </r>
  <r>
    <n v="159197"/>
    <n v="36.549999999999997"/>
    <n v="31.66"/>
    <n v="2745"/>
    <s v="High"/>
    <s v="Young adults"/>
    <s v="Yes"/>
    <x v="2"/>
    <x v="2"/>
    <s v="Yes"/>
    <n v="100329.74999999999"/>
    <n v="4.889999999999997"/>
    <s v="High Difference"/>
  </r>
  <r>
    <n v="162972"/>
    <n v="25.44"/>
    <n v="21.24"/>
    <n v="1802"/>
    <s v="Medium"/>
    <s v="Seniors"/>
    <s v="Yes"/>
    <x v="2"/>
    <x v="2"/>
    <s v="Yes"/>
    <n v="45842.880000000005"/>
    <n v="4.2000000000000028"/>
    <s v="High Difference"/>
  </r>
  <r>
    <n v="194018"/>
    <n v="27.67"/>
    <n v="22.78"/>
    <n v="1024"/>
    <s v="High"/>
    <s v="Seniors"/>
    <s v="Yes"/>
    <x v="2"/>
    <x v="1"/>
    <s v="No"/>
    <n v="28334.080000000002"/>
    <n v="4.8900000000000006"/>
    <s v="High Difference"/>
  </r>
  <r>
    <n v="128043"/>
    <n v="11"/>
    <n v="6.91"/>
    <n v="667"/>
    <s v="High"/>
    <s v="Young adults"/>
    <s v="Yes"/>
    <x v="0"/>
    <x v="0"/>
    <s v="No"/>
    <n v="7337"/>
    <n v="4.09"/>
    <s v="High Difference"/>
  </r>
  <r>
    <n v="194508"/>
    <n v="11.03"/>
    <n v="10.210000000000001"/>
    <n v="2691"/>
    <s v="Medium"/>
    <s v="College students"/>
    <s v="No"/>
    <x v="2"/>
    <x v="0"/>
    <s v="Yes"/>
    <n v="29681.73"/>
    <n v="0.81999999999999851"/>
    <s v="Low Difference"/>
  </r>
  <r>
    <n v="125010"/>
    <n v="30.97"/>
    <n v="26.4"/>
    <n v="533"/>
    <s v="Low"/>
    <s v="College students"/>
    <s v="Yes"/>
    <x v="2"/>
    <x v="0"/>
    <s v="No"/>
    <n v="16507.009999999998"/>
    <n v="4.57"/>
    <s v="High Difference"/>
  </r>
  <r>
    <n v="157494"/>
    <n v="21.68"/>
    <n v="19.100000000000001"/>
    <n v="1410"/>
    <s v="Low"/>
    <s v="Seniors"/>
    <s v="Yes"/>
    <x v="0"/>
    <x v="1"/>
    <s v="Yes"/>
    <n v="30568.799999999999"/>
    <n v="2.5799999999999983"/>
    <s v="Moderate Difference"/>
  </r>
  <r>
    <n v="195774"/>
    <n v="47.46"/>
    <n v="42.76"/>
    <n v="2905"/>
    <s v="Low"/>
    <s v="Young adults"/>
    <s v="No"/>
    <x v="1"/>
    <x v="0"/>
    <s v="No"/>
    <n v="137871.29999999999"/>
    <n v="4.7000000000000028"/>
    <s v="High Difference"/>
  </r>
  <r>
    <n v="133617"/>
    <n v="34.49"/>
    <n v="32.89"/>
    <n v="2881"/>
    <s v="Low"/>
    <s v="Seniors"/>
    <s v="No"/>
    <x v="1"/>
    <x v="0"/>
    <s v="Yes"/>
    <n v="99365.69"/>
    <n v="1.6000000000000014"/>
    <s v="Moderate Difference"/>
  </r>
  <r>
    <n v="176459"/>
    <n v="39.72"/>
    <n v="36.86"/>
    <n v="657"/>
    <s v="High"/>
    <s v="Families"/>
    <s v="No"/>
    <x v="2"/>
    <x v="1"/>
    <s v="No"/>
    <n v="26096.04"/>
    <n v="2.8599999999999994"/>
    <s v="Moderate Difference"/>
  </r>
  <r>
    <n v="138820"/>
    <n v="5.85"/>
    <n v="2.0299999999999998"/>
    <n v="2975"/>
    <s v="Low"/>
    <s v="Seniors"/>
    <s v="Yes"/>
    <x v="0"/>
    <x v="0"/>
    <s v="Yes"/>
    <n v="17403.75"/>
    <n v="3.82"/>
    <s v="High Difference"/>
  </r>
  <r>
    <n v="152123"/>
    <n v="26.07"/>
    <n v="25.02"/>
    <n v="955"/>
    <s v="Low"/>
    <s v="Families"/>
    <s v="Yes"/>
    <x v="2"/>
    <x v="0"/>
    <s v="No"/>
    <n v="24896.85"/>
    <n v="1.0500000000000007"/>
    <s v="Low Difference"/>
  </r>
  <r>
    <n v="165842"/>
    <n v="40.619999999999997"/>
    <n v="37.68"/>
    <n v="633"/>
    <s v="High"/>
    <s v="Seniors"/>
    <s v="No"/>
    <x v="2"/>
    <x v="0"/>
    <s v="Yes"/>
    <n v="25712.46"/>
    <n v="2.9399999999999977"/>
    <s v="Moderate Difference"/>
  </r>
  <r>
    <n v="160474"/>
    <n v="10.3"/>
    <n v="6.83"/>
    <n v="1430"/>
    <s v="Medium"/>
    <s v="College students"/>
    <s v="Yes"/>
    <x v="2"/>
    <x v="1"/>
    <s v="Yes"/>
    <n v="14729.000000000002"/>
    <n v="3.4700000000000006"/>
    <s v="Moderate Difference"/>
  </r>
  <r>
    <n v="198462"/>
    <n v="31.39"/>
    <n v="26.78"/>
    <n v="1779"/>
    <s v="Medium"/>
    <s v="Seniors"/>
    <s v="No"/>
    <x v="1"/>
    <x v="1"/>
    <s v="No"/>
    <n v="55842.81"/>
    <n v="4.6099999999999994"/>
    <s v="High Difference"/>
  </r>
  <r>
    <n v="194843"/>
    <n v="5.14"/>
    <n v="3.62"/>
    <n v="1324"/>
    <s v="Medium"/>
    <s v="College students"/>
    <s v="Yes"/>
    <x v="0"/>
    <x v="0"/>
    <s v="No"/>
    <n v="6805.36"/>
    <n v="1.5199999999999996"/>
    <s v="Moderate Difference"/>
  </r>
  <r>
    <n v="150604"/>
    <n v="25.89"/>
    <n v="22.26"/>
    <n v="2694"/>
    <s v="Low"/>
    <s v="Families"/>
    <s v="Yes"/>
    <x v="0"/>
    <x v="2"/>
    <s v="Yes"/>
    <n v="69747.66"/>
    <n v="3.629999999999999"/>
    <s v="Moderate Difference"/>
  </r>
  <r>
    <n v="190418"/>
    <n v="43.29"/>
    <n v="42.64"/>
    <n v="1341"/>
    <s v="Medium"/>
    <s v="Young adults"/>
    <s v="No"/>
    <x v="1"/>
    <x v="1"/>
    <s v="No"/>
    <n v="58051.89"/>
    <n v="0.64999999999999858"/>
    <s v="Low Difference"/>
  </r>
  <r>
    <n v="133094"/>
    <n v="29.18"/>
    <n v="28.36"/>
    <n v="2643"/>
    <s v="Medium"/>
    <s v="College students"/>
    <s v="Yes"/>
    <x v="2"/>
    <x v="2"/>
    <s v="Yes"/>
    <n v="77122.740000000005"/>
    <n v="0.82000000000000028"/>
    <s v="Low Difference"/>
  </r>
  <r>
    <n v="189074"/>
    <n v="5.9"/>
    <n v="1.5"/>
    <n v="1353"/>
    <s v="Medium"/>
    <s v="College students"/>
    <s v="Yes"/>
    <x v="1"/>
    <x v="2"/>
    <s v="Yes"/>
    <n v="7982.7000000000007"/>
    <n v="4.4000000000000004"/>
    <s v="High Difference"/>
  </r>
  <r>
    <n v="152783"/>
    <n v="44.43"/>
    <n v="43.93"/>
    <n v="2839"/>
    <s v="Low"/>
    <s v="Young adults"/>
    <s v="Yes"/>
    <x v="2"/>
    <x v="1"/>
    <s v="Yes"/>
    <n v="126136.77"/>
    <n v="0.5"/>
    <s v="Low Difference"/>
  </r>
  <r>
    <n v="152215"/>
    <n v="22.4"/>
    <n v="19.66"/>
    <n v="954"/>
    <s v="Low"/>
    <s v="Young adults"/>
    <s v="No"/>
    <x v="2"/>
    <x v="1"/>
    <s v="No"/>
    <n v="21369.599999999999"/>
    <n v="2.7399999999999984"/>
    <s v="Moderate Difference"/>
  </r>
  <r>
    <n v="174676"/>
    <n v="16.36"/>
    <n v="15.03"/>
    <n v="1509"/>
    <s v="Medium"/>
    <s v="Families"/>
    <s v="Yes"/>
    <x v="0"/>
    <x v="0"/>
    <s v="Yes"/>
    <n v="24687.239999999998"/>
    <n v="1.33"/>
    <s v="Moderate Difference"/>
  </r>
  <r>
    <n v="147821"/>
    <n v="26.3"/>
    <n v="24.58"/>
    <n v="2420"/>
    <s v="Low"/>
    <s v="College students"/>
    <s v="No"/>
    <x v="2"/>
    <x v="0"/>
    <s v="No"/>
    <n v="63646"/>
    <n v="1.7200000000000024"/>
    <s v="Moderate Difference"/>
  </r>
  <r>
    <n v="113180"/>
    <n v="47.71"/>
    <n v="46.97"/>
    <n v="2305"/>
    <s v="Medium"/>
    <s v="Families"/>
    <s v="Yes"/>
    <x v="0"/>
    <x v="1"/>
    <s v="No"/>
    <n v="109971.55"/>
    <n v="0.74000000000000199"/>
    <s v="Low Difference"/>
  </r>
  <r>
    <n v="147684"/>
    <n v="32.67"/>
    <n v="30.34"/>
    <n v="914"/>
    <s v="Medium"/>
    <s v="College students"/>
    <s v="No"/>
    <x v="0"/>
    <x v="0"/>
    <s v="No"/>
    <n v="29860.38"/>
    <n v="2.3300000000000018"/>
    <s v="Moderate Difference"/>
  </r>
  <r>
    <n v="110276"/>
    <n v="34.75"/>
    <n v="30.57"/>
    <n v="893"/>
    <s v="Medium"/>
    <s v="Young adults"/>
    <s v="Yes"/>
    <x v="0"/>
    <x v="2"/>
    <s v="Yes"/>
    <n v="31031.75"/>
    <n v="4.18"/>
    <s v="High Difference"/>
  </r>
  <r>
    <n v="119373"/>
    <n v="8.7200000000000006"/>
    <n v="5.39"/>
    <n v="2757"/>
    <s v="Low"/>
    <s v="College students"/>
    <s v="Yes"/>
    <x v="0"/>
    <x v="1"/>
    <s v="No"/>
    <n v="24041.040000000001"/>
    <n v="3.330000000000001"/>
    <s v="Moderate Difference"/>
  </r>
  <r>
    <n v="130090"/>
    <n v="13.15"/>
    <n v="12.98"/>
    <n v="905"/>
    <s v="Medium"/>
    <s v="Seniors"/>
    <s v="Yes"/>
    <x v="0"/>
    <x v="1"/>
    <s v="No"/>
    <n v="11900.75"/>
    <n v="0.16999999999999993"/>
    <s v="Low Difference"/>
  </r>
  <r>
    <n v="168451"/>
    <n v="10.27"/>
    <n v="7.41"/>
    <n v="1050"/>
    <s v="High"/>
    <s v="College students"/>
    <s v="No"/>
    <x v="2"/>
    <x v="1"/>
    <s v="No"/>
    <n v="10783.5"/>
    <n v="2.8599999999999994"/>
    <s v="Moderate Difference"/>
  </r>
  <r>
    <n v="196907"/>
    <n v="17.350000000000001"/>
    <n v="17.170000000000002"/>
    <n v="2911"/>
    <s v="Medium"/>
    <s v="Seniors"/>
    <s v="Yes"/>
    <x v="0"/>
    <x v="0"/>
    <s v="Yes"/>
    <n v="50505.850000000006"/>
    <n v="0.17999999999999972"/>
    <s v="Low Difference"/>
  </r>
  <r>
    <n v="153708"/>
    <n v="12.05"/>
    <n v="9.59"/>
    <n v="541"/>
    <s v="High"/>
    <s v="Seniors"/>
    <s v="Yes"/>
    <x v="0"/>
    <x v="0"/>
    <s v="No"/>
    <n v="6519.05"/>
    <n v="2.4600000000000009"/>
    <s v="Moderate Difference"/>
  </r>
  <r>
    <n v="116949"/>
    <n v="7.01"/>
    <n v="4.71"/>
    <n v="926"/>
    <s v="Low"/>
    <s v="College students"/>
    <s v="Yes"/>
    <x v="1"/>
    <x v="2"/>
    <s v="No"/>
    <n v="6491.26"/>
    <n v="2.2999999999999998"/>
    <s v="Moderate Difference"/>
  </r>
  <r>
    <n v="128184"/>
    <n v="26.69"/>
    <n v="22.29"/>
    <n v="527"/>
    <s v="Low"/>
    <s v="Families"/>
    <s v="Yes"/>
    <x v="0"/>
    <x v="2"/>
    <s v="No"/>
    <n v="14065.630000000001"/>
    <n v="4.4000000000000021"/>
    <s v="High Difference"/>
  </r>
  <r>
    <n v="190312"/>
    <n v="41.92"/>
    <n v="37.020000000000003"/>
    <n v="2252"/>
    <s v="Medium"/>
    <s v="Seniors"/>
    <s v="Yes"/>
    <x v="1"/>
    <x v="1"/>
    <s v="Yes"/>
    <n v="94403.840000000011"/>
    <n v="4.8999999999999986"/>
    <s v="High Difference"/>
  </r>
  <r>
    <n v="195839"/>
    <n v="43.89"/>
    <n v="39.28"/>
    <n v="769"/>
    <s v="Low"/>
    <s v="Families"/>
    <s v="Yes"/>
    <x v="0"/>
    <x v="2"/>
    <s v="Yes"/>
    <n v="33751.410000000003"/>
    <n v="4.6099999999999994"/>
    <s v="High Difference"/>
  </r>
  <r>
    <n v="197080"/>
    <n v="40.24"/>
    <n v="37.9"/>
    <n v="2798"/>
    <s v="Medium"/>
    <s v="Seniors"/>
    <s v="Yes"/>
    <x v="2"/>
    <x v="0"/>
    <s v="Yes"/>
    <n v="112591.52"/>
    <n v="2.3400000000000034"/>
    <s v="Moderate Difference"/>
  </r>
  <r>
    <n v="126882"/>
    <n v="8.7100000000000009"/>
    <n v="6.89"/>
    <n v="2166"/>
    <s v="Medium"/>
    <s v="College students"/>
    <s v="No"/>
    <x v="0"/>
    <x v="0"/>
    <s v="Yes"/>
    <n v="18865.86"/>
    <n v="1.8200000000000012"/>
    <s v="Moderate Difference"/>
  </r>
  <r>
    <n v="121683"/>
    <n v="14.48"/>
    <n v="11.5"/>
    <n v="1669"/>
    <s v="Low"/>
    <s v="College students"/>
    <s v="No"/>
    <x v="1"/>
    <x v="0"/>
    <s v="Yes"/>
    <n v="24167.119999999999"/>
    <n v="2.9800000000000004"/>
    <s v="Moderate Difference"/>
  </r>
  <r>
    <n v="114466"/>
    <n v="19.239999999999998"/>
    <n v="16.55"/>
    <n v="1056"/>
    <s v="High"/>
    <s v="Young adults"/>
    <s v="No"/>
    <x v="0"/>
    <x v="0"/>
    <s v="Yes"/>
    <n v="20317.439999999999"/>
    <n v="2.6899999999999977"/>
    <s v="Moderate Difference"/>
  </r>
  <r>
    <n v="133423"/>
    <n v="43.91"/>
    <n v="42.82"/>
    <n v="768"/>
    <s v="Low"/>
    <s v="Seniors"/>
    <s v="Yes"/>
    <x v="2"/>
    <x v="2"/>
    <s v="No"/>
    <n v="33722.879999999997"/>
    <n v="1.0899999999999963"/>
    <s v="Low Difference"/>
  </r>
  <r>
    <n v="129345"/>
    <n v="39.19"/>
    <n v="35.94"/>
    <n v="1227"/>
    <s v="High"/>
    <s v="Families"/>
    <s v="No"/>
    <x v="0"/>
    <x v="1"/>
    <s v="No"/>
    <n v="48086.13"/>
    <n v="3.25"/>
    <s v="Moderate Difference"/>
  </r>
  <r>
    <n v="182298"/>
    <n v="5.45"/>
    <n v="4.8899999999999997"/>
    <n v="2205"/>
    <s v="Low"/>
    <s v="Young adults"/>
    <s v="No"/>
    <x v="0"/>
    <x v="0"/>
    <s v="No"/>
    <n v="12017.25"/>
    <n v="0.5600000000000005"/>
    <s v="Low Difference"/>
  </r>
  <r>
    <n v="115099"/>
    <n v="44.39"/>
    <n v="43.57"/>
    <n v="2749"/>
    <s v="High"/>
    <s v="Families"/>
    <s v="No"/>
    <x v="1"/>
    <x v="2"/>
    <s v="No"/>
    <n v="122028.11"/>
    <n v="0.82000000000000028"/>
    <s v="Low Difference"/>
  </r>
  <r>
    <n v="123677"/>
    <n v="23.14"/>
    <n v="18.420000000000002"/>
    <n v="1331"/>
    <s v="Low"/>
    <s v="College students"/>
    <s v="No"/>
    <x v="1"/>
    <x v="0"/>
    <s v="Yes"/>
    <n v="30799.34"/>
    <n v="4.7199999999999989"/>
    <s v="High Difference"/>
  </r>
  <r>
    <n v="156228"/>
    <n v="32.1"/>
    <n v="27.11"/>
    <n v="1972"/>
    <s v="Medium"/>
    <s v="Young adults"/>
    <s v="Yes"/>
    <x v="2"/>
    <x v="2"/>
    <s v="Yes"/>
    <n v="63301.200000000004"/>
    <n v="4.990000000000002"/>
    <s v="High Difference"/>
  </r>
  <r>
    <n v="130446"/>
    <n v="32.33"/>
    <n v="29.9"/>
    <n v="2827"/>
    <s v="Medium"/>
    <s v="College students"/>
    <s v="No"/>
    <x v="1"/>
    <x v="2"/>
    <s v="Yes"/>
    <n v="91396.909999999989"/>
    <n v="2.4299999999999997"/>
    <s v="Moderate Difference"/>
  </r>
  <r>
    <n v="139743"/>
    <n v="43.33"/>
    <n v="38.659999999999997"/>
    <n v="1861"/>
    <s v="High"/>
    <s v="College students"/>
    <s v="No"/>
    <x v="2"/>
    <x v="2"/>
    <s v="Yes"/>
    <n v="80637.12999999999"/>
    <n v="4.6700000000000017"/>
    <s v="High Difference"/>
  </r>
  <r>
    <n v="137462"/>
    <n v="40.36"/>
    <n v="39.26"/>
    <n v="2714"/>
    <s v="Low"/>
    <s v="Families"/>
    <s v="Yes"/>
    <x v="2"/>
    <x v="1"/>
    <s v="Yes"/>
    <n v="109537.04"/>
    <n v="1.1000000000000014"/>
    <s v="Low Difference"/>
  </r>
  <r>
    <n v="180388"/>
    <n v="49.25"/>
    <n v="44.43"/>
    <n v="755"/>
    <s v="Medium"/>
    <s v="Seniors"/>
    <s v="No"/>
    <x v="0"/>
    <x v="2"/>
    <s v="No"/>
    <n v="37183.75"/>
    <n v="4.82"/>
    <s v="High Difference"/>
  </r>
  <r>
    <n v="193975"/>
    <n v="43.94"/>
    <n v="43.83"/>
    <n v="1414"/>
    <s v="High"/>
    <s v="College students"/>
    <s v="Yes"/>
    <x v="2"/>
    <x v="0"/>
    <s v="Yes"/>
    <n v="62131.159999999996"/>
    <n v="0.10999999999999943"/>
    <s v="Low Difference"/>
  </r>
  <r>
    <n v="126497"/>
    <n v="34.130000000000003"/>
    <n v="34.11"/>
    <n v="2838"/>
    <s v="Low"/>
    <s v="Young adults"/>
    <s v="No"/>
    <x v="1"/>
    <x v="1"/>
    <s v="No"/>
    <n v="96860.94"/>
    <n v="2.0000000000003126E-2"/>
    <s v="Low Difference"/>
  </r>
  <r>
    <n v="165072"/>
    <n v="37.020000000000003"/>
    <n v="33.369999999999997"/>
    <n v="2150"/>
    <s v="High"/>
    <s v="Seniors"/>
    <s v="No"/>
    <x v="1"/>
    <x v="2"/>
    <s v="Yes"/>
    <n v="79593"/>
    <n v="3.6500000000000057"/>
    <s v="Moderate Difference"/>
  </r>
  <r>
    <n v="146446"/>
    <n v="35.56"/>
    <n v="30.73"/>
    <n v="2477"/>
    <s v="High"/>
    <s v="Families"/>
    <s v="No"/>
    <x v="2"/>
    <x v="1"/>
    <s v="No"/>
    <n v="88082.12000000001"/>
    <n v="4.8300000000000018"/>
    <s v="High Difference"/>
  </r>
  <r>
    <n v="174450"/>
    <n v="7.33"/>
    <n v="6.04"/>
    <n v="2651"/>
    <s v="Medium"/>
    <s v="Young adults"/>
    <s v="No"/>
    <x v="2"/>
    <x v="1"/>
    <s v="Yes"/>
    <n v="19431.830000000002"/>
    <n v="1.29"/>
    <s v="Moderate Difference"/>
  </r>
  <r>
    <n v="130931"/>
    <n v="42.63"/>
    <n v="41.03"/>
    <n v="2224"/>
    <s v="High"/>
    <s v="Families"/>
    <s v="Yes"/>
    <x v="0"/>
    <x v="1"/>
    <s v="No"/>
    <n v="94809.12000000001"/>
    <n v="1.6000000000000014"/>
    <s v="Moderate Difference"/>
  </r>
  <r>
    <n v="196440"/>
    <n v="24.41"/>
    <n v="21.22"/>
    <n v="2300"/>
    <s v="High"/>
    <s v="Young adults"/>
    <s v="No"/>
    <x v="2"/>
    <x v="0"/>
    <s v="No"/>
    <n v="56143"/>
    <n v="3.1900000000000013"/>
    <s v="Moderate Difference"/>
  </r>
  <r>
    <n v="113511"/>
    <n v="21.22"/>
    <n v="19.82"/>
    <n v="2152"/>
    <s v="Medium"/>
    <s v="Families"/>
    <s v="Yes"/>
    <x v="1"/>
    <x v="0"/>
    <s v="Yes"/>
    <n v="45665.439999999995"/>
    <n v="1.3999999999999986"/>
    <s v="Moderate Difference"/>
  </r>
  <r>
    <n v="163155"/>
    <n v="14.59"/>
    <n v="13.38"/>
    <n v="2689"/>
    <s v="Medium"/>
    <s v="Seniors"/>
    <s v="No"/>
    <x v="0"/>
    <x v="1"/>
    <s v="No"/>
    <n v="39232.51"/>
    <n v="1.2099999999999991"/>
    <s v="Moderate Difference"/>
  </r>
  <r>
    <n v="143152"/>
    <n v="14.78"/>
    <n v="10.6"/>
    <n v="2046"/>
    <s v="Medium"/>
    <s v="Seniors"/>
    <s v="Yes"/>
    <x v="2"/>
    <x v="1"/>
    <s v="No"/>
    <n v="30239.879999999997"/>
    <n v="4.18"/>
    <s v="High Difference"/>
  </r>
  <r>
    <n v="178198"/>
    <n v="40.43"/>
    <n v="35.86"/>
    <n v="2288"/>
    <s v="Low"/>
    <s v="College students"/>
    <s v="No"/>
    <x v="2"/>
    <x v="2"/>
    <s v="No"/>
    <n v="92503.84"/>
    <n v="4.57"/>
    <s v="High Difference"/>
  </r>
  <r>
    <n v="173253"/>
    <n v="17.43"/>
    <n v="16.25"/>
    <n v="1979"/>
    <s v="Low"/>
    <s v="Young adults"/>
    <s v="Yes"/>
    <x v="2"/>
    <x v="1"/>
    <s v="No"/>
    <n v="34493.97"/>
    <n v="1.1799999999999997"/>
    <s v="Moderate Difference"/>
  </r>
  <r>
    <n v="131726"/>
    <n v="9.26"/>
    <n v="6.45"/>
    <n v="2488"/>
    <s v="Low"/>
    <s v="College students"/>
    <s v="Yes"/>
    <x v="1"/>
    <x v="0"/>
    <s v="No"/>
    <n v="23038.880000000001"/>
    <n v="2.8099999999999996"/>
    <s v="Moderate Difference"/>
  </r>
  <r>
    <n v="153970"/>
    <n v="7.44"/>
    <n v="5.4"/>
    <n v="1851"/>
    <s v="High"/>
    <s v="Seniors"/>
    <s v="Yes"/>
    <x v="0"/>
    <x v="2"/>
    <s v="Yes"/>
    <n v="13771.44"/>
    <n v="2.04"/>
    <s v="Moderate Difference"/>
  </r>
  <r>
    <n v="150686"/>
    <n v="44.09"/>
    <n v="40.32"/>
    <n v="2966"/>
    <s v="Low"/>
    <s v="College students"/>
    <s v="No"/>
    <x v="2"/>
    <x v="2"/>
    <s v="Yes"/>
    <n v="130770.94000000002"/>
    <n v="3.7700000000000031"/>
    <s v="High Difference"/>
  </r>
  <r>
    <n v="175349"/>
    <n v="37.75"/>
    <n v="34.49"/>
    <n v="1322"/>
    <s v="Medium"/>
    <s v="Young adults"/>
    <s v="No"/>
    <x v="1"/>
    <x v="1"/>
    <s v="No"/>
    <n v="49905.5"/>
    <n v="3.259999999999998"/>
    <s v="Moderate Difference"/>
  </r>
  <r>
    <n v="127292"/>
    <n v="17.28"/>
    <n v="14.4"/>
    <n v="1070"/>
    <s v="Medium"/>
    <s v="Seniors"/>
    <s v="No"/>
    <x v="0"/>
    <x v="1"/>
    <s v="No"/>
    <n v="18489.600000000002"/>
    <n v="2.8800000000000008"/>
    <s v="Moderate Difference"/>
  </r>
  <r>
    <n v="152568"/>
    <n v="6.81"/>
    <n v="5.61"/>
    <n v="2966"/>
    <s v="Low"/>
    <s v="Young adults"/>
    <s v="Yes"/>
    <x v="0"/>
    <x v="0"/>
    <s v="Yes"/>
    <n v="20198.46"/>
    <n v="1.1999999999999993"/>
    <s v="Moderate Difference"/>
  </r>
  <r>
    <n v="135414"/>
    <n v="32.97"/>
    <n v="30.24"/>
    <n v="1403"/>
    <s v="Medium"/>
    <s v="Young adults"/>
    <s v="Yes"/>
    <x v="1"/>
    <x v="1"/>
    <s v="Yes"/>
    <n v="46256.909999999996"/>
    <n v="2.7300000000000004"/>
    <s v="Moderate Difference"/>
  </r>
  <r>
    <n v="110319"/>
    <n v="6.05"/>
    <n v="1.1100000000000001"/>
    <n v="1775"/>
    <s v="High"/>
    <s v="Families"/>
    <s v="No"/>
    <x v="2"/>
    <x v="2"/>
    <s v="No"/>
    <n v="10738.75"/>
    <n v="4.9399999999999995"/>
    <s v="High Difference"/>
  </r>
  <r>
    <n v="174321"/>
    <n v="42.95"/>
    <n v="42.62"/>
    <n v="1662"/>
    <s v="Low"/>
    <s v="Seniors"/>
    <s v="Yes"/>
    <x v="1"/>
    <x v="1"/>
    <s v="No"/>
    <n v="71382.900000000009"/>
    <n v="0.3300000000000054"/>
    <s v="Low Difference"/>
  </r>
  <r>
    <n v="143069"/>
    <n v="17.23"/>
    <n v="13.46"/>
    <n v="677"/>
    <s v="High"/>
    <s v="College students"/>
    <s v="No"/>
    <x v="1"/>
    <x v="1"/>
    <s v="Yes"/>
    <n v="11664.710000000001"/>
    <n v="3.7699999999999996"/>
    <s v="High Difference"/>
  </r>
  <r>
    <n v="155092"/>
    <n v="39.659999999999997"/>
    <n v="39.049999999999997"/>
    <n v="876"/>
    <s v="High"/>
    <s v="College students"/>
    <s v="Yes"/>
    <x v="1"/>
    <x v="0"/>
    <s v="Yes"/>
    <n v="34742.159999999996"/>
    <n v="0.60999999999999943"/>
    <s v="Low Difference"/>
  </r>
  <r>
    <n v="114253"/>
    <n v="35.630000000000003"/>
    <n v="31.26"/>
    <n v="1495"/>
    <s v="Low"/>
    <s v="College students"/>
    <s v="No"/>
    <x v="2"/>
    <x v="1"/>
    <s v="No"/>
    <n v="53266.850000000006"/>
    <n v="4.370000000000001"/>
    <s v="High Difference"/>
  </r>
  <r>
    <n v="177321"/>
    <n v="31.78"/>
    <n v="31.35"/>
    <n v="2286"/>
    <s v="Low"/>
    <s v="Families"/>
    <s v="No"/>
    <x v="1"/>
    <x v="0"/>
    <s v="Yes"/>
    <n v="72649.08"/>
    <n v="0.42999999999999972"/>
    <s v="Low Difference"/>
  </r>
  <r>
    <n v="130550"/>
    <n v="6.61"/>
    <n v="5.61"/>
    <n v="1698"/>
    <s v="Medium"/>
    <s v="Young adults"/>
    <s v="Yes"/>
    <x v="0"/>
    <x v="2"/>
    <s v="No"/>
    <n v="11223.78"/>
    <n v="1"/>
    <s v="Low Difference"/>
  </r>
  <r>
    <n v="152773"/>
    <n v="49.74"/>
    <n v="46.3"/>
    <n v="2148"/>
    <s v="Medium"/>
    <s v="College students"/>
    <s v="No"/>
    <x v="2"/>
    <x v="0"/>
    <s v="Yes"/>
    <n v="106841.52"/>
    <n v="3.4400000000000048"/>
    <s v="Moderate Difference"/>
  </r>
  <r>
    <n v="175790"/>
    <n v="21.18"/>
    <n v="18.05"/>
    <n v="1788"/>
    <s v="Medium"/>
    <s v="College students"/>
    <s v="Yes"/>
    <x v="0"/>
    <x v="2"/>
    <s v="Yes"/>
    <n v="37869.839999999997"/>
    <n v="3.129999999999999"/>
    <s v="Moderate Difference"/>
  </r>
  <r>
    <n v="126957"/>
    <n v="36.950000000000003"/>
    <n v="34.299999999999997"/>
    <n v="1809"/>
    <s v="High"/>
    <s v="Families"/>
    <s v="No"/>
    <x v="2"/>
    <x v="0"/>
    <s v="Yes"/>
    <n v="66842.55"/>
    <n v="2.6500000000000057"/>
    <s v="Moderate Difference"/>
  </r>
  <r>
    <n v="178874"/>
    <n v="34.22"/>
    <n v="31.38"/>
    <n v="952"/>
    <s v="High"/>
    <s v="Seniors"/>
    <s v="No"/>
    <x v="0"/>
    <x v="0"/>
    <s v="Yes"/>
    <n v="32577.439999999999"/>
    <n v="2.84"/>
    <s v="Moderate Difference"/>
  </r>
  <r>
    <n v="195207"/>
    <n v="26.14"/>
    <n v="24.73"/>
    <n v="1716"/>
    <s v="High"/>
    <s v="Young adults"/>
    <s v="Yes"/>
    <x v="2"/>
    <x v="1"/>
    <s v="No"/>
    <n v="44856.24"/>
    <n v="1.4100000000000001"/>
    <s v="Moderate Difference"/>
  </r>
  <r>
    <n v="157384"/>
    <n v="24.53"/>
    <n v="23.54"/>
    <n v="2479"/>
    <s v="High"/>
    <s v="Seniors"/>
    <s v="Yes"/>
    <x v="1"/>
    <x v="0"/>
    <s v="No"/>
    <n v="60809.87"/>
    <n v="0.99000000000000199"/>
    <s v="Low Difference"/>
  </r>
  <r>
    <n v="110980"/>
    <n v="11.77"/>
    <n v="8.42"/>
    <n v="1610"/>
    <s v="Medium"/>
    <s v="Young adults"/>
    <s v="No"/>
    <x v="0"/>
    <x v="1"/>
    <s v="Yes"/>
    <n v="18949.7"/>
    <n v="3.3499999999999996"/>
    <s v="Moderate Difference"/>
  </r>
  <r>
    <n v="144539"/>
    <n v="28.83"/>
    <n v="24.6"/>
    <n v="2162"/>
    <s v="High"/>
    <s v="Families"/>
    <s v="No"/>
    <x v="2"/>
    <x v="2"/>
    <s v="Yes"/>
    <n v="62330.46"/>
    <n v="4.2299999999999969"/>
    <s v="High Difference"/>
  </r>
  <r>
    <n v="156638"/>
    <n v="42.21"/>
    <n v="38.19"/>
    <n v="1539"/>
    <s v="Medium"/>
    <s v="Seniors"/>
    <s v="Yes"/>
    <x v="2"/>
    <x v="2"/>
    <s v="Yes"/>
    <n v="64961.19"/>
    <n v="4.0200000000000031"/>
    <s v="High Difference"/>
  </r>
  <r>
    <n v="135717"/>
    <n v="31.74"/>
    <n v="30.41"/>
    <n v="743"/>
    <s v="Medium"/>
    <s v="Families"/>
    <s v="No"/>
    <x v="0"/>
    <x v="0"/>
    <s v="No"/>
    <n v="23582.82"/>
    <n v="1.3299999999999983"/>
    <s v="Moderate Difference"/>
  </r>
  <r>
    <n v="152395"/>
    <n v="13.29"/>
    <n v="10.199999999999999"/>
    <n v="1802"/>
    <s v="High"/>
    <s v="College students"/>
    <s v="No"/>
    <x v="1"/>
    <x v="1"/>
    <s v="No"/>
    <n v="23948.579999999998"/>
    <n v="3.09"/>
    <s v="Moderate Difference"/>
  </r>
  <r>
    <n v="160346"/>
    <n v="45.45"/>
    <n v="42.33"/>
    <n v="1416"/>
    <s v="High"/>
    <s v="Families"/>
    <s v="No"/>
    <x v="0"/>
    <x v="1"/>
    <s v="Yes"/>
    <n v="64357.200000000004"/>
    <n v="3.1200000000000045"/>
    <s v="Moderate Difference"/>
  </r>
  <r>
    <n v="142963"/>
    <n v="30.48"/>
    <n v="27.39"/>
    <n v="1087"/>
    <s v="Medium"/>
    <s v="College students"/>
    <s v="No"/>
    <x v="1"/>
    <x v="0"/>
    <s v="Yes"/>
    <n v="33131.760000000002"/>
    <n v="3.09"/>
    <s v="Moderate Difference"/>
  </r>
  <r>
    <n v="155793"/>
    <n v="17.79"/>
    <n v="17.61"/>
    <n v="2225"/>
    <s v="Medium"/>
    <s v="Young adults"/>
    <s v="No"/>
    <x v="1"/>
    <x v="1"/>
    <s v="Yes"/>
    <n v="39582.75"/>
    <n v="0.17999999999999972"/>
    <s v="Low Difference"/>
  </r>
  <r>
    <n v="124413"/>
    <n v="30.06"/>
    <n v="29.48"/>
    <n v="1232"/>
    <s v="High"/>
    <s v="Families"/>
    <s v="No"/>
    <x v="2"/>
    <x v="2"/>
    <s v="Yes"/>
    <n v="37033.919999999998"/>
    <n v="0.57999999999999829"/>
    <s v="Low Difference"/>
  </r>
  <r>
    <n v="160541"/>
    <n v="24.79"/>
    <n v="21.25"/>
    <n v="1311"/>
    <s v="High"/>
    <s v="Young adults"/>
    <s v="No"/>
    <x v="1"/>
    <x v="1"/>
    <s v="No"/>
    <n v="32499.69"/>
    <n v="3.5399999999999991"/>
    <s v="Moderate Difference"/>
  </r>
  <r>
    <n v="114964"/>
    <n v="16.47"/>
    <n v="13.41"/>
    <n v="570"/>
    <s v="Medium"/>
    <s v="Seniors"/>
    <s v="Yes"/>
    <x v="2"/>
    <x v="1"/>
    <s v="No"/>
    <n v="9387.9"/>
    <n v="3.0599999999999987"/>
    <s v="Moderate Difference"/>
  </r>
  <r>
    <n v="199673"/>
    <n v="8.1999999999999993"/>
    <n v="4.13"/>
    <n v="2488"/>
    <s v="High"/>
    <s v="Seniors"/>
    <s v="No"/>
    <x v="1"/>
    <x v="2"/>
    <s v="Yes"/>
    <n v="20401.599999999999"/>
    <n v="4.0699999999999994"/>
    <s v="High Difference"/>
  </r>
  <r>
    <n v="141355"/>
    <n v="34.36"/>
    <n v="33.24"/>
    <n v="1950"/>
    <s v="High"/>
    <s v="Families"/>
    <s v="Yes"/>
    <x v="1"/>
    <x v="0"/>
    <s v="No"/>
    <n v="67002"/>
    <n v="1.1199999999999974"/>
    <s v="Low Difference"/>
  </r>
  <r>
    <n v="144362"/>
    <n v="22.69"/>
    <n v="20.5"/>
    <n v="2270"/>
    <s v="High"/>
    <s v="Seniors"/>
    <s v="Yes"/>
    <x v="0"/>
    <x v="0"/>
    <s v="Yes"/>
    <n v="51506.3"/>
    <n v="2.1900000000000013"/>
    <s v="Moderate Difference"/>
  </r>
  <r>
    <n v="144721"/>
    <n v="25.51"/>
    <n v="22.38"/>
    <n v="2917"/>
    <s v="High"/>
    <s v="Families"/>
    <s v="No"/>
    <x v="2"/>
    <x v="1"/>
    <s v="No"/>
    <n v="74412.67"/>
    <n v="3.1300000000000026"/>
    <s v="Moderate Difference"/>
  </r>
  <r>
    <n v="139337"/>
    <n v="42.31"/>
    <n v="41.34"/>
    <n v="1878"/>
    <s v="Medium"/>
    <s v="Young adults"/>
    <s v="Yes"/>
    <x v="1"/>
    <x v="0"/>
    <s v="No"/>
    <n v="79458.180000000008"/>
    <n v="0.96999999999999886"/>
    <s v="Low Difference"/>
  </r>
  <r>
    <n v="167218"/>
    <n v="35.35"/>
    <n v="34.4"/>
    <n v="2621"/>
    <s v="Low"/>
    <s v="College students"/>
    <s v="No"/>
    <x v="1"/>
    <x v="0"/>
    <s v="No"/>
    <n v="92652.35"/>
    <n v="0.95000000000000284"/>
    <s v="Low Difference"/>
  </r>
  <r>
    <n v="119583"/>
    <n v="6.32"/>
    <n v="5.2"/>
    <n v="1332"/>
    <s v="High"/>
    <s v="Young adults"/>
    <s v="No"/>
    <x v="2"/>
    <x v="1"/>
    <s v="Yes"/>
    <n v="8418.24"/>
    <n v="1.1200000000000001"/>
    <s v="Low Difference"/>
  </r>
  <r>
    <n v="195223"/>
    <n v="23.16"/>
    <n v="22.01"/>
    <n v="2526"/>
    <s v="Medium"/>
    <s v="College students"/>
    <s v="No"/>
    <x v="2"/>
    <x v="0"/>
    <s v="Yes"/>
    <n v="58502.16"/>
    <n v="1.1499999999999986"/>
    <s v="Low Difference"/>
  </r>
  <r>
    <n v="175927"/>
    <n v="45.95"/>
    <n v="41.25"/>
    <n v="2014"/>
    <s v="Medium"/>
    <s v="Young adults"/>
    <s v="No"/>
    <x v="1"/>
    <x v="0"/>
    <s v="Yes"/>
    <n v="92543.3"/>
    <n v="4.7000000000000028"/>
    <s v="High Difference"/>
  </r>
  <r>
    <n v="130120"/>
    <n v="42.89"/>
    <n v="38.76"/>
    <n v="2963"/>
    <s v="Low"/>
    <s v="Families"/>
    <s v="No"/>
    <x v="1"/>
    <x v="1"/>
    <s v="No"/>
    <n v="127083.07"/>
    <n v="4.1300000000000026"/>
    <s v="High Difference"/>
  </r>
  <r>
    <n v="141261"/>
    <n v="49.98"/>
    <n v="47.6"/>
    <n v="641"/>
    <s v="Low"/>
    <s v="Young adults"/>
    <s v="Yes"/>
    <x v="2"/>
    <x v="0"/>
    <s v="No"/>
    <n v="32037.179999999997"/>
    <n v="2.3799999999999955"/>
    <s v="Moderate Difference"/>
  </r>
  <r>
    <n v="186584"/>
    <n v="33.76"/>
    <n v="33.19"/>
    <n v="1370"/>
    <s v="Medium"/>
    <s v="College students"/>
    <s v="Yes"/>
    <x v="0"/>
    <x v="1"/>
    <s v="No"/>
    <n v="46251.199999999997"/>
    <n v="0.57000000000000028"/>
    <s v="Low Difference"/>
  </r>
  <r>
    <n v="120793"/>
    <n v="29.98"/>
    <n v="28.14"/>
    <n v="2204"/>
    <s v="Medium"/>
    <s v="Seniors"/>
    <s v="No"/>
    <x v="2"/>
    <x v="1"/>
    <s v="Yes"/>
    <n v="66075.92"/>
    <n v="1.8399999999999999"/>
    <s v="Moderate Difference"/>
  </r>
  <r>
    <n v="155385"/>
    <n v="38.799999999999997"/>
    <n v="35.71"/>
    <n v="1973"/>
    <s v="Medium"/>
    <s v="Young adults"/>
    <s v="No"/>
    <x v="1"/>
    <x v="1"/>
    <s v="No"/>
    <n v="76552.399999999994"/>
    <n v="3.0899999999999963"/>
    <s v="Moderate Difference"/>
  </r>
  <r>
    <n v="151124"/>
    <n v="8.34"/>
    <n v="7.22"/>
    <n v="2895"/>
    <s v="High"/>
    <s v="Families"/>
    <s v="No"/>
    <x v="1"/>
    <x v="0"/>
    <s v="No"/>
    <n v="24144.3"/>
    <n v="1.1200000000000001"/>
    <s v="Low Difference"/>
  </r>
  <r>
    <n v="179168"/>
    <n v="47.77"/>
    <n v="44.38"/>
    <n v="1389"/>
    <s v="Low"/>
    <s v="Families"/>
    <s v="No"/>
    <x v="2"/>
    <x v="1"/>
    <s v="Yes"/>
    <n v="66352.53"/>
    <n v="3.3900000000000006"/>
    <s v="Moderate Difference"/>
  </r>
  <r>
    <n v="162419"/>
    <n v="27.09"/>
    <n v="25.32"/>
    <n v="617"/>
    <s v="High"/>
    <s v="Seniors"/>
    <s v="Yes"/>
    <x v="0"/>
    <x v="1"/>
    <s v="Yes"/>
    <n v="16714.53"/>
    <n v="1.7699999999999996"/>
    <s v="Moderate Difference"/>
  </r>
  <r>
    <n v="113067"/>
    <n v="26.16"/>
    <n v="24.53"/>
    <n v="1062"/>
    <s v="High"/>
    <s v="Families"/>
    <s v="No"/>
    <x v="2"/>
    <x v="0"/>
    <s v="No"/>
    <n v="27781.920000000002"/>
    <n v="1.629999999999999"/>
    <s v="Moderate Difference"/>
  </r>
  <r>
    <n v="178104"/>
    <n v="15.32"/>
    <n v="13.21"/>
    <n v="2827"/>
    <s v="High"/>
    <s v="Seniors"/>
    <s v="No"/>
    <x v="0"/>
    <x v="1"/>
    <s v="Yes"/>
    <n v="43309.64"/>
    <n v="2.1099999999999994"/>
    <s v="Moderate Difference"/>
  </r>
  <r>
    <n v="138903"/>
    <n v="39.869999999999997"/>
    <n v="39.54"/>
    <n v="1981"/>
    <s v="Low"/>
    <s v="Families"/>
    <s v="No"/>
    <x v="0"/>
    <x v="0"/>
    <s v="No"/>
    <n v="78982.47"/>
    <n v="0.32999999999999829"/>
    <s v="Low Difference"/>
  </r>
  <r>
    <n v="116993"/>
    <n v="31.69"/>
    <n v="31.54"/>
    <n v="2938"/>
    <s v="High"/>
    <s v="College students"/>
    <s v="No"/>
    <x v="2"/>
    <x v="0"/>
    <s v="No"/>
    <n v="93105.22"/>
    <n v="0.15000000000000213"/>
    <s v="Low Difference"/>
  </r>
  <r>
    <n v="111935"/>
    <n v="16.27"/>
    <n v="15.54"/>
    <n v="1831"/>
    <s v="High"/>
    <s v="College students"/>
    <s v="No"/>
    <x v="0"/>
    <x v="0"/>
    <s v="No"/>
    <n v="29790.37"/>
    <n v="0.73000000000000043"/>
    <s v="Low Difference"/>
  </r>
  <r>
    <n v="115210"/>
    <n v="28.08"/>
    <n v="25.81"/>
    <n v="2068"/>
    <s v="High"/>
    <s v="Seniors"/>
    <s v="No"/>
    <x v="2"/>
    <x v="1"/>
    <s v="Yes"/>
    <n v="58069.439999999995"/>
    <n v="2.2699999999999996"/>
    <s v="Moderate Difference"/>
  </r>
  <r>
    <n v="173296"/>
    <n v="11.95"/>
    <n v="11.03"/>
    <n v="1009"/>
    <s v="Medium"/>
    <s v="College students"/>
    <s v="No"/>
    <x v="1"/>
    <x v="0"/>
    <s v="Yes"/>
    <n v="12057.55"/>
    <n v="0.91999999999999993"/>
    <s v="Low Difference"/>
  </r>
  <r>
    <n v="110709"/>
    <n v="18.48"/>
    <n v="17.43"/>
    <n v="2450"/>
    <s v="Medium"/>
    <s v="College students"/>
    <s v="No"/>
    <x v="0"/>
    <x v="2"/>
    <s v="Yes"/>
    <n v="45276"/>
    <n v="1.0500000000000007"/>
    <s v="Low Difference"/>
  </r>
  <r>
    <n v="134034"/>
    <n v="31.72"/>
    <n v="28.87"/>
    <n v="2571"/>
    <s v="High"/>
    <s v="Young adults"/>
    <s v="Yes"/>
    <x v="2"/>
    <x v="0"/>
    <s v="Yes"/>
    <n v="81552.12"/>
    <n v="2.8499999999999979"/>
    <s v="Moderate Difference"/>
  </r>
  <r>
    <n v="165430"/>
    <n v="29.45"/>
    <n v="26.6"/>
    <n v="2815"/>
    <s v="High"/>
    <s v="College students"/>
    <s v="Yes"/>
    <x v="0"/>
    <x v="2"/>
    <s v="No"/>
    <n v="82901.75"/>
    <n v="2.8499999999999979"/>
    <s v="Moderate Difference"/>
  </r>
  <r>
    <n v="192396"/>
    <n v="7.32"/>
    <n v="7.08"/>
    <n v="1039"/>
    <s v="Low"/>
    <s v="Families"/>
    <s v="No"/>
    <x v="2"/>
    <x v="2"/>
    <s v="Yes"/>
    <n v="7605.4800000000005"/>
    <n v="0.24000000000000021"/>
    <s v="Low Difference"/>
  </r>
  <r>
    <n v="115581"/>
    <n v="44.47"/>
    <n v="40.07"/>
    <n v="2455"/>
    <s v="Medium"/>
    <s v="College students"/>
    <s v="No"/>
    <x v="0"/>
    <x v="0"/>
    <s v="Yes"/>
    <n v="109173.84999999999"/>
    <n v="4.3999999999999986"/>
    <s v="High Difference"/>
  </r>
  <r>
    <n v="149662"/>
    <n v="13.33"/>
    <n v="11.68"/>
    <n v="1376"/>
    <s v="Low"/>
    <s v="College students"/>
    <s v="Yes"/>
    <x v="1"/>
    <x v="1"/>
    <s v="No"/>
    <n v="18342.080000000002"/>
    <n v="1.6500000000000004"/>
    <s v="Moderate Difference"/>
  </r>
  <r>
    <n v="169368"/>
    <n v="24.1"/>
    <n v="19.13"/>
    <n v="1955"/>
    <s v="High"/>
    <s v="Families"/>
    <s v="Yes"/>
    <x v="2"/>
    <x v="2"/>
    <s v="No"/>
    <n v="47115.5"/>
    <n v="4.9700000000000024"/>
    <s v="High Difference"/>
  </r>
  <r>
    <n v="173174"/>
    <n v="12.05"/>
    <n v="9.14"/>
    <n v="636"/>
    <s v="High"/>
    <s v="Seniors"/>
    <s v="No"/>
    <x v="1"/>
    <x v="0"/>
    <s v="No"/>
    <n v="7663.8"/>
    <n v="2.91"/>
    <s v="Moderate Difference"/>
  </r>
  <r>
    <n v="153411"/>
    <n v="25.9"/>
    <n v="25.7"/>
    <n v="869"/>
    <s v="Low"/>
    <s v="Families"/>
    <s v="Yes"/>
    <x v="2"/>
    <x v="0"/>
    <s v="Yes"/>
    <n v="22507.1"/>
    <n v="0.19999999999999929"/>
    <s v="Low Difference"/>
  </r>
  <r>
    <n v="135465"/>
    <n v="12.65"/>
    <n v="11.97"/>
    <n v="1015"/>
    <s v="High"/>
    <s v="College students"/>
    <s v="Yes"/>
    <x v="0"/>
    <x v="2"/>
    <s v="No"/>
    <n v="12839.75"/>
    <n v="0.67999999999999972"/>
    <s v="Low Difference"/>
  </r>
  <r>
    <n v="151005"/>
    <n v="17.79"/>
    <n v="12.86"/>
    <n v="1276"/>
    <s v="Low"/>
    <s v="Seniors"/>
    <s v="No"/>
    <x v="1"/>
    <x v="2"/>
    <s v="No"/>
    <n v="22700.039999999997"/>
    <n v="4.93"/>
    <s v="High Difference"/>
  </r>
  <r>
    <n v="172517"/>
    <n v="23.94"/>
    <n v="19.7"/>
    <n v="808"/>
    <s v="Medium"/>
    <s v="Seniors"/>
    <s v="No"/>
    <x v="0"/>
    <x v="1"/>
    <s v="Yes"/>
    <n v="19343.52"/>
    <n v="4.240000000000002"/>
    <s v="High Difference"/>
  </r>
  <r>
    <n v="113368"/>
    <n v="17.48"/>
    <n v="12.55"/>
    <n v="2682"/>
    <s v="High"/>
    <s v="Young adults"/>
    <s v="No"/>
    <x v="1"/>
    <x v="0"/>
    <s v="Yes"/>
    <n v="46881.36"/>
    <n v="4.93"/>
    <s v="High Difference"/>
  </r>
  <r>
    <n v="112801"/>
    <n v="41.6"/>
    <n v="38.31"/>
    <n v="1363"/>
    <s v="High"/>
    <s v="Young adults"/>
    <s v="Yes"/>
    <x v="2"/>
    <x v="2"/>
    <s v="Yes"/>
    <n v="56700.800000000003"/>
    <n v="3.2899999999999991"/>
    <s v="Moderate Difference"/>
  </r>
  <r>
    <n v="163286"/>
    <n v="49.64"/>
    <n v="48.84"/>
    <n v="2184"/>
    <s v="Low"/>
    <s v="Young adults"/>
    <s v="No"/>
    <x v="0"/>
    <x v="2"/>
    <s v="No"/>
    <n v="108413.75999999999"/>
    <n v="0.79999999999999716"/>
    <s v="Low Difference"/>
  </r>
  <r>
    <n v="175963"/>
    <n v="15.09"/>
    <n v="12.43"/>
    <n v="1417"/>
    <s v="High"/>
    <s v="College students"/>
    <s v="Yes"/>
    <x v="1"/>
    <x v="0"/>
    <s v="Yes"/>
    <n v="21382.53"/>
    <n v="2.66"/>
    <s v="Moderate Difference"/>
  </r>
  <r>
    <n v="119258"/>
    <n v="41.97"/>
    <n v="40.32"/>
    <n v="1415"/>
    <s v="Medium"/>
    <s v="Families"/>
    <s v="No"/>
    <x v="1"/>
    <x v="0"/>
    <s v="No"/>
    <n v="59387.549999999996"/>
    <n v="1.6499999999999986"/>
    <s v="Moderate Difference"/>
  </r>
  <r>
    <n v="131817"/>
    <n v="33.479999999999997"/>
    <n v="28.94"/>
    <n v="2889"/>
    <s v="High"/>
    <s v="Families"/>
    <s v="No"/>
    <x v="1"/>
    <x v="1"/>
    <s v="Yes"/>
    <n v="96723.719999999987"/>
    <n v="4.5399999999999956"/>
    <s v="High Difference"/>
  </r>
  <r>
    <n v="193731"/>
    <n v="49.55"/>
    <n v="49.1"/>
    <n v="1592"/>
    <s v="Medium"/>
    <s v="Families"/>
    <s v="Yes"/>
    <x v="0"/>
    <x v="0"/>
    <s v="No"/>
    <n v="78883.599999999991"/>
    <n v="0.44999999999999574"/>
    <s v="Low Difference"/>
  </r>
  <r>
    <n v="175087"/>
    <n v="24.64"/>
    <n v="23.91"/>
    <n v="2874"/>
    <s v="High"/>
    <s v="Families"/>
    <s v="No"/>
    <x v="1"/>
    <x v="2"/>
    <s v="No"/>
    <n v="70815.360000000001"/>
    <n v="0.73000000000000043"/>
    <s v="Low Difference"/>
  </r>
  <r>
    <n v="129041"/>
    <n v="40.28"/>
    <n v="38.369999999999997"/>
    <n v="2025"/>
    <s v="Low"/>
    <s v="Seniors"/>
    <s v="Yes"/>
    <x v="1"/>
    <x v="2"/>
    <s v="No"/>
    <n v="81567"/>
    <n v="1.9100000000000037"/>
    <s v="Moderate Difference"/>
  </r>
  <r>
    <n v="194723"/>
    <n v="10.09"/>
    <n v="5.6"/>
    <n v="1846"/>
    <s v="Low"/>
    <s v="Families"/>
    <s v="No"/>
    <x v="1"/>
    <x v="0"/>
    <s v="Yes"/>
    <n v="18626.14"/>
    <n v="4.49"/>
    <s v="High Difference"/>
  </r>
  <r>
    <n v="178350"/>
    <n v="36.71"/>
    <n v="34.549999999999997"/>
    <n v="1964"/>
    <s v="High"/>
    <s v="Families"/>
    <s v="No"/>
    <x v="1"/>
    <x v="2"/>
    <s v="Yes"/>
    <n v="72098.44"/>
    <n v="2.1600000000000037"/>
    <s v="Moderate Difference"/>
  </r>
  <r>
    <n v="137798"/>
    <n v="18.91"/>
    <n v="17.760000000000002"/>
    <n v="1408"/>
    <s v="High"/>
    <s v="Young adults"/>
    <s v="No"/>
    <x v="2"/>
    <x v="0"/>
    <s v="No"/>
    <n v="26625.279999999999"/>
    <n v="1.1499999999999986"/>
    <s v="Low Difference"/>
  </r>
  <r>
    <n v="158893"/>
    <n v="35.65"/>
    <n v="31.08"/>
    <n v="1272"/>
    <s v="Low"/>
    <s v="Seniors"/>
    <s v="Yes"/>
    <x v="2"/>
    <x v="0"/>
    <s v="Yes"/>
    <n v="45346.799999999996"/>
    <n v="4.57"/>
    <s v="High Difference"/>
  </r>
  <r>
    <n v="149201"/>
    <n v="46.97"/>
    <n v="46.34"/>
    <n v="521"/>
    <s v="Medium"/>
    <s v="Families"/>
    <s v="Yes"/>
    <x v="0"/>
    <x v="1"/>
    <s v="Yes"/>
    <n v="24471.37"/>
    <n v="0.62999999999999545"/>
    <s v="Low Difference"/>
  </r>
  <r>
    <n v="169631"/>
    <n v="17.05"/>
    <n v="14.8"/>
    <n v="2100"/>
    <s v="High"/>
    <s v="Seniors"/>
    <s v="No"/>
    <x v="0"/>
    <x v="1"/>
    <s v="No"/>
    <n v="35805"/>
    <n v="2.25"/>
    <s v="Moderate Difference"/>
  </r>
  <r>
    <n v="168106"/>
    <n v="18.93"/>
    <n v="18.41"/>
    <n v="1134"/>
    <s v="Low"/>
    <s v="College students"/>
    <s v="No"/>
    <x v="2"/>
    <x v="2"/>
    <s v="No"/>
    <n v="21466.62"/>
    <n v="0.51999999999999957"/>
    <s v="Low Difference"/>
  </r>
  <r>
    <n v="177650"/>
    <n v="43.59"/>
    <n v="39.89"/>
    <n v="2241"/>
    <s v="High"/>
    <s v="Seniors"/>
    <s v="Yes"/>
    <x v="0"/>
    <x v="1"/>
    <s v="No"/>
    <n v="97685.19"/>
    <n v="3.7000000000000028"/>
    <s v="Moderate Difference"/>
  </r>
  <r>
    <n v="154029"/>
    <n v="34.880000000000003"/>
    <n v="34.6"/>
    <n v="2954"/>
    <s v="Low"/>
    <s v="Young adults"/>
    <s v="Yes"/>
    <x v="1"/>
    <x v="2"/>
    <s v="Yes"/>
    <n v="103035.52"/>
    <n v="0.28000000000000114"/>
    <s v="Low Difference"/>
  </r>
  <r>
    <n v="130738"/>
    <n v="14.18"/>
    <n v="13.19"/>
    <n v="1085"/>
    <s v="Medium"/>
    <s v="Seniors"/>
    <s v="Yes"/>
    <x v="2"/>
    <x v="0"/>
    <s v="No"/>
    <n v="15385.3"/>
    <n v="0.99000000000000021"/>
    <s v="Low Difference"/>
  </r>
  <r>
    <n v="140879"/>
    <n v="45.5"/>
    <n v="43.19"/>
    <n v="1495"/>
    <s v="High"/>
    <s v="Young adults"/>
    <s v="Yes"/>
    <x v="0"/>
    <x v="2"/>
    <s v="No"/>
    <n v="68022.5"/>
    <n v="2.3100000000000023"/>
    <s v="Moderate Difference"/>
  </r>
  <r>
    <n v="151900"/>
    <n v="47.99"/>
    <n v="47.59"/>
    <n v="1560"/>
    <s v="Medium"/>
    <s v="College students"/>
    <s v="Yes"/>
    <x v="0"/>
    <x v="2"/>
    <s v="Yes"/>
    <n v="74864.400000000009"/>
    <n v="0.39999999999999858"/>
    <s v="Low Difference"/>
  </r>
  <r>
    <n v="187604"/>
    <n v="49.21"/>
    <n v="48.05"/>
    <n v="782"/>
    <s v="Medium"/>
    <s v="College students"/>
    <s v="No"/>
    <x v="1"/>
    <x v="2"/>
    <s v="Yes"/>
    <n v="38482.22"/>
    <n v="1.1600000000000037"/>
    <s v="Low Difference"/>
  </r>
  <r>
    <n v="174627"/>
    <n v="38.69"/>
    <n v="37.01"/>
    <n v="1296"/>
    <s v="High"/>
    <s v="College students"/>
    <s v="No"/>
    <x v="2"/>
    <x v="0"/>
    <s v="No"/>
    <n v="50142.239999999998"/>
    <n v="1.6799999999999997"/>
    <s v="Moderate Difference"/>
  </r>
  <r>
    <n v="133654"/>
    <n v="42.98"/>
    <n v="41.61"/>
    <n v="2333"/>
    <s v="Medium"/>
    <s v="Young adults"/>
    <s v="Yes"/>
    <x v="1"/>
    <x v="0"/>
    <s v="No"/>
    <n v="100272.34"/>
    <n v="1.3699999999999974"/>
    <s v="Moderate Difference"/>
  </r>
  <r>
    <n v="180951"/>
    <n v="25.2"/>
    <n v="22.09"/>
    <n v="2056"/>
    <s v="High"/>
    <s v="Seniors"/>
    <s v="Yes"/>
    <x v="2"/>
    <x v="0"/>
    <s v="Yes"/>
    <n v="51811.199999999997"/>
    <n v="3.1099999999999994"/>
    <s v="Moderate Difference"/>
  </r>
  <r>
    <n v="110578"/>
    <n v="22.22"/>
    <n v="21.56"/>
    <n v="950"/>
    <s v="High"/>
    <s v="Families"/>
    <s v="No"/>
    <x v="1"/>
    <x v="2"/>
    <s v="No"/>
    <n v="21109"/>
    <n v="0.66000000000000014"/>
    <s v="Low Difference"/>
  </r>
  <r>
    <n v="192711"/>
    <n v="36.4"/>
    <n v="34.380000000000003"/>
    <n v="2079"/>
    <s v="High"/>
    <s v="Seniors"/>
    <s v="Yes"/>
    <x v="0"/>
    <x v="1"/>
    <s v="Yes"/>
    <n v="75675.599999999991"/>
    <n v="2.019999999999996"/>
    <s v="Moderate Difference"/>
  </r>
  <r>
    <n v="154096"/>
    <n v="43.32"/>
    <n v="39.630000000000003"/>
    <n v="2144"/>
    <s v="Low"/>
    <s v="Families"/>
    <s v="Yes"/>
    <x v="0"/>
    <x v="2"/>
    <s v="No"/>
    <n v="92878.080000000002"/>
    <n v="3.6899999999999977"/>
    <s v="Moderate Difference"/>
  </r>
  <r>
    <n v="124265"/>
    <n v="24.39"/>
    <n v="20.92"/>
    <n v="2715"/>
    <s v="High"/>
    <s v="Families"/>
    <s v="Yes"/>
    <x v="1"/>
    <x v="0"/>
    <s v="No"/>
    <n v="66218.850000000006"/>
    <n v="3.4699999999999989"/>
    <s v="Moderate Difference"/>
  </r>
  <r>
    <n v="120576"/>
    <n v="16.48"/>
    <n v="14.74"/>
    <n v="1357"/>
    <s v="High"/>
    <s v="College students"/>
    <s v="No"/>
    <x v="1"/>
    <x v="2"/>
    <s v="Yes"/>
    <n v="22363.360000000001"/>
    <n v="1.7400000000000002"/>
    <s v="Moderate Difference"/>
  </r>
  <r>
    <n v="166314"/>
    <n v="38.36"/>
    <n v="35.33"/>
    <n v="2896"/>
    <s v="Medium"/>
    <s v="Seniors"/>
    <s v="No"/>
    <x v="1"/>
    <x v="2"/>
    <s v="Yes"/>
    <n v="111090.56"/>
    <n v="3.0300000000000011"/>
    <s v="Moderate Difference"/>
  </r>
  <r>
    <n v="138145"/>
    <n v="25.94"/>
    <n v="24.83"/>
    <n v="2523"/>
    <s v="Medium"/>
    <s v="Families"/>
    <s v="Yes"/>
    <x v="2"/>
    <x v="0"/>
    <s v="No"/>
    <n v="65446.62"/>
    <n v="1.110000000000003"/>
    <s v="Low Difference"/>
  </r>
  <r>
    <n v="192789"/>
    <n v="15.65"/>
    <n v="14.23"/>
    <n v="2480"/>
    <s v="Medium"/>
    <s v="College students"/>
    <s v="No"/>
    <x v="1"/>
    <x v="0"/>
    <s v="No"/>
    <n v="38812"/>
    <n v="1.42"/>
    <s v="Moderate Difference"/>
  </r>
  <r>
    <n v="150907"/>
    <n v="45.68"/>
    <n v="45.58"/>
    <n v="1323"/>
    <s v="High"/>
    <s v="Seniors"/>
    <s v="No"/>
    <x v="2"/>
    <x v="1"/>
    <s v="No"/>
    <n v="60434.64"/>
    <n v="0.10000000000000142"/>
    <s v="Low Difference"/>
  </r>
  <r>
    <n v="182011"/>
    <n v="24.17"/>
    <n v="19.739999999999998"/>
    <n v="588"/>
    <s v="Medium"/>
    <s v="Seniors"/>
    <s v="Yes"/>
    <x v="1"/>
    <x v="0"/>
    <s v="No"/>
    <n v="14211.960000000001"/>
    <n v="4.4300000000000033"/>
    <s v="High Difference"/>
  </r>
  <r>
    <n v="167179"/>
    <n v="24.06"/>
    <n v="23.01"/>
    <n v="2225"/>
    <s v="Low"/>
    <s v="College students"/>
    <s v="Yes"/>
    <x v="2"/>
    <x v="0"/>
    <s v="No"/>
    <n v="53533.5"/>
    <n v="1.0499999999999972"/>
    <s v="Low Difference"/>
  </r>
  <r>
    <n v="116390"/>
    <n v="30.07"/>
    <n v="29.26"/>
    <n v="2834"/>
    <s v="High"/>
    <s v="College students"/>
    <s v="Yes"/>
    <x v="1"/>
    <x v="1"/>
    <s v="Yes"/>
    <n v="85218.38"/>
    <n v="0.80999999999999872"/>
    <s v="Low Difference"/>
  </r>
  <r>
    <n v="119757"/>
    <n v="48.21"/>
    <n v="43.42"/>
    <n v="1907"/>
    <s v="Low"/>
    <s v="College students"/>
    <s v="No"/>
    <x v="1"/>
    <x v="0"/>
    <s v="No"/>
    <n v="91936.47"/>
    <n v="4.7899999999999991"/>
    <s v="High Difference"/>
  </r>
  <r>
    <n v="139269"/>
    <n v="18.239999999999998"/>
    <n v="16.68"/>
    <n v="821"/>
    <s v="Low"/>
    <s v="Families"/>
    <s v="No"/>
    <x v="0"/>
    <x v="1"/>
    <s v="Yes"/>
    <n v="14975.039999999999"/>
    <n v="1.5599999999999987"/>
    <s v="Moderate Difference"/>
  </r>
  <r>
    <n v="135624"/>
    <n v="6.24"/>
    <n v="2.06"/>
    <n v="1744"/>
    <s v="High"/>
    <s v="Young adults"/>
    <s v="No"/>
    <x v="2"/>
    <x v="2"/>
    <s v="No"/>
    <n v="10882.56"/>
    <n v="4.18"/>
    <s v="High Difference"/>
  </r>
  <r>
    <n v="171860"/>
    <n v="44.32"/>
    <n v="39.33"/>
    <n v="2398"/>
    <s v="High"/>
    <s v="Young adults"/>
    <s v="Yes"/>
    <x v="0"/>
    <x v="1"/>
    <s v="No"/>
    <n v="106279.36"/>
    <n v="4.990000000000002"/>
    <s v="High Difference"/>
  </r>
  <r>
    <n v="185187"/>
    <n v="38.92"/>
    <n v="38.340000000000003"/>
    <n v="1358"/>
    <s v="Medium"/>
    <s v="College students"/>
    <s v="Yes"/>
    <x v="2"/>
    <x v="0"/>
    <s v="No"/>
    <n v="52853.36"/>
    <n v="0.57999999999999829"/>
    <s v="Low Difference"/>
  </r>
  <r>
    <n v="163977"/>
    <n v="37.28"/>
    <n v="36.19"/>
    <n v="2872"/>
    <s v="Low"/>
    <s v="Seniors"/>
    <s v="No"/>
    <x v="1"/>
    <x v="2"/>
    <s v="No"/>
    <n v="107068.16"/>
    <n v="1.0900000000000034"/>
    <s v="Low Difference"/>
  </r>
  <r>
    <n v="128784"/>
    <n v="32.51"/>
    <n v="31.52"/>
    <n v="801"/>
    <s v="Medium"/>
    <s v="College students"/>
    <s v="Yes"/>
    <x v="0"/>
    <x v="1"/>
    <s v="No"/>
    <n v="26040.51"/>
    <n v="0.98999999999999844"/>
    <s v="Low Difference"/>
  </r>
  <r>
    <n v="161283"/>
    <n v="46.68"/>
    <n v="44.47"/>
    <n v="1532"/>
    <s v="Medium"/>
    <s v="College students"/>
    <s v="No"/>
    <x v="1"/>
    <x v="1"/>
    <s v="Yes"/>
    <n v="71513.759999999995"/>
    <n v="2.2100000000000009"/>
    <s v="Moderate Difference"/>
  </r>
  <r>
    <n v="166588"/>
    <n v="7.09"/>
    <n v="5.73"/>
    <n v="1376"/>
    <s v="High"/>
    <s v="Seniors"/>
    <s v="Yes"/>
    <x v="1"/>
    <x v="0"/>
    <s v="No"/>
    <n v="9755.84"/>
    <n v="1.3599999999999994"/>
    <s v="Moderate Difference"/>
  </r>
  <r>
    <n v="111384"/>
    <n v="23.22"/>
    <n v="21.78"/>
    <n v="1859"/>
    <s v="Low"/>
    <s v="Young adults"/>
    <s v="No"/>
    <x v="0"/>
    <x v="0"/>
    <s v="No"/>
    <n v="43165.979999999996"/>
    <n v="1.4399999999999977"/>
    <s v="Moderate Difference"/>
  </r>
  <r>
    <n v="144945"/>
    <n v="28.77"/>
    <n v="27.43"/>
    <n v="1908"/>
    <s v="Medium"/>
    <s v="Families"/>
    <s v="No"/>
    <x v="1"/>
    <x v="2"/>
    <s v="Yes"/>
    <n v="54893.159999999996"/>
    <n v="1.3399999999999999"/>
    <s v="Moderate Difference"/>
  </r>
  <r>
    <n v="145405"/>
    <n v="33.950000000000003"/>
    <n v="29.32"/>
    <n v="1403"/>
    <s v="Medium"/>
    <s v="Families"/>
    <s v="No"/>
    <x v="0"/>
    <x v="2"/>
    <s v="Yes"/>
    <n v="47631.850000000006"/>
    <n v="4.6300000000000026"/>
    <s v="High Difference"/>
  </r>
  <r>
    <n v="140480"/>
    <n v="33.32"/>
    <n v="32.96"/>
    <n v="2599"/>
    <s v="Medium"/>
    <s v="Young adults"/>
    <s v="Yes"/>
    <x v="0"/>
    <x v="2"/>
    <s v="No"/>
    <n v="86598.680000000008"/>
    <n v="0.35999999999999943"/>
    <s v="Low Difference"/>
  </r>
  <r>
    <n v="117707"/>
    <n v="27.33"/>
    <n v="25.41"/>
    <n v="511"/>
    <s v="Low"/>
    <s v="College students"/>
    <s v="No"/>
    <x v="0"/>
    <x v="2"/>
    <s v="No"/>
    <n v="13965.63"/>
    <n v="1.9199999999999982"/>
    <s v="Moderate Difference"/>
  </r>
  <r>
    <n v="182158"/>
    <n v="24.22"/>
    <n v="23.04"/>
    <n v="2689"/>
    <s v="Medium"/>
    <s v="College students"/>
    <s v="No"/>
    <x v="2"/>
    <x v="0"/>
    <s v="Yes"/>
    <n v="65127.579999999994"/>
    <n v="1.1799999999999997"/>
    <s v="Moderate Difference"/>
  </r>
  <r>
    <n v="151032"/>
    <n v="9.7799999999999994"/>
    <n v="4.93"/>
    <n v="2054"/>
    <s v="High"/>
    <s v="Young adults"/>
    <s v="No"/>
    <x v="2"/>
    <x v="0"/>
    <s v="Yes"/>
    <n v="20088.12"/>
    <n v="4.8499999999999996"/>
    <s v="High Difference"/>
  </r>
  <r>
    <n v="138160"/>
    <n v="19.57"/>
    <n v="18.88"/>
    <n v="839"/>
    <s v="Medium"/>
    <s v="College students"/>
    <s v="Yes"/>
    <x v="0"/>
    <x v="2"/>
    <s v="No"/>
    <n v="16419.23"/>
    <n v="0.69000000000000128"/>
    <s v="Low Difference"/>
  </r>
  <r>
    <n v="132647"/>
    <n v="15.85"/>
    <n v="14.41"/>
    <n v="2831"/>
    <s v="High"/>
    <s v="College students"/>
    <s v="Yes"/>
    <x v="2"/>
    <x v="2"/>
    <s v="Yes"/>
    <n v="44871.35"/>
    <n v="1.4399999999999995"/>
    <s v="Moderate Difference"/>
  </r>
  <r>
    <n v="154713"/>
    <n v="47.72"/>
    <n v="44.03"/>
    <n v="1647"/>
    <s v="Medium"/>
    <s v="Families"/>
    <s v="Yes"/>
    <x v="0"/>
    <x v="0"/>
    <s v="Yes"/>
    <n v="78594.84"/>
    <n v="3.6899999999999977"/>
    <s v="Moderate Difference"/>
  </r>
  <r>
    <n v="157629"/>
    <n v="18.93"/>
    <n v="17.809999999999999"/>
    <n v="1277"/>
    <s v="High"/>
    <s v="Families"/>
    <s v="No"/>
    <x v="2"/>
    <x v="2"/>
    <s v="No"/>
    <n v="24173.61"/>
    <n v="1.120000000000001"/>
    <s v="Low Difference"/>
  </r>
  <r>
    <n v="165679"/>
    <n v="15.38"/>
    <n v="12.41"/>
    <n v="1062"/>
    <s v="Low"/>
    <s v="Families"/>
    <s v="No"/>
    <x v="2"/>
    <x v="0"/>
    <s v="No"/>
    <n v="16333.560000000001"/>
    <n v="2.9700000000000006"/>
    <s v="Moderate Difference"/>
  </r>
  <r>
    <n v="127978"/>
    <n v="6.39"/>
    <n v="5.77"/>
    <n v="1677"/>
    <s v="Low"/>
    <s v="Seniors"/>
    <s v="Yes"/>
    <x v="2"/>
    <x v="2"/>
    <s v="No"/>
    <n v="10716.029999999999"/>
    <n v="0.62000000000000011"/>
    <s v="Low Difference"/>
  </r>
  <r>
    <n v="191923"/>
    <n v="47.6"/>
    <n v="45.1"/>
    <n v="1459"/>
    <s v="High"/>
    <s v="Families"/>
    <s v="No"/>
    <x v="0"/>
    <x v="0"/>
    <s v="No"/>
    <n v="69448.400000000009"/>
    <n v="2.5"/>
    <s v="Moderate Difference"/>
  </r>
  <r>
    <n v="179488"/>
    <n v="41.53"/>
    <n v="37.25"/>
    <n v="1479"/>
    <s v="Low"/>
    <s v="Young adults"/>
    <s v="Yes"/>
    <x v="2"/>
    <x v="2"/>
    <s v="Yes"/>
    <n v="61422.87"/>
    <n v="4.2800000000000011"/>
    <s v="High Difference"/>
  </r>
  <r>
    <n v="196100"/>
    <n v="24.3"/>
    <n v="23.86"/>
    <n v="944"/>
    <s v="Medium"/>
    <s v="Families"/>
    <s v="Yes"/>
    <x v="0"/>
    <x v="2"/>
    <s v="No"/>
    <n v="22939.200000000001"/>
    <n v="0.44000000000000128"/>
    <s v="Low Difference"/>
  </r>
  <r>
    <n v="114396"/>
    <n v="37.840000000000003"/>
    <n v="37.369999999999997"/>
    <n v="1433"/>
    <s v="Medium"/>
    <s v="Families"/>
    <s v="Yes"/>
    <x v="2"/>
    <x v="2"/>
    <s v="No"/>
    <n v="54224.720000000008"/>
    <n v="0.47000000000000597"/>
    <s v="Low Difference"/>
  </r>
  <r>
    <n v="126954"/>
    <n v="41.39"/>
    <n v="39.6"/>
    <n v="1640"/>
    <s v="Medium"/>
    <s v="Seniors"/>
    <s v="No"/>
    <x v="0"/>
    <x v="1"/>
    <s v="Yes"/>
    <n v="67879.600000000006"/>
    <n v="1.7899999999999991"/>
    <s v="Moderate Difference"/>
  </r>
  <r>
    <n v="161127"/>
    <n v="11.47"/>
    <n v="7.46"/>
    <n v="954"/>
    <s v="Medium"/>
    <s v="Seniors"/>
    <s v="No"/>
    <x v="1"/>
    <x v="2"/>
    <s v="No"/>
    <n v="10942.380000000001"/>
    <n v="4.0100000000000007"/>
    <s v="High Difference"/>
  </r>
  <r>
    <n v="192871"/>
    <n v="6.39"/>
    <n v="3.99"/>
    <n v="1654"/>
    <s v="Low"/>
    <s v="College students"/>
    <s v="No"/>
    <x v="2"/>
    <x v="0"/>
    <s v="Yes"/>
    <n v="10569.06"/>
    <n v="2.3999999999999995"/>
    <s v="Moderate Difference"/>
  </r>
  <r>
    <n v="196774"/>
    <n v="40.99"/>
    <n v="37.67"/>
    <n v="1303"/>
    <s v="Low"/>
    <s v="College students"/>
    <s v="No"/>
    <x v="2"/>
    <x v="1"/>
    <s v="Yes"/>
    <n v="53409.97"/>
    <n v="3.3200000000000003"/>
    <s v="Moderate Difference"/>
  </r>
  <r>
    <n v="179265"/>
    <n v="40.07"/>
    <n v="39.770000000000003"/>
    <n v="921"/>
    <s v="Medium"/>
    <s v="Seniors"/>
    <s v="Yes"/>
    <x v="2"/>
    <x v="1"/>
    <s v="No"/>
    <n v="36904.47"/>
    <n v="0.29999999999999716"/>
    <s v="Low Difference"/>
  </r>
  <r>
    <n v="127161"/>
    <n v="47.2"/>
    <n v="44.38"/>
    <n v="2388"/>
    <s v="Medium"/>
    <s v="Seniors"/>
    <s v="Yes"/>
    <x v="1"/>
    <x v="2"/>
    <s v="Yes"/>
    <n v="112713.60000000001"/>
    <n v="2.8200000000000003"/>
    <s v="Moderate Difference"/>
  </r>
  <r>
    <n v="167455"/>
    <n v="44.42"/>
    <n v="43.37"/>
    <n v="2494"/>
    <s v="Medium"/>
    <s v="Families"/>
    <s v="No"/>
    <x v="0"/>
    <x v="2"/>
    <s v="No"/>
    <n v="110783.48000000001"/>
    <n v="1.0500000000000043"/>
    <s v="Low Difference"/>
  </r>
  <r>
    <n v="126083"/>
    <n v="9.2899999999999991"/>
    <n v="5.86"/>
    <n v="1079"/>
    <s v="High"/>
    <s v="Families"/>
    <s v="No"/>
    <x v="1"/>
    <x v="1"/>
    <s v="No"/>
    <n v="10023.91"/>
    <n v="3.4299999999999988"/>
    <s v="Moderate Difference"/>
  </r>
  <r>
    <n v="191442"/>
    <n v="38.26"/>
    <n v="38.26"/>
    <n v="604"/>
    <s v="High"/>
    <s v="Seniors"/>
    <s v="Yes"/>
    <x v="0"/>
    <x v="0"/>
    <s v="Yes"/>
    <n v="23109.039999999997"/>
    <n v="0"/>
    <s v="Low Difference"/>
  </r>
  <r>
    <n v="157324"/>
    <n v="36.450000000000003"/>
    <n v="32.200000000000003"/>
    <n v="1482"/>
    <s v="High"/>
    <s v="Seniors"/>
    <s v="No"/>
    <x v="2"/>
    <x v="2"/>
    <s v="Yes"/>
    <n v="54018.9"/>
    <n v="4.25"/>
    <s v="High Difference"/>
  </r>
  <r>
    <n v="196863"/>
    <n v="42.68"/>
    <n v="42.34"/>
    <n v="2751"/>
    <s v="Medium"/>
    <s v="College students"/>
    <s v="No"/>
    <x v="2"/>
    <x v="1"/>
    <s v="Yes"/>
    <n v="117412.68"/>
    <n v="0.33999999999999631"/>
    <s v="Low Difference"/>
  </r>
  <r>
    <n v="125834"/>
    <n v="37.76"/>
    <n v="36.64"/>
    <n v="2700"/>
    <s v="Medium"/>
    <s v="Families"/>
    <s v="Yes"/>
    <x v="1"/>
    <x v="2"/>
    <s v="Yes"/>
    <n v="101952"/>
    <n v="1.1199999999999974"/>
    <s v="Low Difference"/>
  </r>
  <r>
    <n v="160648"/>
    <n v="47.47"/>
    <n v="45.66"/>
    <n v="1824"/>
    <s v="Low"/>
    <s v="Young adults"/>
    <s v="No"/>
    <x v="1"/>
    <x v="1"/>
    <s v="No"/>
    <n v="86585.279999999999"/>
    <n v="1.8100000000000023"/>
    <s v="Moderate Difference"/>
  </r>
  <r>
    <n v="177124"/>
    <n v="30.28"/>
    <n v="27.84"/>
    <n v="1339"/>
    <s v="Low"/>
    <s v="Seniors"/>
    <s v="No"/>
    <x v="2"/>
    <x v="2"/>
    <s v="No"/>
    <n v="40544.92"/>
    <n v="2.4400000000000013"/>
    <s v="Moderate Difference"/>
  </r>
  <r>
    <n v="130113"/>
    <n v="15.48"/>
    <n v="10.95"/>
    <n v="726"/>
    <s v="Low"/>
    <s v="College students"/>
    <s v="Yes"/>
    <x v="1"/>
    <x v="0"/>
    <s v="No"/>
    <n v="11238.48"/>
    <n v="4.5300000000000011"/>
    <s v="High Difference"/>
  </r>
  <r>
    <n v="149104"/>
    <n v="30.51"/>
    <n v="26.82"/>
    <n v="1811"/>
    <s v="High"/>
    <s v="Seniors"/>
    <s v="No"/>
    <x v="0"/>
    <x v="1"/>
    <s v="Yes"/>
    <n v="55253.61"/>
    <n v="3.6900000000000013"/>
    <s v="Moderate Difference"/>
  </r>
  <r>
    <n v="131351"/>
    <n v="13.38"/>
    <n v="11.17"/>
    <n v="1031"/>
    <s v="High"/>
    <s v="College students"/>
    <s v="No"/>
    <x v="0"/>
    <x v="1"/>
    <s v="Yes"/>
    <n v="13794.78"/>
    <n v="2.2100000000000009"/>
    <s v="Moderate Difference"/>
  </r>
  <r>
    <n v="163127"/>
    <n v="40.39"/>
    <n v="36.590000000000003"/>
    <n v="1599"/>
    <s v="Medium"/>
    <s v="Young adults"/>
    <s v="No"/>
    <x v="1"/>
    <x v="0"/>
    <s v="Yes"/>
    <n v="64583.61"/>
    <n v="3.7999999999999972"/>
    <s v="High Difference"/>
  </r>
  <r>
    <n v="145944"/>
    <n v="36.299999999999997"/>
    <n v="33.01"/>
    <n v="2219"/>
    <s v="Medium"/>
    <s v="Families"/>
    <s v="Yes"/>
    <x v="1"/>
    <x v="2"/>
    <s v="No"/>
    <n v="80549.7"/>
    <n v="3.2899999999999991"/>
    <s v="Moderate Difference"/>
  </r>
  <r>
    <n v="178288"/>
    <n v="42.19"/>
    <n v="38.49"/>
    <n v="858"/>
    <s v="Medium"/>
    <s v="Young adults"/>
    <s v="Yes"/>
    <x v="0"/>
    <x v="0"/>
    <s v="No"/>
    <n v="36199.019999999997"/>
    <n v="3.6999999999999957"/>
    <s v="Moderate Difference"/>
  </r>
  <r>
    <n v="120721"/>
    <n v="19.149999999999999"/>
    <n v="14.29"/>
    <n v="1817"/>
    <s v="Low"/>
    <s v="Young adults"/>
    <s v="Yes"/>
    <x v="2"/>
    <x v="1"/>
    <s v="Yes"/>
    <n v="34795.549999999996"/>
    <n v="4.8599999999999994"/>
    <s v="High Difference"/>
  </r>
  <r>
    <n v="198257"/>
    <n v="9.07"/>
    <n v="4.34"/>
    <n v="647"/>
    <s v="Medium"/>
    <s v="Seniors"/>
    <s v="Yes"/>
    <x v="2"/>
    <x v="2"/>
    <s v="Yes"/>
    <n v="5868.29"/>
    <n v="4.7300000000000004"/>
    <s v="High Difference"/>
  </r>
  <r>
    <n v="144938"/>
    <n v="6.71"/>
    <n v="4.2300000000000004"/>
    <n v="2042"/>
    <s v="High"/>
    <s v="Young adults"/>
    <s v="No"/>
    <x v="1"/>
    <x v="2"/>
    <s v="Yes"/>
    <n v="13701.82"/>
    <n v="2.4799999999999995"/>
    <s v="Moderate Difference"/>
  </r>
  <r>
    <n v="180786"/>
    <n v="9.99"/>
    <n v="6.1"/>
    <n v="2581"/>
    <s v="High"/>
    <s v="Young adults"/>
    <s v="No"/>
    <x v="0"/>
    <x v="1"/>
    <s v="No"/>
    <n v="25784.190000000002"/>
    <n v="3.8900000000000006"/>
    <s v="High Difference"/>
  </r>
  <r>
    <n v="174984"/>
    <n v="16.46"/>
    <n v="15.04"/>
    <n v="2704"/>
    <s v="Low"/>
    <s v="College students"/>
    <s v="No"/>
    <x v="2"/>
    <x v="0"/>
    <s v="No"/>
    <n v="44507.840000000004"/>
    <n v="1.4200000000000017"/>
    <s v="Moderate Difference"/>
  </r>
  <r>
    <n v="164338"/>
    <n v="21.67"/>
    <n v="19.04"/>
    <n v="2614"/>
    <s v="Low"/>
    <s v="Young adults"/>
    <s v="Yes"/>
    <x v="2"/>
    <x v="0"/>
    <s v="Yes"/>
    <n v="56645.380000000005"/>
    <n v="2.6300000000000026"/>
    <s v="Moderate Difference"/>
  </r>
  <r>
    <n v="194730"/>
    <n v="14.09"/>
    <n v="10.27"/>
    <n v="1531"/>
    <s v="Medium"/>
    <s v="Families"/>
    <s v="No"/>
    <x v="2"/>
    <x v="1"/>
    <s v="No"/>
    <n v="21571.79"/>
    <n v="3.8200000000000003"/>
    <s v="High Difference"/>
  </r>
  <r>
    <n v="184387"/>
    <n v="22.48"/>
    <n v="20.5"/>
    <n v="1862"/>
    <s v="High"/>
    <s v="Seniors"/>
    <s v="No"/>
    <x v="2"/>
    <x v="2"/>
    <s v="Yes"/>
    <n v="41857.760000000002"/>
    <n v="1.9800000000000004"/>
    <s v="Moderate Difference"/>
  </r>
  <r>
    <n v="122405"/>
    <n v="17.059999999999999"/>
    <n v="12.21"/>
    <n v="1312"/>
    <s v="High"/>
    <s v="Families"/>
    <s v="No"/>
    <x v="2"/>
    <x v="1"/>
    <s v="No"/>
    <n v="22382.719999999998"/>
    <n v="4.8499999999999979"/>
    <s v="High Difference"/>
  </r>
  <r>
    <n v="155287"/>
    <n v="20.21"/>
    <n v="19.05"/>
    <n v="1830"/>
    <s v="Low"/>
    <s v="Seniors"/>
    <s v="Yes"/>
    <x v="1"/>
    <x v="0"/>
    <s v="Yes"/>
    <n v="36984.300000000003"/>
    <n v="1.1600000000000001"/>
    <s v="Low Difference"/>
  </r>
  <r>
    <n v="135629"/>
    <n v="19.14"/>
    <n v="14.98"/>
    <n v="926"/>
    <s v="Low"/>
    <s v="Seniors"/>
    <s v="Yes"/>
    <x v="1"/>
    <x v="1"/>
    <s v="Yes"/>
    <n v="17723.64"/>
    <n v="4.16"/>
    <s v="High Difference"/>
  </r>
  <r>
    <n v="161695"/>
    <n v="43.33"/>
    <n v="39.35"/>
    <n v="2463"/>
    <s v="Medium"/>
    <s v="Seniors"/>
    <s v="No"/>
    <x v="0"/>
    <x v="0"/>
    <s v="No"/>
    <n v="106721.79"/>
    <n v="3.9799999999999969"/>
    <s v="High Difference"/>
  </r>
  <r>
    <n v="188585"/>
    <n v="24.47"/>
    <n v="20.48"/>
    <n v="2376"/>
    <s v="Low"/>
    <s v="Young adults"/>
    <s v="Yes"/>
    <x v="0"/>
    <x v="1"/>
    <s v="No"/>
    <n v="58140.719999999994"/>
    <n v="3.9899999999999984"/>
    <s v="High Difference"/>
  </r>
  <r>
    <n v="199050"/>
    <n v="9.4700000000000006"/>
    <n v="6.1"/>
    <n v="1352"/>
    <s v="Medium"/>
    <s v="College students"/>
    <s v="No"/>
    <x v="1"/>
    <x v="1"/>
    <s v="No"/>
    <n v="12803.44"/>
    <n v="3.370000000000001"/>
    <s v="Moderate Difference"/>
  </r>
  <r>
    <n v="126957"/>
    <n v="16.68"/>
    <n v="16.440000000000001"/>
    <n v="1941"/>
    <s v="High"/>
    <s v="Families"/>
    <s v="No"/>
    <x v="2"/>
    <x v="0"/>
    <s v="Yes"/>
    <n v="32375.88"/>
    <n v="0.23999999999999844"/>
    <s v="Low Difference"/>
  </r>
  <r>
    <n v="140298"/>
    <n v="28.83"/>
    <n v="25.5"/>
    <n v="1039"/>
    <s v="Low"/>
    <s v="Seniors"/>
    <s v="No"/>
    <x v="0"/>
    <x v="0"/>
    <s v="Yes"/>
    <n v="29954.37"/>
    <n v="3.3299999999999983"/>
    <s v="Moderate Difference"/>
  </r>
  <r>
    <n v="143161"/>
    <n v="35.54"/>
    <n v="33.58"/>
    <n v="946"/>
    <s v="Low"/>
    <s v="Seniors"/>
    <s v="Yes"/>
    <x v="1"/>
    <x v="0"/>
    <s v="No"/>
    <n v="33620.839999999997"/>
    <n v="1.9600000000000009"/>
    <s v="Moderate Difference"/>
  </r>
  <r>
    <n v="126549"/>
    <n v="42.47"/>
    <n v="40.119999999999997"/>
    <n v="1648"/>
    <s v="High"/>
    <s v="Seniors"/>
    <s v="Yes"/>
    <x v="2"/>
    <x v="0"/>
    <s v="No"/>
    <n v="69990.559999999998"/>
    <n v="2.3500000000000014"/>
    <s v="Moderate Difference"/>
  </r>
  <r>
    <n v="199013"/>
    <n v="49.97"/>
    <n v="45.21"/>
    <n v="2894"/>
    <s v="Medium"/>
    <s v="College students"/>
    <s v="No"/>
    <x v="0"/>
    <x v="0"/>
    <s v="No"/>
    <n v="144613.18"/>
    <n v="4.759999999999998"/>
    <s v="High Difference"/>
  </r>
  <r>
    <n v="120994"/>
    <n v="11.43"/>
    <n v="8.77"/>
    <n v="2633"/>
    <s v="Low"/>
    <s v="College students"/>
    <s v="No"/>
    <x v="1"/>
    <x v="1"/>
    <s v="No"/>
    <n v="30095.19"/>
    <n v="2.66"/>
    <s v="Moderate Difference"/>
  </r>
  <r>
    <n v="123549"/>
    <n v="10.54"/>
    <n v="5.99"/>
    <n v="637"/>
    <s v="Low"/>
    <s v="Families"/>
    <s v="No"/>
    <x v="1"/>
    <x v="2"/>
    <s v="No"/>
    <n v="6713.98"/>
    <n v="4.5499999999999989"/>
    <s v="High Difference"/>
  </r>
  <r>
    <n v="191501"/>
    <n v="40.75"/>
    <n v="37.549999999999997"/>
    <n v="2794"/>
    <s v="Low"/>
    <s v="Families"/>
    <s v="No"/>
    <x v="2"/>
    <x v="2"/>
    <s v="No"/>
    <n v="113855.5"/>
    <n v="3.2000000000000028"/>
    <s v="Moderate Difference"/>
  </r>
  <r>
    <n v="137441"/>
    <n v="38.57"/>
    <n v="34.840000000000003"/>
    <n v="1425"/>
    <s v="Low"/>
    <s v="Seniors"/>
    <s v="No"/>
    <x v="1"/>
    <x v="1"/>
    <s v="Yes"/>
    <n v="54962.25"/>
    <n v="3.7299999999999969"/>
    <s v="High Difference"/>
  </r>
  <r>
    <n v="174639"/>
    <n v="32.42"/>
    <n v="27.95"/>
    <n v="1865"/>
    <s v="Low"/>
    <s v="College students"/>
    <s v="No"/>
    <x v="0"/>
    <x v="2"/>
    <s v="Yes"/>
    <n v="60463.3"/>
    <n v="4.4700000000000024"/>
    <s v="High Difference"/>
  </r>
  <r>
    <n v="126334"/>
    <n v="43.81"/>
    <n v="39.96"/>
    <n v="718"/>
    <s v="High"/>
    <s v="College students"/>
    <s v="No"/>
    <x v="1"/>
    <x v="0"/>
    <s v="No"/>
    <n v="31455.58"/>
    <n v="3.8500000000000014"/>
    <s v="High Difference"/>
  </r>
  <r>
    <n v="158294"/>
    <n v="5.15"/>
    <n v="5.01"/>
    <n v="1252"/>
    <s v="Medium"/>
    <s v="Seniors"/>
    <s v="No"/>
    <x v="0"/>
    <x v="2"/>
    <s v="No"/>
    <n v="6447.8"/>
    <n v="0.14000000000000057"/>
    <s v="Low Difference"/>
  </r>
  <r>
    <n v="171653"/>
    <n v="36.869999999999997"/>
    <n v="34.47"/>
    <n v="2951"/>
    <s v="Medium"/>
    <s v="Young adults"/>
    <s v="No"/>
    <x v="1"/>
    <x v="2"/>
    <s v="Yes"/>
    <n v="108803.37"/>
    <n v="2.3999999999999986"/>
    <s v="Moderate Difference"/>
  </r>
  <r>
    <n v="113784"/>
    <n v="27.14"/>
    <n v="23.32"/>
    <n v="920"/>
    <s v="Low"/>
    <s v="College students"/>
    <s v="No"/>
    <x v="2"/>
    <x v="0"/>
    <s v="No"/>
    <n v="24968.799999999999"/>
    <n v="3.8200000000000003"/>
    <s v="High Difference"/>
  </r>
  <r>
    <n v="195374"/>
    <n v="46.16"/>
    <n v="42.84"/>
    <n v="1844"/>
    <s v="Low"/>
    <s v="College students"/>
    <s v="Yes"/>
    <x v="2"/>
    <x v="1"/>
    <s v="No"/>
    <n v="85119.039999999994"/>
    <n v="3.3199999999999932"/>
    <s v="Moderate Difference"/>
  </r>
  <r>
    <n v="171712"/>
    <n v="44.95"/>
    <n v="43.96"/>
    <n v="835"/>
    <s v="Medium"/>
    <s v="College students"/>
    <s v="No"/>
    <x v="1"/>
    <x v="0"/>
    <s v="Yes"/>
    <n v="37533.25"/>
    <n v="0.99000000000000199"/>
    <s v="Low Difference"/>
  </r>
  <r>
    <n v="148331"/>
    <n v="44.38"/>
    <n v="40.68"/>
    <n v="1322"/>
    <s v="Low"/>
    <s v="Young adults"/>
    <s v="Yes"/>
    <x v="2"/>
    <x v="0"/>
    <s v="Yes"/>
    <n v="58670.36"/>
    <n v="3.7000000000000028"/>
    <s v="Moderate Difference"/>
  </r>
  <r>
    <n v="123478"/>
    <n v="25.59"/>
    <n v="24.27"/>
    <n v="700"/>
    <s v="Low"/>
    <s v="Seniors"/>
    <s v="No"/>
    <x v="0"/>
    <x v="1"/>
    <s v="Yes"/>
    <n v="17913"/>
    <n v="1.3200000000000003"/>
    <s v="Moderate Difference"/>
  </r>
  <r>
    <n v="164043"/>
    <n v="11.02"/>
    <n v="10.23"/>
    <n v="2075"/>
    <s v="High"/>
    <s v="Young adults"/>
    <s v="No"/>
    <x v="0"/>
    <x v="2"/>
    <s v="No"/>
    <n v="22866.5"/>
    <n v="0.78999999999999915"/>
    <s v="Low Difference"/>
  </r>
  <r>
    <n v="158938"/>
    <n v="39.31"/>
    <n v="37.18"/>
    <n v="703"/>
    <s v="High"/>
    <s v="Seniors"/>
    <s v="Yes"/>
    <x v="2"/>
    <x v="0"/>
    <s v="No"/>
    <n v="27634.93"/>
    <n v="2.1300000000000026"/>
    <s v="Moderate Difference"/>
  </r>
  <r>
    <n v="118260"/>
    <n v="20.5"/>
    <n v="17.079999999999998"/>
    <n v="2653"/>
    <s v="Medium"/>
    <s v="Families"/>
    <s v="No"/>
    <x v="1"/>
    <x v="2"/>
    <s v="Yes"/>
    <n v="54386.5"/>
    <n v="3.4200000000000017"/>
    <s v="Moderate Difference"/>
  </r>
  <r>
    <n v="168970"/>
    <n v="13.49"/>
    <n v="10.1"/>
    <n v="2819"/>
    <s v="Medium"/>
    <s v="Seniors"/>
    <s v="No"/>
    <x v="1"/>
    <x v="0"/>
    <s v="No"/>
    <n v="38028.31"/>
    <n v="3.3900000000000006"/>
    <s v="Moderate Difference"/>
  </r>
  <r>
    <n v="160301"/>
    <n v="15.5"/>
    <n v="13.36"/>
    <n v="1056"/>
    <s v="Medium"/>
    <s v="College students"/>
    <s v="No"/>
    <x v="2"/>
    <x v="2"/>
    <s v="No"/>
    <n v="16368"/>
    <n v="2.1400000000000006"/>
    <s v="Moderate Difference"/>
  </r>
  <r>
    <n v="134598"/>
    <n v="5.66"/>
    <n v="1.62"/>
    <n v="1475"/>
    <s v="Low"/>
    <s v="Families"/>
    <s v="Yes"/>
    <x v="0"/>
    <x v="1"/>
    <s v="No"/>
    <n v="8348.5"/>
    <n v="4.04"/>
    <s v="High Difference"/>
  </r>
  <r>
    <n v="140548"/>
    <n v="9.7100000000000009"/>
    <n v="5.57"/>
    <n v="2971"/>
    <s v="High"/>
    <s v="College students"/>
    <s v="Yes"/>
    <x v="0"/>
    <x v="0"/>
    <s v="No"/>
    <n v="28848.410000000003"/>
    <n v="4.1400000000000006"/>
    <s v="High Difference"/>
  </r>
  <r>
    <n v="119282"/>
    <n v="17.05"/>
    <n v="16.010000000000002"/>
    <n v="2136"/>
    <s v="High"/>
    <s v="Families"/>
    <s v="No"/>
    <x v="2"/>
    <x v="1"/>
    <s v="No"/>
    <n v="36418.800000000003"/>
    <n v="1.0399999999999991"/>
    <s v="Low Difference"/>
  </r>
  <r>
    <n v="155744"/>
    <n v="33.53"/>
    <n v="28.67"/>
    <n v="2663"/>
    <s v="Medium"/>
    <s v="Families"/>
    <s v="Yes"/>
    <x v="0"/>
    <x v="0"/>
    <s v="Yes"/>
    <n v="89290.39"/>
    <n v="4.8599999999999994"/>
    <s v="High Difference"/>
  </r>
  <r>
    <n v="188805"/>
    <n v="11.42"/>
    <n v="8.5399999999999991"/>
    <n v="1324"/>
    <s v="High"/>
    <s v="Families"/>
    <s v="Yes"/>
    <x v="0"/>
    <x v="0"/>
    <s v="No"/>
    <n v="15120.08"/>
    <n v="2.8800000000000008"/>
    <s v="Moderate Difference"/>
  </r>
  <r>
    <n v="194198"/>
    <n v="44.88"/>
    <n v="41.36"/>
    <n v="2363"/>
    <s v="High"/>
    <s v="College students"/>
    <s v="Yes"/>
    <x v="0"/>
    <x v="2"/>
    <s v="Yes"/>
    <n v="106051.44"/>
    <n v="3.5200000000000031"/>
    <s v="Moderate Difference"/>
  </r>
  <r>
    <n v="158917"/>
    <n v="15.84"/>
    <n v="11.45"/>
    <n v="2042"/>
    <s v="High"/>
    <s v="Seniors"/>
    <s v="Yes"/>
    <x v="2"/>
    <x v="0"/>
    <s v="Yes"/>
    <n v="32345.279999999999"/>
    <n v="4.3900000000000006"/>
    <s v="High Difference"/>
  </r>
  <r>
    <n v="119182"/>
    <n v="16.46"/>
    <n v="13.91"/>
    <n v="2578"/>
    <s v="Low"/>
    <s v="Families"/>
    <s v="Yes"/>
    <x v="2"/>
    <x v="2"/>
    <s v="No"/>
    <n v="42433.880000000005"/>
    <n v="2.5500000000000007"/>
    <s v="Moderate Difference"/>
  </r>
  <r>
    <n v="177843"/>
    <n v="22.29"/>
    <n v="21.55"/>
    <n v="1898"/>
    <s v="Low"/>
    <s v="Families"/>
    <s v="Yes"/>
    <x v="1"/>
    <x v="0"/>
    <s v="No"/>
    <n v="42306.42"/>
    <n v="0.73999999999999844"/>
    <s v="Low Difference"/>
  </r>
  <r>
    <n v="175135"/>
    <n v="30.9"/>
    <n v="29.78"/>
    <n v="1732"/>
    <s v="High"/>
    <s v="Seniors"/>
    <s v="No"/>
    <x v="2"/>
    <x v="2"/>
    <s v="No"/>
    <n v="53518.799999999996"/>
    <n v="1.1199999999999974"/>
    <s v="Low Difference"/>
  </r>
  <r>
    <n v="162886"/>
    <n v="20.54"/>
    <n v="17.989999999999998"/>
    <n v="2192"/>
    <s v="Medium"/>
    <s v="College students"/>
    <s v="No"/>
    <x v="2"/>
    <x v="0"/>
    <s v="Yes"/>
    <n v="45023.68"/>
    <n v="2.5500000000000007"/>
    <s v="Moderate Difference"/>
  </r>
  <r>
    <n v="162663"/>
    <n v="34.96"/>
    <n v="34.770000000000003"/>
    <n v="2231"/>
    <s v="High"/>
    <s v="Young adults"/>
    <s v="No"/>
    <x v="0"/>
    <x v="1"/>
    <s v="No"/>
    <n v="77995.759999999995"/>
    <n v="0.18999999999999773"/>
    <s v="Low Difference"/>
  </r>
  <r>
    <n v="148513"/>
    <n v="28.81"/>
    <n v="24.72"/>
    <n v="980"/>
    <s v="High"/>
    <s v="Seniors"/>
    <s v="Yes"/>
    <x v="2"/>
    <x v="2"/>
    <s v="Yes"/>
    <n v="28233.8"/>
    <n v="4.09"/>
    <s v="High Difference"/>
  </r>
  <r>
    <n v="127550"/>
    <n v="45.28"/>
    <n v="42.69"/>
    <n v="2605"/>
    <s v="Low"/>
    <s v="Families"/>
    <s v="Yes"/>
    <x v="2"/>
    <x v="0"/>
    <s v="Yes"/>
    <n v="117954.40000000001"/>
    <n v="2.5900000000000034"/>
    <s v="Moderate Difference"/>
  </r>
  <r>
    <n v="123557"/>
    <n v="15.14"/>
    <n v="11.49"/>
    <n v="1035"/>
    <s v="Low"/>
    <s v="Seniors"/>
    <s v="No"/>
    <x v="2"/>
    <x v="2"/>
    <s v="Yes"/>
    <n v="15669.900000000001"/>
    <n v="3.6500000000000004"/>
    <s v="Moderate Difference"/>
  </r>
  <r>
    <n v="140118"/>
    <n v="41.12"/>
    <n v="39.94"/>
    <n v="2063"/>
    <s v="Medium"/>
    <s v="College students"/>
    <s v="No"/>
    <x v="0"/>
    <x v="1"/>
    <s v="Yes"/>
    <n v="84830.56"/>
    <n v="1.1799999999999997"/>
    <s v="Moderate Difference"/>
  </r>
  <r>
    <n v="172912"/>
    <n v="40.01"/>
    <n v="38.86"/>
    <n v="2551"/>
    <s v="High"/>
    <s v="College students"/>
    <s v="Yes"/>
    <x v="2"/>
    <x v="0"/>
    <s v="No"/>
    <n v="102065.51"/>
    <n v="1.1499999999999986"/>
    <s v="Low Difference"/>
  </r>
  <r>
    <n v="155610"/>
    <n v="5.1100000000000003"/>
    <n v="1.28"/>
    <n v="2807"/>
    <s v="Low"/>
    <s v="College students"/>
    <s v="No"/>
    <x v="2"/>
    <x v="1"/>
    <s v="Yes"/>
    <n v="14343.77"/>
    <n v="3.83"/>
    <s v="High Difference"/>
  </r>
  <r>
    <n v="160544"/>
    <n v="45.47"/>
    <n v="41.47"/>
    <n v="2687"/>
    <s v="Medium"/>
    <s v="College students"/>
    <s v="Yes"/>
    <x v="1"/>
    <x v="2"/>
    <s v="No"/>
    <n v="122177.89"/>
    <n v="4"/>
    <s v="High Difference"/>
  </r>
  <r>
    <n v="177721"/>
    <n v="25.2"/>
    <n v="20.82"/>
    <n v="2731"/>
    <s v="Medium"/>
    <s v="Seniors"/>
    <s v="Yes"/>
    <x v="1"/>
    <x v="1"/>
    <s v="No"/>
    <n v="68821.2"/>
    <n v="4.379999999999999"/>
    <s v="High Difference"/>
  </r>
  <r>
    <n v="199735"/>
    <n v="41"/>
    <n v="40.35"/>
    <n v="1176"/>
    <s v="Low"/>
    <s v="Seniors"/>
    <s v="Yes"/>
    <x v="0"/>
    <x v="1"/>
    <s v="No"/>
    <n v="48216"/>
    <n v="0.64999999999999858"/>
    <s v="Low Difference"/>
  </r>
  <r>
    <n v="164553"/>
    <n v="6.66"/>
    <n v="3.09"/>
    <n v="1826"/>
    <s v="High"/>
    <s v="Families"/>
    <s v="No"/>
    <x v="1"/>
    <x v="0"/>
    <s v="Yes"/>
    <n v="12161.16"/>
    <n v="3.5700000000000003"/>
    <s v="Moderate Difference"/>
  </r>
  <r>
    <n v="160829"/>
    <n v="28.09"/>
    <n v="26"/>
    <n v="1985"/>
    <s v="Low"/>
    <s v="Young adults"/>
    <s v="No"/>
    <x v="2"/>
    <x v="0"/>
    <s v="Yes"/>
    <n v="55758.65"/>
    <n v="2.09"/>
    <s v="Moderate Difference"/>
  </r>
  <r>
    <n v="189316"/>
    <n v="33.94"/>
    <n v="32.880000000000003"/>
    <n v="2262"/>
    <s v="Medium"/>
    <s v="College students"/>
    <s v="No"/>
    <x v="2"/>
    <x v="0"/>
    <s v="Yes"/>
    <n v="76772.28"/>
    <n v="1.0599999999999952"/>
    <s v="Low Difference"/>
  </r>
  <r>
    <n v="110815"/>
    <n v="42.48"/>
    <n v="42.36"/>
    <n v="1672"/>
    <s v="High"/>
    <s v="Young adults"/>
    <s v="No"/>
    <x v="0"/>
    <x v="1"/>
    <s v="No"/>
    <n v="71026.559999999998"/>
    <n v="0.11999999999999744"/>
    <s v="Low Difference"/>
  </r>
  <r>
    <n v="173823"/>
    <n v="46.95"/>
    <n v="46.69"/>
    <n v="2732"/>
    <s v="High"/>
    <s v="Young adults"/>
    <s v="Yes"/>
    <x v="2"/>
    <x v="1"/>
    <s v="Yes"/>
    <n v="128267.40000000001"/>
    <n v="0.26000000000000512"/>
    <s v="Low Difference"/>
  </r>
  <r>
    <n v="189791"/>
    <n v="15.37"/>
    <n v="13.64"/>
    <n v="1360"/>
    <s v="High"/>
    <s v="College students"/>
    <s v="No"/>
    <x v="1"/>
    <x v="2"/>
    <s v="Yes"/>
    <n v="20903.2"/>
    <n v="1.7299999999999986"/>
    <s v="Moderate Difference"/>
  </r>
  <r>
    <n v="180074"/>
    <n v="18.25"/>
    <n v="14.38"/>
    <n v="2608"/>
    <s v="Low"/>
    <s v="Families"/>
    <s v="Yes"/>
    <x v="1"/>
    <x v="0"/>
    <s v="Yes"/>
    <n v="47596"/>
    <n v="3.8699999999999992"/>
    <s v="High Difference"/>
  </r>
  <r>
    <n v="131689"/>
    <n v="42.43"/>
    <n v="41.76"/>
    <n v="1833"/>
    <s v="Low"/>
    <s v="Families"/>
    <s v="No"/>
    <x v="2"/>
    <x v="2"/>
    <s v="Yes"/>
    <n v="77774.19"/>
    <n v="0.67000000000000171"/>
    <s v="Low Difference"/>
  </r>
  <r>
    <n v="145573"/>
    <n v="43.83"/>
    <n v="42.62"/>
    <n v="1071"/>
    <s v="Medium"/>
    <s v="Families"/>
    <s v="No"/>
    <x v="1"/>
    <x v="1"/>
    <s v="Yes"/>
    <n v="46941.93"/>
    <n v="1.2100000000000009"/>
    <s v="Moderate Difference"/>
  </r>
  <r>
    <n v="196508"/>
    <n v="47.98"/>
    <n v="44.05"/>
    <n v="1698"/>
    <s v="High"/>
    <s v="Families"/>
    <s v="Yes"/>
    <x v="1"/>
    <x v="0"/>
    <s v="Yes"/>
    <n v="81470.039999999994"/>
    <n v="3.9299999999999997"/>
    <s v="High Difference"/>
  </r>
  <r>
    <n v="159831"/>
    <n v="36.29"/>
    <n v="33.69"/>
    <n v="763"/>
    <s v="Medium"/>
    <s v="College students"/>
    <s v="No"/>
    <x v="0"/>
    <x v="1"/>
    <s v="No"/>
    <n v="27689.27"/>
    <n v="2.6000000000000014"/>
    <s v="Moderate Difference"/>
  </r>
  <r>
    <n v="154409"/>
    <n v="19.87"/>
    <n v="19.649999999999999"/>
    <n v="1506"/>
    <s v="Medium"/>
    <s v="College students"/>
    <s v="No"/>
    <x v="0"/>
    <x v="2"/>
    <s v="Yes"/>
    <n v="29924.22"/>
    <n v="0.22000000000000242"/>
    <s v="Low Difference"/>
  </r>
  <r>
    <n v="151330"/>
    <n v="42.94"/>
    <n v="39.979999999999997"/>
    <n v="2353"/>
    <s v="Medium"/>
    <s v="College students"/>
    <s v="No"/>
    <x v="2"/>
    <x v="2"/>
    <s v="No"/>
    <n v="101037.81999999999"/>
    <n v="2.9600000000000009"/>
    <s v="Moderate Difference"/>
  </r>
  <r>
    <n v="178721"/>
    <n v="34.32"/>
    <n v="30.13"/>
    <n v="628"/>
    <s v="Low"/>
    <s v="Young adults"/>
    <s v="No"/>
    <x v="1"/>
    <x v="1"/>
    <s v="No"/>
    <n v="21552.959999999999"/>
    <n v="4.1900000000000013"/>
    <s v="High Difference"/>
  </r>
  <r>
    <n v="190370"/>
    <n v="36.86"/>
    <n v="35.270000000000003"/>
    <n v="554"/>
    <s v="Low"/>
    <s v="Families"/>
    <s v="Yes"/>
    <x v="1"/>
    <x v="0"/>
    <s v="Yes"/>
    <n v="20420.439999999999"/>
    <n v="1.5899999999999963"/>
    <s v="Moderate Difference"/>
  </r>
  <r>
    <n v="171778"/>
    <n v="34.07"/>
    <n v="30.82"/>
    <n v="2095"/>
    <s v="High"/>
    <s v="Families"/>
    <s v="No"/>
    <x v="1"/>
    <x v="0"/>
    <s v="Yes"/>
    <n v="71376.649999999994"/>
    <n v="3.25"/>
    <s v="Moderate Difference"/>
  </r>
  <r>
    <n v="181634"/>
    <n v="23.99"/>
    <n v="22.54"/>
    <n v="2774"/>
    <s v="High"/>
    <s v="Young adults"/>
    <s v="No"/>
    <x v="2"/>
    <x v="0"/>
    <s v="Yes"/>
    <n v="66548.259999999995"/>
    <n v="1.4499999999999993"/>
    <s v="Moderate Difference"/>
  </r>
  <r>
    <n v="146294"/>
    <n v="11.38"/>
    <n v="8.6"/>
    <n v="2777"/>
    <s v="High"/>
    <s v="Young adults"/>
    <s v="No"/>
    <x v="2"/>
    <x v="2"/>
    <s v="Yes"/>
    <n v="31602.260000000002"/>
    <n v="2.7800000000000011"/>
    <s v="Moderate Difference"/>
  </r>
  <r>
    <n v="113594"/>
    <n v="24.18"/>
    <n v="21.23"/>
    <n v="2376"/>
    <s v="High"/>
    <s v="Seniors"/>
    <s v="No"/>
    <x v="2"/>
    <x v="1"/>
    <s v="No"/>
    <n v="57451.68"/>
    <n v="2.9499999999999993"/>
    <s v="Moderate Difference"/>
  </r>
  <r>
    <n v="153294"/>
    <n v="30.37"/>
    <n v="26.67"/>
    <n v="1279"/>
    <s v="Low"/>
    <s v="Seniors"/>
    <s v="Yes"/>
    <x v="1"/>
    <x v="1"/>
    <s v="No"/>
    <n v="38843.230000000003"/>
    <n v="3.6999999999999993"/>
    <s v="Moderate Difference"/>
  </r>
  <r>
    <n v="191154"/>
    <n v="38.81"/>
    <n v="36.770000000000003"/>
    <n v="836"/>
    <s v="Medium"/>
    <s v="Seniors"/>
    <s v="No"/>
    <x v="1"/>
    <x v="0"/>
    <s v="No"/>
    <n v="32445.160000000003"/>
    <n v="2.0399999999999991"/>
    <s v="Moderate Difference"/>
  </r>
  <r>
    <n v="154870"/>
    <n v="8.52"/>
    <n v="5.1100000000000003"/>
    <n v="1793"/>
    <s v="Low"/>
    <s v="Young adults"/>
    <s v="Yes"/>
    <x v="2"/>
    <x v="0"/>
    <s v="Yes"/>
    <n v="15276.359999999999"/>
    <n v="3.4099999999999993"/>
    <s v="Moderate Difference"/>
  </r>
  <r>
    <n v="145558"/>
    <n v="10.78"/>
    <n v="8.58"/>
    <n v="2728"/>
    <s v="Low"/>
    <s v="Families"/>
    <s v="Yes"/>
    <x v="1"/>
    <x v="0"/>
    <s v="No"/>
    <n v="29407.839999999997"/>
    <n v="2.1999999999999993"/>
    <s v="Moderate Difference"/>
  </r>
  <r>
    <n v="135809"/>
    <n v="18.899999999999999"/>
    <n v="18.48"/>
    <n v="1780"/>
    <s v="Low"/>
    <s v="Young adults"/>
    <s v="Yes"/>
    <x v="2"/>
    <x v="0"/>
    <s v="No"/>
    <n v="33642"/>
    <n v="0.41999999999999815"/>
    <s v="Low Difference"/>
  </r>
  <r>
    <n v="156148"/>
    <n v="36.26"/>
    <n v="34.24"/>
    <n v="1508"/>
    <s v="High"/>
    <s v="Young adults"/>
    <s v="Yes"/>
    <x v="0"/>
    <x v="1"/>
    <s v="Yes"/>
    <n v="54680.079999999994"/>
    <n v="2.019999999999996"/>
    <s v="Moderate Difference"/>
  </r>
  <r>
    <n v="171191"/>
    <n v="46.72"/>
    <n v="45.02"/>
    <n v="2267"/>
    <s v="High"/>
    <s v="Families"/>
    <s v="No"/>
    <x v="2"/>
    <x v="2"/>
    <s v="Yes"/>
    <n v="105914.23999999999"/>
    <n v="1.6999999999999957"/>
    <s v="Moderate Difference"/>
  </r>
  <r>
    <n v="115810"/>
    <n v="7.28"/>
    <n v="6.56"/>
    <n v="1953"/>
    <s v="Medium"/>
    <s v="Young adults"/>
    <s v="No"/>
    <x v="2"/>
    <x v="0"/>
    <s v="Yes"/>
    <n v="14217.84"/>
    <n v="0.72000000000000064"/>
    <s v="Low Difference"/>
  </r>
  <r>
    <n v="115533"/>
    <n v="41.85"/>
    <n v="37.04"/>
    <n v="1971"/>
    <s v="High"/>
    <s v="College students"/>
    <s v="Yes"/>
    <x v="1"/>
    <x v="2"/>
    <s v="Yes"/>
    <n v="82486.350000000006"/>
    <n v="4.8100000000000023"/>
    <s v="High Difference"/>
  </r>
  <r>
    <n v="191827"/>
    <n v="28.57"/>
    <n v="26.47"/>
    <n v="1178"/>
    <s v="High"/>
    <s v="Families"/>
    <s v="Yes"/>
    <x v="1"/>
    <x v="2"/>
    <s v="No"/>
    <n v="33655.46"/>
    <n v="2.1000000000000014"/>
    <s v="Moderate Difference"/>
  </r>
  <r>
    <n v="115156"/>
    <n v="10.66"/>
    <n v="6.87"/>
    <n v="2800"/>
    <s v="High"/>
    <s v="College students"/>
    <s v="Yes"/>
    <x v="2"/>
    <x v="1"/>
    <s v="Yes"/>
    <n v="29848"/>
    <n v="3.79"/>
    <s v="High Difference"/>
  </r>
  <r>
    <n v="148849"/>
    <n v="11.75"/>
    <n v="9.84"/>
    <n v="1307"/>
    <s v="High"/>
    <s v="Young adults"/>
    <s v="Yes"/>
    <x v="1"/>
    <x v="1"/>
    <s v="Yes"/>
    <n v="15357.25"/>
    <n v="1.9100000000000001"/>
    <s v="Moderate Difference"/>
  </r>
  <r>
    <n v="121239"/>
    <n v="49.77"/>
    <n v="49.66"/>
    <n v="1829"/>
    <s v="Low"/>
    <s v="Seniors"/>
    <s v="Yes"/>
    <x v="0"/>
    <x v="0"/>
    <s v="Yes"/>
    <n v="91029.33"/>
    <n v="0.11000000000000654"/>
    <s v="Low Difference"/>
  </r>
  <r>
    <n v="147878"/>
    <n v="38.9"/>
    <n v="35.380000000000003"/>
    <n v="1065"/>
    <s v="High"/>
    <s v="Families"/>
    <s v="No"/>
    <x v="1"/>
    <x v="1"/>
    <s v="No"/>
    <n v="41428.5"/>
    <n v="3.519999999999996"/>
    <s v="Moderate Difference"/>
  </r>
  <r>
    <n v="163043"/>
    <n v="15.86"/>
    <n v="11.57"/>
    <n v="1075"/>
    <s v="Low"/>
    <s v="Seniors"/>
    <s v="No"/>
    <x v="1"/>
    <x v="1"/>
    <s v="No"/>
    <n v="17049.5"/>
    <n v="4.2899999999999991"/>
    <s v="High Difference"/>
  </r>
  <r>
    <n v="198302"/>
    <n v="45.15"/>
    <n v="42"/>
    <n v="1388"/>
    <s v="High"/>
    <s v="Seniors"/>
    <s v="No"/>
    <x v="0"/>
    <x v="0"/>
    <s v="No"/>
    <n v="62668.2"/>
    <n v="3.1499999999999986"/>
    <s v="Moderate Difference"/>
  </r>
  <r>
    <n v="191418"/>
    <n v="46.06"/>
    <n v="43.67"/>
    <n v="2244"/>
    <s v="Low"/>
    <s v="Seniors"/>
    <s v="No"/>
    <x v="0"/>
    <x v="1"/>
    <s v="No"/>
    <n v="103358.64"/>
    <n v="2.3900000000000006"/>
    <s v="Moderate Difference"/>
  </r>
  <r>
    <n v="175324"/>
    <n v="37.69"/>
    <n v="36.14"/>
    <n v="1308"/>
    <s v="Low"/>
    <s v="Families"/>
    <s v="Yes"/>
    <x v="1"/>
    <x v="1"/>
    <s v="Yes"/>
    <n v="49298.52"/>
    <n v="1.5499999999999972"/>
    <s v="Moderate Difference"/>
  </r>
  <r>
    <n v="168949"/>
    <n v="47.81"/>
    <n v="46.2"/>
    <n v="1033"/>
    <s v="Medium"/>
    <s v="Seniors"/>
    <s v="Yes"/>
    <x v="2"/>
    <x v="1"/>
    <s v="No"/>
    <n v="49387.73"/>
    <n v="1.6099999999999994"/>
    <s v="Moderate Difference"/>
  </r>
  <r>
    <n v="132443"/>
    <n v="36.15"/>
    <n v="31.58"/>
    <n v="1924"/>
    <s v="Low"/>
    <s v="College students"/>
    <s v="Yes"/>
    <x v="0"/>
    <x v="0"/>
    <s v="No"/>
    <n v="69552.599999999991"/>
    <n v="4.57"/>
    <s v="High Difference"/>
  </r>
  <r>
    <n v="142665"/>
    <n v="28.97"/>
    <n v="24.67"/>
    <n v="1705"/>
    <s v="Medium"/>
    <s v="College students"/>
    <s v="Yes"/>
    <x v="1"/>
    <x v="0"/>
    <s v="Yes"/>
    <n v="49393.85"/>
    <n v="4.2999999999999972"/>
    <s v="High Difference"/>
  </r>
  <r>
    <n v="171112"/>
    <n v="40.65"/>
    <n v="36.479999999999997"/>
    <n v="635"/>
    <s v="High"/>
    <s v="College students"/>
    <s v="No"/>
    <x v="0"/>
    <x v="2"/>
    <s v="Yes"/>
    <n v="25812.75"/>
    <n v="4.1700000000000017"/>
    <s v="High Difference"/>
  </r>
  <r>
    <n v="164994"/>
    <n v="13.6"/>
    <n v="8.67"/>
    <n v="2189"/>
    <s v="Low"/>
    <s v="Families"/>
    <s v="Yes"/>
    <x v="1"/>
    <x v="2"/>
    <s v="No"/>
    <n v="29770.399999999998"/>
    <n v="4.93"/>
    <s v="High Difference"/>
  </r>
  <r>
    <n v="197700"/>
    <n v="5.76"/>
    <n v="3.84"/>
    <n v="2716"/>
    <s v="Medium"/>
    <s v="Families"/>
    <s v="No"/>
    <x v="0"/>
    <x v="1"/>
    <s v="No"/>
    <n v="15644.16"/>
    <n v="1.92"/>
    <s v="Moderate Difference"/>
  </r>
  <r>
    <n v="162699"/>
    <n v="9.26"/>
    <n v="5.65"/>
    <n v="1474"/>
    <s v="High"/>
    <s v="Young adults"/>
    <s v="No"/>
    <x v="1"/>
    <x v="1"/>
    <s v="Yes"/>
    <n v="13649.24"/>
    <n v="3.6099999999999994"/>
    <s v="Moderate Difference"/>
  </r>
  <r>
    <n v="166102"/>
    <n v="48.35"/>
    <n v="47.1"/>
    <n v="1001"/>
    <s v="Medium"/>
    <s v="College students"/>
    <s v="Yes"/>
    <x v="2"/>
    <x v="2"/>
    <s v="No"/>
    <n v="48398.35"/>
    <n v="1.25"/>
    <s v="Moderate Difference"/>
  </r>
  <r>
    <n v="125196"/>
    <n v="33.86"/>
    <n v="31.9"/>
    <n v="2479"/>
    <s v="High"/>
    <s v="Young adults"/>
    <s v="No"/>
    <x v="2"/>
    <x v="0"/>
    <s v="Yes"/>
    <n v="83938.94"/>
    <n v="1.9600000000000009"/>
    <s v="Moderate Difference"/>
  </r>
  <r>
    <n v="190769"/>
    <n v="40.56"/>
    <n v="38.99"/>
    <n v="955"/>
    <s v="High"/>
    <s v="Families"/>
    <s v="No"/>
    <x v="0"/>
    <x v="0"/>
    <s v="Yes"/>
    <n v="38734.800000000003"/>
    <n v="1.5700000000000003"/>
    <s v="Moderate Difference"/>
  </r>
  <r>
    <n v="192908"/>
    <n v="45.61"/>
    <n v="43.04"/>
    <n v="1410"/>
    <s v="Low"/>
    <s v="Seniors"/>
    <s v="No"/>
    <x v="2"/>
    <x v="2"/>
    <s v="Yes"/>
    <n v="64310.1"/>
    <n v="2.5700000000000003"/>
    <s v="Moderate Difference"/>
  </r>
  <r>
    <n v="190000"/>
    <n v="11.29"/>
    <n v="9.86"/>
    <n v="1133"/>
    <s v="High"/>
    <s v="Families"/>
    <s v="Yes"/>
    <x v="2"/>
    <x v="1"/>
    <s v="No"/>
    <n v="12791.57"/>
    <n v="1.4299999999999997"/>
    <s v="Moderate Difference"/>
  </r>
  <r>
    <n v="117812"/>
    <n v="13.49"/>
    <n v="11.04"/>
    <n v="2984"/>
    <s v="High"/>
    <s v="Seniors"/>
    <s v="No"/>
    <x v="1"/>
    <x v="1"/>
    <s v="No"/>
    <n v="40254.160000000003"/>
    <n v="2.4500000000000011"/>
    <s v="Moderate Difference"/>
  </r>
  <r>
    <n v="158258"/>
    <n v="41.44"/>
    <n v="39.26"/>
    <n v="2622"/>
    <s v="Low"/>
    <s v="Families"/>
    <s v="No"/>
    <x v="0"/>
    <x v="1"/>
    <s v="Yes"/>
    <n v="108655.67999999999"/>
    <n v="2.1799999999999997"/>
    <s v="Moderate Difference"/>
  </r>
  <r>
    <n v="136575"/>
    <n v="18.649999999999999"/>
    <n v="15.73"/>
    <n v="2570"/>
    <s v="High"/>
    <s v="Young adults"/>
    <s v="Yes"/>
    <x v="0"/>
    <x v="2"/>
    <s v="Yes"/>
    <n v="47930.499999999993"/>
    <n v="2.9199999999999982"/>
    <s v="Moderate Difference"/>
  </r>
  <r>
    <n v="152880"/>
    <n v="25.36"/>
    <n v="24.79"/>
    <n v="617"/>
    <s v="Low"/>
    <s v="Young adults"/>
    <s v="No"/>
    <x v="1"/>
    <x v="0"/>
    <s v="Yes"/>
    <n v="15647.119999999999"/>
    <n v="0.57000000000000028"/>
    <s v="Low Difference"/>
  </r>
  <r>
    <n v="112839"/>
    <n v="49.98"/>
    <n v="49.85"/>
    <n v="2255"/>
    <s v="High"/>
    <s v="Young adults"/>
    <s v="No"/>
    <x v="2"/>
    <x v="0"/>
    <s v="No"/>
    <n v="112704.9"/>
    <n v="0.12999999999999545"/>
    <s v="Low Difference"/>
  </r>
  <r>
    <n v="190584"/>
    <n v="37.43"/>
    <n v="33.22"/>
    <n v="637"/>
    <s v="Low"/>
    <s v="College students"/>
    <s v="Yes"/>
    <x v="2"/>
    <x v="0"/>
    <s v="No"/>
    <n v="23842.91"/>
    <n v="4.2100000000000009"/>
    <s v="High Difference"/>
  </r>
  <r>
    <n v="171598"/>
    <n v="30.93"/>
    <n v="30.15"/>
    <n v="1613"/>
    <s v="Medium"/>
    <s v="College students"/>
    <s v="Yes"/>
    <x v="0"/>
    <x v="1"/>
    <s v="No"/>
    <n v="49890.09"/>
    <n v="0.78000000000000114"/>
    <s v="Low Difference"/>
  </r>
  <r>
    <n v="169545"/>
    <n v="20.399999999999999"/>
    <n v="15.7"/>
    <n v="653"/>
    <s v="Medium"/>
    <s v="Families"/>
    <s v="Yes"/>
    <x v="2"/>
    <x v="1"/>
    <s v="No"/>
    <n v="13321.199999999999"/>
    <n v="4.6999999999999993"/>
    <s v="High Difference"/>
  </r>
  <r>
    <n v="132704"/>
    <n v="25.47"/>
    <n v="22.73"/>
    <n v="2074"/>
    <s v="High"/>
    <s v="Families"/>
    <s v="Yes"/>
    <x v="0"/>
    <x v="1"/>
    <s v="No"/>
    <n v="52824.78"/>
    <n v="2.7399999999999984"/>
    <s v="Moderate Difference"/>
  </r>
  <r>
    <n v="168639"/>
    <n v="38.68"/>
    <n v="35.89"/>
    <n v="2068"/>
    <s v="High"/>
    <s v="College students"/>
    <s v="Yes"/>
    <x v="2"/>
    <x v="0"/>
    <s v="Yes"/>
    <n v="79990.240000000005"/>
    <n v="2.7899999999999991"/>
    <s v="Moderate Difference"/>
  </r>
  <r>
    <n v="163062"/>
    <n v="37.79"/>
    <n v="34.04"/>
    <n v="2360"/>
    <s v="High"/>
    <s v="College students"/>
    <s v="Yes"/>
    <x v="1"/>
    <x v="2"/>
    <s v="Yes"/>
    <n v="89184.4"/>
    <n v="3.75"/>
    <s v="High Difference"/>
  </r>
  <r>
    <n v="186783"/>
    <n v="8.52"/>
    <n v="4.55"/>
    <n v="1667"/>
    <s v="Low"/>
    <s v="Young adults"/>
    <s v="No"/>
    <x v="2"/>
    <x v="2"/>
    <s v="Yes"/>
    <n v="14202.84"/>
    <n v="3.9699999999999998"/>
    <s v="High Difference"/>
  </r>
  <r>
    <n v="130656"/>
    <n v="30.51"/>
    <n v="27.48"/>
    <n v="588"/>
    <s v="Medium"/>
    <s v="Families"/>
    <s v="Yes"/>
    <x v="1"/>
    <x v="1"/>
    <s v="No"/>
    <n v="17939.88"/>
    <n v="3.0300000000000011"/>
    <s v="Moderate Difference"/>
  </r>
  <r>
    <n v="111930"/>
    <n v="11.04"/>
    <n v="9.15"/>
    <n v="1380"/>
    <s v="High"/>
    <s v="Seniors"/>
    <s v="No"/>
    <x v="2"/>
    <x v="1"/>
    <s v="No"/>
    <n v="15235.199999999999"/>
    <n v="1.8899999999999988"/>
    <s v="Moderate Difference"/>
  </r>
  <r>
    <n v="115305"/>
    <n v="36.36"/>
    <n v="31.41"/>
    <n v="676"/>
    <s v="High"/>
    <s v="Seniors"/>
    <s v="No"/>
    <x v="1"/>
    <x v="1"/>
    <s v="Yes"/>
    <n v="24579.360000000001"/>
    <n v="4.9499999999999993"/>
    <s v="High Difference"/>
  </r>
  <r>
    <n v="167689"/>
    <n v="11.48"/>
    <n v="10.41"/>
    <n v="2969"/>
    <s v="High"/>
    <s v="Young adults"/>
    <s v="No"/>
    <x v="2"/>
    <x v="1"/>
    <s v="Yes"/>
    <n v="34084.120000000003"/>
    <n v="1.0700000000000003"/>
    <s v="Low Difference"/>
  </r>
  <r>
    <n v="110451"/>
    <n v="10.77"/>
    <n v="9.98"/>
    <n v="578"/>
    <s v="Medium"/>
    <s v="Families"/>
    <s v="Yes"/>
    <x v="2"/>
    <x v="2"/>
    <s v="No"/>
    <n v="6225.0599999999995"/>
    <n v="0.78999999999999915"/>
    <s v="Low Difference"/>
  </r>
  <r>
    <n v="189534"/>
    <n v="5.73"/>
    <n v="3.94"/>
    <n v="2886"/>
    <s v="Medium"/>
    <s v="Young adults"/>
    <s v="Yes"/>
    <x v="1"/>
    <x v="1"/>
    <s v="No"/>
    <n v="16536.780000000002"/>
    <n v="1.7900000000000005"/>
    <s v="Moderate Difference"/>
  </r>
  <r>
    <n v="153881"/>
    <n v="33.159999999999997"/>
    <n v="28.8"/>
    <n v="1376"/>
    <s v="Medium"/>
    <s v="Families"/>
    <s v="Yes"/>
    <x v="2"/>
    <x v="0"/>
    <s v="No"/>
    <n v="45628.159999999996"/>
    <n v="4.3599999999999959"/>
    <s v="High Difference"/>
  </r>
  <r>
    <n v="112314"/>
    <n v="25.65"/>
    <n v="25.2"/>
    <n v="519"/>
    <s v="Low"/>
    <s v="College students"/>
    <s v="Yes"/>
    <x v="0"/>
    <x v="1"/>
    <s v="No"/>
    <n v="13312.349999999999"/>
    <n v="0.44999999999999929"/>
    <s v="Low Difference"/>
  </r>
  <r>
    <n v="134948"/>
    <n v="10.28"/>
    <n v="7.76"/>
    <n v="600"/>
    <s v="Medium"/>
    <s v="Young adults"/>
    <s v="Yes"/>
    <x v="0"/>
    <x v="2"/>
    <s v="No"/>
    <n v="6168"/>
    <n v="2.5199999999999996"/>
    <s v="Moderate Difference"/>
  </r>
  <r>
    <n v="152468"/>
    <n v="8.31"/>
    <n v="5.35"/>
    <n v="1728"/>
    <s v="High"/>
    <s v="Families"/>
    <s v="Yes"/>
    <x v="0"/>
    <x v="2"/>
    <s v="No"/>
    <n v="14359.68"/>
    <n v="2.9600000000000009"/>
    <s v="Moderate Difference"/>
  </r>
  <r>
    <n v="148553"/>
    <n v="27.54"/>
    <n v="24.56"/>
    <n v="1585"/>
    <s v="High"/>
    <s v="Families"/>
    <s v="Yes"/>
    <x v="2"/>
    <x v="2"/>
    <s v="No"/>
    <n v="43650.9"/>
    <n v="2.9800000000000004"/>
    <s v="Moderate Difference"/>
  </r>
  <r>
    <n v="121643"/>
    <n v="5.17"/>
    <n v="0.72"/>
    <n v="1522"/>
    <s v="High"/>
    <s v="College students"/>
    <s v="No"/>
    <x v="0"/>
    <x v="2"/>
    <s v="Yes"/>
    <n v="7868.74"/>
    <n v="4.45"/>
    <s v="High Difference"/>
  </r>
  <r>
    <n v="167351"/>
    <n v="33.049999999999997"/>
    <n v="31.73"/>
    <n v="961"/>
    <s v="Low"/>
    <s v="College students"/>
    <s v="No"/>
    <x v="0"/>
    <x v="1"/>
    <s v="No"/>
    <n v="31761.049999999996"/>
    <n v="1.3199999999999967"/>
    <s v="Moderate Difference"/>
  </r>
  <r>
    <n v="199976"/>
    <n v="19.66"/>
    <n v="18.89"/>
    <n v="1641"/>
    <s v="High"/>
    <s v="College students"/>
    <s v="No"/>
    <x v="2"/>
    <x v="0"/>
    <s v="No"/>
    <n v="32262.06"/>
    <n v="0.76999999999999957"/>
    <s v="Low Difference"/>
  </r>
  <r>
    <n v="172344"/>
    <n v="15.42"/>
    <n v="13.77"/>
    <n v="2030"/>
    <s v="Medium"/>
    <s v="Families"/>
    <s v="Yes"/>
    <x v="1"/>
    <x v="0"/>
    <s v="Yes"/>
    <n v="31302.6"/>
    <n v="1.6500000000000004"/>
    <s v="Moderate Difference"/>
  </r>
  <r>
    <n v="157499"/>
    <n v="19.489999999999998"/>
    <n v="16.809999999999999"/>
    <n v="1973"/>
    <s v="Low"/>
    <s v="Seniors"/>
    <s v="No"/>
    <x v="0"/>
    <x v="1"/>
    <s v="No"/>
    <n v="38453.769999999997"/>
    <n v="2.6799999999999997"/>
    <s v="Moderate Difference"/>
  </r>
  <r>
    <n v="173866"/>
    <n v="47.92"/>
    <n v="44.15"/>
    <n v="2246"/>
    <s v="Medium"/>
    <s v="Young adults"/>
    <s v="Yes"/>
    <x v="0"/>
    <x v="2"/>
    <s v="Yes"/>
    <n v="107628.32"/>
    <n v="3.7700000000000031"/>
    <s v="High Difference"/>
  </r>
  <r>
    <n v="134989"/>
    <n v="14.85"/>
    <n v="12.52"/>
    <n v="2571"/>
    <s v="High"/>
    <s v="Families"/>
    <s v="Yes"/>
    <x v="2"/>
    <x v="0"/>
    <s v="Yes"/>
    <n v="38179.35"/>
    <n v="2.33"/>
    <s v="Moderate Difference"/>
  </r>
  <r>
    <n v="162691"/>
    <n v="36.770000000000003"/>
    <n v="35.21"/>
    <n v="690"/>
    <s v="High"/>
    <s v="Families"/>
    <s v="Yes"/>
    <x v="2"/>
    <x v="0"/>
    <s v="No"/>
    <n v="25371.300000000003"/>
    <n v="1.5600000000000023"/>
    <s v="Moderate Difference"/>
  </r>
  <r>
    <n v="187196"/>
    <n v="37.130000000000003"/>
    <n v="35.06"/>
    <n v="2876"/>
    <s v="Low"/>
    <s v="College students"/>
    <s v="No"/>
    <x v="1"/>
    <x v="2"/>
    <s v="Yes"/>
    <n v="106785.88"/>
    <n v="2.0700000000000003"/>
    <s v="Moderate Difference"/>
  </r>
  <r>
    <n v="121378"/>
    <n v="9.26"/>
    <n v="9.07"/>
    <n v="2168"/>
    <s v="Medium"/>
    <s v="Seniors"/>
    <s v="Yes"/>
    <x v="1"/>
    <x v="1"/>
    <s v="Yes"/>
    <n v="20075.68"/>
    <n v="0.1899999999999995"/>
    <s v="Low Difference"/>
  </r>
  <r>
    <n v="142482"/>
    <n v="27.59"/>
    <n v="26.89"/>
    <n v="1362"/>
    <s v="High"/>
    <s v="Young adults"/>
    <s v="No"/>
    <x v="1"/>
    <x v="1"/>
    <s v="No"/>
    <n v="37577.58"/>
    <n v="0.69999999999999929"/>
    <s v="Low Difference"/>
  </r>
  <r>
    <n v="176723"/>
    <n v="47.41"/>
    <n v="45.53"/>
    <n v="1524"/>
    <s v="Low"/>
    <s v="Families"/>
    <s v="No"/>
    <x v="0"/>
    <x v="1"/>
    <s v="Yes"/>
    <n v="72252.84"/>
    <n v="1.8799999999999955"/>
    <s v="Moderate Difference"/>
  </r>
  <r>
    <n v="132654"/>
    <n v="36.75"/>
    <n v="36.090000000000003"/>
    <n v="1875"/>
    <s v="Low"/>
    <s v="Seniors"/>
    <s v="No"/>
    <x v="2"/>
    <x v="2"/>
    <s v="Yes"/>
    <n v="68906.25"/>
    <n v="0.65999999999999659"/>
    <s v="Low Difference"/>
  </r>
  <r>
    <n v="169453"/>
    <n v="12.09"/>
    <n v="10.47"/>
    <n v="2177"/>
    <s v="Medium"/>
    <s v="Seniors"/>
    <s v="No"/>
    <x v="0"/>
    <x v="1"/>
    <s v="Yes"/>
    <n v="26319.93"/>
    <n v="1.6199999999999992"/>
    <s v="Moderate Difference"/>
  </r>
  <r>
    <n v="165328"/>
    <n v="37.369999999999997"/>
    <n v="32.700000000000003"/>
    <n v="719"/>
    <s v="Medium"/>
    <s v="Families"/>
    <s v="Yes"/>
    <x v="1"/>
    <x v="2"/>
    <s v="No"/>
    <n v="26869.03"/>
    <n v="4.6699999999999946"/>
    <s v="High Difference"/>
  </r>
  <r>
    <n v="189998"/>
    <n v="27.39"/>
    <n v="27.22"/>
    <n v="2206"/>
    <s v="High"/>
    <s v="Young adults"/>
    <s v="Yes"/>
    <x v="0"/>
    <x v="1"/>
    <s v="No"/>
    <n v="60422.340000000004"/>
    <n v="0.17000000000000171"/>
    <s v="Low Difference"/>
  </r>
  <r>
    <n v="171481"/>
    <n v="37.53"/>
    <n v="35.46"/>
    <n v="2212"/>
    <s v="High"/>
    <s v="Families"/>
    <s v="No"/>
    <x v="0"/>
    <x v="0"/>
    <s v="Yes"/>
    <n v="83016.36"/>
    <n v="2.0700000000000003"/>
    <s v="Moderate Difference"/>
  </r>
  <r>
    <n v="166674"/>
    <n v="11.36"/>
    <n v="6.76"/>
    <n v="638"/>
    <s v="Low"/>
    <s v="Seniors"/>
    <s v="Yes"/>
    <x v="1"/>
    <x v="0"/>
    <s v="Yes"/>
    <n v="7247.6799999999994"/>
    <n v="4.5999999999999996"/>
    <s v="High Difference"/>
  </r>
  <r>
    <n v="110674"/>
    <n v="36.21"/>
    <n v="33.76"/>
    <n v="2726"/>
    <s v="Low"/>
    <s v="Seniors"/>
    <s v="Yes"/>
    <x v="1"/>
    <x v="1"/>
    <s v="No"/>
    <n v="98708.46"/>
    <n v="2.4500000000000028"/>
    <s v="Moderate Difference"/>
  </r>
  <r>
    <n v="110417"/>
    <n v="43.02"/>
    <n v="42.63"/>
    <n v="2352"/>
    <s v="Low"/>
    <s v="Young adults"/>
    <s v="Yes"/>
    <x v="1"/>
    <x v="0"/>
    <s v="Yes"/>
    <n v="101183.04000000001"/>
    <n v="0.39000000000000057"/>
    <s v="Low Difference"/>
  </r>
  <r>
    <n v="166698"/>
    <n v="47.18"/>
    <n v="46.66"/>
    <n v="2528"/>
    <s v="Low"/>
    <s v="Young adults"/>
    <s v="No"/>
    <x v="1"/>
    <x v="0"/>
    <s v="No"/>
    <n v="119271.03999999999"/>
    <n v="0.52000000000000313"/>
    <s v="Low Difference"/>
  </r>
  <r>
    <n v="179623"/>
    <n v="5.08"/>
    <n v="3.34"/>
    <n v="2284"/>
    <s v="Low"/>
    <s v="College students"/>
    <s v="Yes"/>
    <x v="2"/>
    <x v="2"/>
    <s v="Yes"/>
    <n v="11602.72"/>
    <n v="1.7400000000000002"/>
    <s v="Moderate Difference"/>
  </r>
  <r>
    <n v="196326"/>
    <n v="32.979999999999997"/>
    <n v="28.94"/>
    <n v="2015"/>
    <s v="Medium"/>
    <s v="Seniors"/>
    <s v="Yes"/>
    <x v="0"/>
    <x v="2"/>
    <s v="Yes"/>
    <n v="66454.7"/>
    <n v="4.0399999999999956"/>
    <s v="High Difference"/>
  </r>
  <r>
    <n v="175453"/>
    <n v="12.65"/>
    <n v="9.75"/>
    <n v="1603"/>
    <s v="Low"/>
    <s v="Seniors"/>
    <s v="No"/>
    <x v="1"/>
    <x v="1"/>
    <s v="Yes"/>
    <n v="20277.95"/>
    <n v="2.9000000000000004"/>
    <s v="Moderate Difference"/>
  </r>
  <r>
    <n v="153183"/>
    <n v="38.1"/>
    <n v="34.700000000000003"/>
    <n v="822"/>
    <s v="Medium"/>
    <s v="Families"/>
    <s v="No"/>
    <x v="1"/>
    <x v="0"/>
    <s v="No"/>
    <n v="31318.2"/>
    <n v="3.3999999999999986"/>
    <s v="Moderate Difference"/>
  </r>
  <r>
    <n v="195160"/>
    <n v="21.92"/>
    <n v="18"/>
    <n v="1792"/>
    <s v="Low"/>
    <s v="Young adults"/>
    <s v="Yes"/>
    <x v="2"/>
    <x v="2"/>
    <s v="No"/>
    <n v="39280.639999999999"/>
    <n v="3.9200000000000017"/>
    <s v="High Difference"/>
  </r>
  <r>
    <n v="116201"/>
    <n v="30.31"/>
    <n v="29.05"/>
    <n v="2761"/>
    <s v="Low"/>
    <s v="Young adults"/>
    <s v="No"/>
    <x v="0"/>
    <x v="0"/>
    <s v="No"/>
    <n v="83685.91"/>
    <n v="1.259999999999998"/>
    <s v="Moderate Difference"/>
  </r>
  <r>
    <n v="188566"/>
    <n v="49.34"/>
    <n v="46.31"/>
    <n v="2071"/>
    <s v="Medium"/>
    <s v="Families"/>
    <s v="Yes"/>
    <x v="0"/>
    <x v="1"/>
    <s v="No"/>
    <n v="102183.14000000001"/>
    <n v="3.0300000000000011"/>
    <s v="Moderate Difference"/>
  </r>
  <r>
    <n v="151362"/>
    <n v="22.05"/>
    <n v="19.73"/>
    <n v="1112"/>
    <s v="Medium"/>
    <s v="Families"/>
    <s v="No"/>
    <x v="2"/>
    <x v="2"/>
    <s v="No"/>
    <n v="24519.600000000002"/>
    <n v="2.3200000000000003"/>
    <s v="Moderate Difference"/>
  </r>
  <r>
    <n v="189612"/>
    <n v="49.94"/>
    <n v="48.09"/>
    <n v="809"/>
    <s v="High"/>
    <s v="Families"/>
    <s v="Yes"/>
    <x v="1"/>
    <x v="2"/>
    <s v="Yes"/>
    <n v="40401.46"/>
    <n v="1.8499999999999943"/>
    <s v="Moderate Difference"/>
  </r>
  <r>
    <n v="144433"/>
    <n v="41.17"/>
    <n v="37.58"/>
    <n v="1412"/>
    <s v="Low"/>
    <s v="Seniors"/>
    <s v="No"/>
    <x v="2"/>
    <x v="1"/>
    <s v="No"/>
    <n v="58132.04"/>
    <n v="3.5900000000000034"/>
    <s v="Moderate Difference"/>
  </r>
  <r>
    <n v="157449"/>
    <n v="33.65"/>
    <n v="32.64"/>
    <n v="951"/>
    <s v="Low"/>
    <s v="College students"/>
    <s v="No"/>
    <x v="0"/>
    <x v="2"/>
    <s v="No"/>
    <n v="32001.149999999998"/>
    <n v="1.009999999999998"/>
    <s v="Low Difference"/>
  </r>
  <r>
    <n v="165623"/>
    <n v="17.03"/>
    <n v="15.52"/>
    <n v="2379"/>
    <s v="High"/>
    <s v="College students"/>
    <s v="No"/>
    <x v="1"/>
    <x v="1"/>
    <s v="Yes"/>
    <n v="40514.370000000003"/>
    <n v="1.5100000000000016"/>
    <s v="Moderate Difference"/>
  </r>
  <r>
    <n v="137925"/>
    <n v="45.44"/>
    <n v="41.87"/>
    <n v="2336"/>
    <s v="Medium"/>
    <s v="Young adults"/>
    <s v="No"/>
    <x v="1"/>
    <x v="1"/>
    <s v="No"/>
    <n v="106147.84"/>
    <n v="3.5700000000000003"/>
    <s v="Moderate Difference"/>
  </r>
  <r>
    <n v="115111"/>
    <n v="16.88"/>
    <n v="13.12"/>
    <n v="1592"/>
    <s v="Medium"/>
    <s v="Families"/>
    <s v="No"/>
    <x v="0"/>
    <x v="0"/>
    <s v="No"/>
    <n v="26872.959999999999"/>
    <n v="3.76"/>
    <s v="High Difference"/>
  </r>
  <r>
    <n v="171502"/>
    <n v="10.49"/>
    <n v="8.4499999999999993"/>
    <n v="635"/>
    <s v="Medium"/>
    <s v="Seniors"/>
    <s v="Yes"/>
    <x v="2"/>
    <x v="2"/>
    <s v="Yes"/>
    <n v="6661.1500000000005"/>
    <n v="2.0400000000000009"/>
    <s v="Moderate Difference"/>
  </r>
  <r>
    <n v="193698"/>
    <n v="7.95"/>
    <n v="3.06"/>
    <n v="1029"/>
    <s v="Medium"/>
    <s v="Young adults"/>
    <s v="No"/>
    <x v="1"/>
    <x v="2"/>
    <s v="No"/>
    <n v="8180.55"/>
    <n v="4.8900000000000006"/>
    <s v="High Difference"/>
  </r>
  <r>
    <n v="151572"/>
    <n v="29"/>
    <n v="26.1"/>
    <n v="1602"/>
    <s v="Low"/>
    <s v="College students"/>
    <s v="Yes"/>
    <x v="2"/>
    <x v="2"/>
    <s v="Yes"/>
    <n v="46458"/>
    <n v="2.8999999999999986"/>
    <s v="Moderate Difference"/>
  </r>
  <r>
    <n v="158886"/>
    <n v="33.24"/>
    <n v="29.24"/>
    <n v="664"/>
    <s v="Medium"/>
    <s v="Seniors"/>
    <s v="Yes"/>
    <x v="1"/>
    <x v="1"/>
    <s v="Yes"/>
    <n v="22071.360000000001"/>
    <n v="4.0000000000000036"/>
    <s v="High Difference"/>
  </r>
  <r>
    <n v="111012"/>
    <n v="39.229999999999997"/>
    <n v="37.69"/>
    <n v="725"/>
    <s v="Medium"/>
    <s v="College students"/>
    <s v="No"/>
    <x v="2"/>
    <x v="2"/>
    <s v="No"/>
    <n v="28441.749999999996"/>
    <n v="1.5399999999999991"/>
    <s v="Moderate Difference"/>
  </r>
  <r>
    <n v="143251"/>
    <n v="9.89"/>
    <n v="8.8800000000000008"/>
    <n v="2354"/>
    <s v="Low"/>
    <s v="Seniors"/>
    <s v="No"/>
    <x v="0"/>
    <x v="1"/>
    <s v="No"/>
    <n v="23281.06"/>
    <n v="1.0099999999999998"/>
    <s v="Low Difference"/>
  </r>
  <r>
    <n v="178611"/>
    <n v="24.97"/>
    <n v="22.33"/>
    <n v="992"/>
    <s v="Medium"/>
    <s v="Seniors"/>
    <s v="Yes"/>
    <x v="0"/>
    <x v="2"/>
    <s v="No"/>
    <n v="24770.239999999998"/>
    <n v="2.6400000000000006"/>
    <s v="Moderate Difference"/>
  </r>
  <r>
    <n v="114824"/>
    <n v="43.12"/>
    <n v="40.43"/>
    <n v="852"/>
    <s v="High"/>
    <s v="Families"/>
    <s v="Yes"/>
    <x v="2"/>
    <x v="0"/>
    <s v="Yes"/>
    <n v="36738.239999999998"/>
    <n v="2.6899999999999977"/>
    <s v="Moderate Difference"/>
  </r>
  <r>
    <n v="168713"/>
    <n v="29.88"/>
    <n v="26.59"/>
    <n v="2112"/>
    <s v="High"/>
    <s v="Young adults"/>
    <s v="Yes"/>
    <x v="1"/>
    <x v="2"/>
    <s v="Yes"/>
    <n v="63106.559999999998"/>
    <n v="3.2899999999999991"/>
    <s v="Moderate Difference"/>
  </r>
  <r>
    <n v="140868"/>
    <n v="19.11"/>
    <n v="16.399999999999999"/>
    <n v="675"/>
    <s v="Low"/>
    <s v="Families"/>
    <s v="No"/>
    <x v="2"/>
    <x v="2"/>
    <s v="No"/>
    <n v="12899.25"/>
    <n v="2.7100000000000009"/>
    <s v="Moderate Difference"/>
  </r>
  <r>
    <n v="146780"/>
    <n v="49.36"/>
    <n v="45.93"/>
    <n v="2080"/>
    <s v="Low"/>
    <s v="College students"/>
    <s v="No"/>
    <x v="1"/>
    <x v="1"/>
    <s v="No"/>
    <n v="102668.8"/>
    <n v="3.4299999999999997"/>
    <s v="Moderate Difference"/>
  </r>
  <r>
    <n v="172105"/>
    <n v="9.85"/>
    <n v="8.59"/>
    <n v="2299"/>
    <s v="High"/>
    <s v="Families"/>
    <s v="Yes"/>
    <x v="0"/>
    <x v="1"/>
    <s v="No"/>
    <n v="22645.149999999998"/>
    <n v="1.2599999999999998"/>
    <s v="Moderate Difference"/>
  </r>
  <r>
    <n v="111455"/>
    <n v="27.05"/>
    <n v="26.24"/>
    <n v="2229"/>
    <s v="High"/>
    <s v="College students"/>
    <s v="Yes"/>
    <x v="1"/>
    <x v="1"/>
    <s v="Yes"/>
    <n v="60294.450000000004"/>
    <n v="0.81000000000000227"/>
    <s v="Low Difference"/>
  </r>
  <r>
    <n v="129927"/>
    <n v="6.75"/>
    <n v="4.72"/>
    <n v="647"/>
    <s v="High"/>
    <s v="Seniors"/>
    <s v="No"/>
    <x v="1"/>
    <x v="0"/>
    <s v="No"/>
    <n v="4367.25"/>
    <n v="2.0300000000000002"/>
    <s v="Moderate Difference"/>
  </r>
  <r>
    <n v="139494"/>
    <n v="32.22"/>
    <n v="31.89"/>
    <n v="1140"/>
    <s v="Medium"/>
    <s v="Families"/>
    <s v="No"/>
    <x v="2"/>
    <x v="2"/>
    <s v="Yes"/>
    <n v="36730.799999999996"/>
    <n v="0.32999999999999829"/>
    <s v="Low Difference"/>
  </r>
  <r>
    <n v="163982"/>
    <n v="20.9"/>
    <n v="19.2"/>
    <n v="779"/>
    <s v="Medium"/>
    <s v="Families"/>
    <s v="No"/>
    <x v="2"/>
    <x v="0"/>
    <s v="No"/>
    <n v="16281.099999999999"/>
    <n v="1.6999999999999993"/>
    <s v="Moderate Difference"/>
  </r>
  <r>
    <n v="112511"/>
    <n v="47.2"/>
    <n v="44.69"/>
    <n v="2587"/>
    <s v="Medium"/>
    <s v="Young adults"/>
    <s v="Yes"/>
    <x v="1"/>
    <x v="0"/>
    <s v="Yes"/>
    <n v="122106.40000000001"/>
    <n v="2.5100000000000051"/>
    <s v="Moderate Difference"/>
  </r>
  <r>
    <n v="146982"/>
    <n v="29.92"/>
    <n v="29.86"/>
    <n v="972"/>
    <s v="Medium"/>
    <s v="Young adults"/>
    <s v="Yes"/>
    <x v="1"/>
    <x v="0"/>
    <s v="Yes"/>
    <n v="29082.240000000002"/>
    <n v="6.0000000000002274E-2"/>
    <s v="Low Difference"/>
  </r>
  <r>
    <n v="171517"/>
    <n v="18.7"/>
    <n v="16.64"/>
    <n v="1069"/>
    <s v="Medium"/>
    <s v="Young adults"/>
    <s v="Yes"/>
    <x v="2"/>
    <x v="2"/>
    <s v="No"/>
    <n v="19990.3"/>
    <n v="2.0599999999999987"/>
    <s v="Moderate Difference"/>
  </r>
  <r>
    <n v="181233"/>
    <n v="20.7"/>
    <n v="19.350000000000001"/>
    <n v="2632"/>
    <s v="High"/>
    <s v="Seniors"/>
    <s v="No"/>
    <x v="2"/>
    <x v="0"/>
    <s v="No"/>
    <n v="54482.400000000001"/>
    <n v="1.3499999999999979"/>
    <s v="Moderate Difference"/>
  </r>
  <r>
    <n v="147559"/>
    <n v="16.97"/>
    <n v="16.54"/>
    <n v="2628"/>
    <s v="High"/>
    <s v="College students"/>
    <s v="No"/>
    <x v="0"/>
    <x v="0"/>
    <s v="No"/>
    <n v="44597.159999999996"/>
    <n v="0.42999999999999972"/>
    <s v="Low Difference"/>
  </r>
  <r>
    <n v="158151"/>
    <n v="36.75"/>
    <n v="34.840000000000003"/>
    <n v="626"/>
    <s v="Low"/>
    <s v="Young adults"/>
    <s v="No"/>
    <x v="0"/>
    <x v="2"/>
    <s v="No"/>
    <n v="23005.5"/>
    <n v="1.9099999999999966"/>
    <s v="Moderate Difference"/>
  </r>
  <r>
    <n v="199194"/>
    <n v="8.58"/>
    <n v="4.6500000000000004"/>
    <n v="2315"/>
    <s v="High"/>
    <s v="Seniors"/>
    <s v="Yes"/>
    <x v="2"/>
    <x v="2"/>
    <s v="No"/>
    <n v="19862.7"/>
    <n v="3.9299999999999997"/>
    <s v="High Difference"/>
  </r>
  <r>
    <n v="187447"/>
    <n v="30.46"/>
    <n v="26.95"/>
    <n v="1253"/>
    <s v="High"/>
    <s v="College students"/>
    <s v="Yes"/>
    <x v="2"/>
    <x v="2"/>
    <s v="Yes"/>
    <n v="38166.380000000005"/>
    <n v="3.5100000000000016"/>
    <s v="Moderate Difference"/>
  </r>
  <r>
    <n v="175725"/>
    <n v="39.97"/>
    <n v="39.71"/>
    <n v="1083"/>
    <s v="Low"/>
    <s v="Young adults"/>
    <s v="Yes"/>
    <x v="1"/>
    <x v="1"/>
    <s v="Yes"/>
    <n v="43287.51"/>
    <n v="0.25999999999999801"/>
    <s v="Low Difference"/>
  </r>
  <r>
    <n v="131107"/>
    <n v="31.79"/>
    <n v="26.83"/>
    <n v="1089"/>
    <s v="Low"/>
    <s v="Young adults"/>
    <s v="No"/>
    <x v="0"/>
    <x v="0"/>
    <s v="Yes"/>
    <n v="34619.31"/>
    <n v="4.9600000000000009"/>
    <s v="High Difference"/>
  </r>
  <r>
    <n v="186541"/>
    <n v="40.590000000000003"/>
    <n v="35.65"/>
    <n v="2969"/>
    <s v="High"/>
    <s v="Young adults"/>
    <s v="Yes"/>
    <x v="0"/>
    <x v="0"/>
    <s v="No"/>
    <n v="120511.71"/>
    <n v="4.9400000000000048"/>
    <s v="High Difference"/>
  </r>
  <r>
    <n v="192046"/>
    <n v="20.239999999999998"/>
    <n v="20.18"/>
    <n v="1387"/>
    <s v="Medium"/>
    <s v="Families"/>
    <s v="Yes"/>
    <x v="2"/>
    <x v="2"/>
    <s v="No"/>
    <n v="28072.879999999997"/>
    <n v="5.9999999999998721E-2"/>
    <s v="Low Difference"/>
  </r>
  <r>
    <n v="147306"/>
    <n v="18.5"/>
    <n v="15.38"/>
    <n v="1828"/>
    <s v="Low"/>
    <s v="College students"/>
    <s v="No"/>
    <x v="0"/>
    <x v="0"/>
    <s v="Yes"/>
    <n v="33818"/>
    <n v="3.1199999999999992"/>
    <s v="Moderate Difference"/>
  </r>
  <r>
    <n v="145684"/>
    <n v="46.36"/>
    <n v="42.96"/>
    <n v="2267"/>
    <s v="Low"/>
    <s v="College students"/>
    <s v="Yes"/>
    <x v="2"/>
    <x v="1"/>
    <s v="No"/>
    <n v="105098.12"/>
    <n v="3.3999999999999986"/>
    <s v="Moderate Difference"/>
  </r>
  <r>
    <n v="118867"/>
    <n v="11.15"/>
    <n v="8.08"/>
    <n v="2292"/>
    <s v="Medium"/>
    <s v="Families"/>
    <s v="No"/>
    <x v="1"/>
    <x v="1"/>
    <s v="Yes"/>
    <n v="25555.8"/>
    <n v="3.0700000000000003"/>
    <s v="Moderate Difference"/>
  </r>
  <r>
    <n v="143823"/>
    <n v="47.99"/>
    <n v="43.86"/>
    <n v="2230"/>
    <s v="Medium"/>
    <s v="Young adults"/>
    <s v="Yes"/>
    <x v="1"/>
    <x v="1"/>
    <s v="Yes"/>
    <n v="107017.70000000001"/>
    <n v="4.1300000000000026"/>
    <s v="High Difference"/>
  </r>
  <r>
    <n v="194433"/>
    <n v="21.67"/>
    <n v="18.77"/>
    <n v="2207"/>
    <s v="Low"/>
    <s v="Young adults"/>
    <s v="No"/>
    <x v="0"/>
    <x v="2"/>
    <s v="No"/>
    <n v="47825.69"/>
    <n v="2.9000000000000021"/>
    <s v="Moderate Difference"/>
  </r>
  <r>
    <n v="180551"/>
    <n v="30.83"/>
    <n v="30.37"/>
    <n v="1999"/>
    <s v="Low"/>
    <s v="College students"/>
    <s v="No"/>
    <x v="1"/>
    <x v="2"/>
    <s v="No"/>
    <n v="61629.17"/>
    <n v="0.4599999999999973"/>
    <s v="Low Difference"/>
  </r>
  <r>
    <n v="180029"/>
    <n v="37.72"/>
    <n v="33.07"/>
    <n v="1301"/>
    <s v="Low"/>
    <s v="Families"/>
    <s v="No"/>
    <x v="0"/>
    <x v="0"/>
    <s v="Yes"/>
    <n v="49073.72"/>
    <n v="4.6499999999999986"/>
    <s v="High Difference"/>
  </r>
  <r>
    <n v="158671"/>
    <n v="28.37"/>
    <n v="27.34"/>
    <n v="1262"/>
    <s v="Medium"/>
    <s v="Seniors"/>
    <s v="Yes"/>
    <x v="1"/>
    <x v="2"/>
    <s v="Yes"/>
    <n v="35802.94"/>
    <n v="1.0300000000000011"/>
    <s v="Low Difference"/>
  </r>
  <r>
    <n v="196932"/>
    <n v="49.66"/>
    <n v="46.66"/>
    <n v="2085"/>
    <s v="High"/>
    <s v="Young adults"/>
    <s v="No"/>
    <x v="0"/>
    <x v="2"/>
    <s v="Yes"/>
    <n v="103541.09999999999"/>
    <n v="3"/>
    <s v="Moderate Difference"/>
  </r>
  <r>
    <n v="188730"/>
    <n v="22.04"/>
    <n v="19.16"/>
    <n v="2051"/>
    <s v="Medium"/>
    <s v="Families"/>
    <s v="Yes"/>
    <x v="0"/>
    <x v="1"/>
    <s v="Yes"/>
    <n v="45204.04"/>
    <n v="2.879999999999999"/>
    <s v="Moderate Difference"/>
  </r>
  <r>
    <n v="189853"/>
    <n v="14.3"/>
    <n v="11.08"/>
    <n v="2479"/>
    <s v="Low"/>
    <s v="Families"/>
    <s v="No"/>
    <x v="1"/>
    <x v="2"/>
    <s v="No"/>
    <n v="35449.700000000004"/>
    <n v="3.2200000000000006"/>
    <s v="Moderate Difference"/>
  </r>
  <r>
    <n v="169236"/>
    <n v="13.52"/>
    <n v="9.5"/>
    <n v="2234"/>
    <s v="Low"/>
    <s v="Young adults"/>
    <s v="Yes"/>
    <x v="1"/>
    <x v="2"/>
    <s v="No"/>
    <n v="30203.68"/>
    <n v="4.0199999999999996"/>
    <s v="High Difference"/>
  </r>
  <r>
    <n v="157660"/>
    <n v="17.989999999999998"/>
    <n v="14.93"/>
    <n v="821"/>
    <s v="Medium"/>
    <s v="Young adults"/>
    <s v="No"/>
    <x v="1"/>
    <x v="0"/>
    <s v="Yes"/>
    <n v="14769.789999999999"/>
    <n v="3.0599999999999987"/>
    <s v="Moderate Difference"/>
  </r>
  <r>
    <n v="119645"/>
    <n v="26.07"/>
    <n v="24.32"/>
    <n v="1634"/>
    <s v="High"/>
    <s v="Young adults"/>
    <s v="No"/>
    <x v="1"/>
    <x v="2"/>
    <s v="Yes"/>
    <n v="42598.38"/>
    <n v="1.75"/>
    <s v="Moderate Difference"/>
  </r>
  <r>
    <n v="142356"/>
    <n v="27.16"/>
    <n v="23.47"/>
    <n v="1207"/>
    <s v="Medium"/>
    <s v="Families"/>
    <s v="No"/>
    <x v="0"/>
    <x v="2"/>
    <s v="Yes"/>
    <n v="32782.120000000003"/>
    <n v="3.6900000000000013"/>
    <s v="Moderate Difference"/>
  </r>
  <r>
    <n v="122078"/>
    <n v="7.32"/>
    <n v="4.8600000000000003"/>
    <n v="1124"/>
    <s v="Medium"/>
    <s v="Young adults"/>
    <s v="No"/>
    <x v="1"/>
    <x v="1"/>
    <s v="Yes"/>
    <n v="8227.68"/>
    <n v="2.46"/>
    <s v="Moderate Difference"/>
  </r>
  <r>
    <n v="161248"/>
    <n v="12.8"/>
    <n v="11.34"/>
    <n v="1167"/>
    <s v="Low"/>
    <s v="College students"/>
    <s v="No"/>
    <x v="1"/>
    <x v="0"/>
    <s v="Yes"/>
    <n v="14937.6"/>
    <n v="1.4600000000000009"/>
    <s v="Moderate Difference"/>
  </r>
  <r>
    <n v="171394"/>
    <n v="16.93"/>
    <n v="16.87"/>
    <n v="2683"/>
    <s v="Low"/>
    <s v="College students"/>
    <s v="No"/>
    <x v="2"/>
    <x v="0"/>
    <s v="No"/>
    <n v="45423.19"/>
    <n v="5.9999999999998721E-2"/>
    <s v="Low Difference"/>
  </r>
  <r>
    <n v="151362"/>
    <n v="9.0299999999999994"/>
    <n v="7.3"/>
    <n v="1586"/>
    <s v="Medium"/>
    <s v="Families"/>
    <s v="No"/>
    <x v="2"/>
    <x v="2"/>
    <s v="No"/>
    <n v="14321.579999999998"/>
    <n v="1.7299999999999995"/>
    <s v="Moderate Difference"/>
  </r>
  <r>
    <n v="171225"/>
    <n v="11"/>
    <n v="9.7200000000000006"/>
    <n v="689"/>
    <s v="Medium"/>
    <s v="Young adults"/>
    <s v="No"/>
    <x v="0"/>
    <x v="1"/>
    <s v="Yes"/>
    <n v="7579"/>
    <n v="1.2799999999999994"/>
    <s v="Moderate Difference"/>
  </r>
  <r>
    <n v="147968"/>
    <n v="10.27"/>
    <n v="10.14"/>
    <n v="1995"/>
    <s v="Low"/>
    <s v="Families"/>
    <s v="No"/>
    <x v="2"/>
    <x v="0"/>
    <s v="Yes"/>
    <n v="20488.649999999998"/>
    <n v="0.12999999999999901"/>
    <s v="Low Difference"/>
  </r>
  <r>
    <n v="135533"/>
    <n v="30.99"/>
    <n v="27.34"/>
    <n v="2915"/>
    <s v="Low"/>
    <s v="College students"/>
    <s v="Yes"/>
    <x v="1"/>
    <x v="0"/>
    <s v="Yes"/>
    <n v="90335.849999999991"/>
    <n v="3.6499999999999986"/>
    <s v="Moderate Difference"/>
  </r>
  <r>
    <n v="175517"/>
    <n v="37.72"/>
    <n v="37.04"/>
    <n v="1732"/>
    <s v="High"/>
    <s v="Families"/>
    <s v="No"/>
    <x v="0"/>
    <x v="0"/>
    <s v="Yes"/>
    <n v="65331.040000000001"/>
    <n v="0.67999999999999972"/>
    <s v="Low Difference"/>
  </r>
  <r>
    <n v="194339"/>
    <n v="32.67"/>
    <n v="29.65"/>
    <n v="2749"/>
    <s v="Low"/>
    <s v="Seniors"/>
    <s v="No"/>
    <x v="1"/>
    <x v="0"/>
    <s v="No"/>
    <n v="89809.83"/>
    <n v="3.0200000000000031"/>
    <s v="Moderate Difference"/>
  </r>
  <r>
    <n v="181234"/>
    <n v="40.78"/>
    <n v="40.35"/>
    <n v="2262"/>
    <s v="High"/>
    <s v="College students"/>
    <s v="Yes"/>
    <x v="1"/>
    <x v="1"/>
    <s v="Yes"/>
    <n v="92244.36"/>
    <n v="0.42999999999999972"/>
    <s v="Low Difference"/>
  </r>
  <r>
    <n v="128647"/>
    <n v="13.33"/>
    <n v="9.52"/>
    <n v="1187"/>
    <s v="High"/>
    <s v="Young adults"/>
    <s v="No"/>
    <x v="2"/>
    <x v="2"/>
    <s v="No"/>
    <n v="15822.710000000001"/>
    <n v="3.8100000000000005"/>
    <s v="High Difference"/>
  </r>
  <r>
    <n v="178865"/>
    <n v="7.73"/>
    <n v="5.13"/>
    <n v="2525"/>
    <s v="Medium"/>
    <s v="Families"/>
    <s v="Yes"/>
    <x v="1"/>
    <x v="1"/>
    <s v="No"/>
    <n v="19518.25"/>
    <n v="2.6000000000000005"/>
    <s v="Moderate Difference"/>
  </r>
  <r>
    <n v="131452"/>
    <n v="28.43"/>
    <n v="27.71"/>
    <n v="1056"/>
    <s v="Medium"/>
    <s v="College students"/>
    <s v="No"/>
    <x v="0"/>
    <x v="1"/>
    <s v="Yes"/>
    <n v="30022.079999999998"/>
    <n v="0.71999999999999886"/>
    <s v="Low Difference"/>
  </r>
  <r>
    <n v="146158"/>
    <n v="41.9"/>
    <n v="40.31"/>
    <n v="2737"/>
    <s v="Medium"/>
    <s v="Families"/>
    <s v="Yes"/>
    <x v="1"/>
    <x v="2"/>
    <s v="Yes"/>
    <n v="114680.3"/>
    <n v="1.5899999999999963"/>
    <s v="Moderate Difference"/>
  </r>
  <r>
    <n v="144475"/>
    <n v="23.7"/>
    <n v="19.850000000000001"/>
    <n v="957"/>
    <s v="Medium"/>
    <s v="Young adults"/>
    <s v="No"/>
    <x v="0"/>
    <x v="0"/>
    <s v="Yes"/>
    <n v="22680.899999999998"/>
    <n v="3.8499999999999979"/>
    <s v="High Difference"/>
  </r>
  <r>
    <n v="120176"/>
    <n v="45.03"/>
    <n v="44.13"/>
    <n v="2560"/>
    <s v="Medium"/>
    <s v="Seniors"/>
    <s v="No"/>
    <x v="2"/>
    <x v="0"/>
    <s v="No"/>
    <n v="115276.8"/>
    <n v="0.89999999999999858"/>
    <s v="Low Difference"/>
  </r>
  <r>
    <n v="156007"/>
    <n v="31.89"/>
    <n v="27.8"/>
    <n v="648"/>
    <s v="Low"/>
    <s v="College students"/>
    <s v="Yes"/>
    <x v="0"/>
    <x v="0"/>
    <s v="No"/>
    <n v="20664.72"/>
    <n v="4.09"/>
    <s v="High Difference"/>
  </r>
  <r>
    <n v="138628"/>
    <n v="37.83"/>
    <n v="33.08"/>
    <n v="645"/>
    <s v="Low"/>
    <s v="Families"/>
    <s v="No"/>
    <x v="0"/>
    <x v="2"/>
    <s v="Yes"/>
    <n v="24400.35"/>
    <n v="4.75"/>
    <s v="High Difference"/>
  </r>
  <r>
    <n v="178302"/>
    <n v="26.98"/>
    <n v="25.17"/>
    <n v="1725"/>
    <s v="Medium"/>
    <s v="Young adults"/>
    <s v="Yes"/>
    <x v="0"/>
    <x v="0"/>
    <s v="Yes"/>
    <n v="46540.5"/>
    <n v="1.8099999999999987"/>
    <s v="Moderate Difference"/>
  </r>
  <r>
    <n v="144073"/>
    <n v="24.73"/>
    <n v="21.68"/>
    <n v="2293"/>
    <s v="Medium"/>
    <s v="Young adults"/>
    <s v="No"/>
    <x v="2"/>
    <x v="0"/>
    <s v="Yes"/>
    <n v="56705.89"/>
    <n v="3.0500000000000007"/>
    <s v="Moderate Difference"/>
  </r>
  <r>
    <n v="186997"/>
    <n v="28.66"/>
    <n v="27.62"/>
    <n v="2064"/>
    <s v="Low"/>
    <s v="College students"/>
    <s v="Yes"/>
    <x v="0"/>
    <x v="0"/>
    <s v="Yes"/>
    <n v="59154.239999999998"/>
    <n v="1.0399999999999991"/>
    <s v="Low Difference"/>
  </r>
  <r>
    <n v="173396"/>
    <n v="35.549999999999997"/>
    <n v="34.130000000000003"/>
    <n v="1356"/>
    <s v="Low"/>
    <s v="Families"/>
    <s v="No"/>
    <x v="1"/>
    <x v="0"/>
    <s v="Yes"/>
    <n v="48205.799999999996"/>
    <n v="1.4199999999999946"/>
    <s v="Moderate Difference"/>
  </r>
  <r>
    <n v="115038"/>
    <n v="18.36"/>
    <n v="16.02"/>
    <n v="611"/>
    <s v="Low"/>
    <s v="College students"/>
    <s v="No"/>
    <x v="1"/>
    <x v="0"/>
    <s v="Yes"/>
    <n v="11217.96"/>
    <n v="2.34"/>
    <s v="Moderate Difference"/>
  </r>
  <r>
    <n v="151967"/>
    <n v="31.14"/>
    <n v="30.98"/>
    <n v="2680"/>
    <s v="Medium"/>
    <s v="Young adults"/>
    <s v="Yes"/>
    <x v="2"/>
    <x v="0"/>
    <s v="Yes"/>
    <n v="83455.199999999997"/>
    <n v="0.16000000000000014"/>
    <s v="Low Difference"/>
  </r>
  <r>
    <n v="170937"/>
    <n v="16.579999999999998"/>
    <n v="15.92"/>
    <n v="507"/>
    <s v="Low"/>
    <s v="Young adults"/>
    <s v="No"/>
    <x v="2"/>
    <x v="2"/>
    <s v="No"/>
    <n v="8406.06"/>
    <n v="0.65999999999999837"/>
    <s v="Low Difference"/>
  </r>
  <r>
    <n v="176947"/>
    <n v="48.73"/>
    <n v="48.41"/>
    <n v="1562"/>
    <s v="High"/>
    <s v="Young adults"/>
    <s v="Yes"/>
    <x v="1"/>
    <x v="1"/>
    <s v="No"/>
    <n v="76116.259999999995"/>
    <n v="0.32000000000000028"/>
    <s v="Low Difference"/>
  </r>
  <r>
    <n v="181067"/>
    <n v="29.39"/>
    <n v="26.88"/>
    <n v="1418"/>
    <s v="Medium"/>
    <s v="Seniors"/>
    <s v="No"/>
    <x v="1"/>
    <x v="2"/>
    <s v="No"/>
    <n v="41675.020000000004"/>
    <n v="2.5100000000000016"/>
    <s v="Moderate Difference"/>
  </r>
  <r>
    <n v="192831"/>
    <n v="26.63"/>
    <n v="24.16"/>
    <n v="762"/>
    <s v="Low"/>
    <s v="Young adults"/>
    <s v="Yes"/>
    <x v="0"/>
    <x v="0"/>
    <s v="Yes"/>
    <n v="20292.059999999998"/>
    <n v="2.4699999999999989"/>
    <s v="Moderate Difference"/>
  </r>
  <r>
    <n v="119838"/>
    <n v="25.61"/>
    <n v="21.23"/>
    <n v="2534"/>
    <s v="Medium"/>
    <s v="College students"/>
    <s v="Yes"/>
    <x v="0"/>
    <x v="1"/>
    <s v="No"/>
    <n v="64895.74"/>
    <n v="4.379999999999999"/>
    <s v="High Difference"/>
  </r>
  <r>
    <n v="151923"/>
    <n v="48.91"/>
    <n v="43.95"/>
    <n v="1701"/>
    <s v="Medium"/>
    <s v="Families"/>
    <s v="Yes"/>
    <x v="0"/>
    <x v="2"/>
    <s v="Yes"/>
    <n v="83195.909999999989"/>
    <n v="4.9599999999999937"/>
    <s v="High Difference"/>
  </r>
  <r>
    <n v="186652"/>
    <n v="23.64"/>
    <n v="18.82"/>
    <n v="747"/>
    <s v="Medium"/>
    <s v="College students"/>
    <s v="Yes"/>
    <x v="1"/>
    <x v="0"/>
    <s v="Yes"/>
    <n v="17659.080000000002"/>
    <n v="4.82"/>
    <s v="High Difference"/>
  </r>
  <r>
    <n v="169576"/>
    <n v="45.3"/>
    <n v="43.21"/>
    <n v="1463"/>
    <s v="Medium"/>
    <s v="Seniors"/>
    <s v="Yes"/>
    <x v="0"/>
    <x v="0"/>
    <s v="Yes"/>
    <n v="66273.899999999994"/>
    <n v="2.0899999999999963"/>
    <s v="Moderate Difference"/>
  </r>
  <r>
    <n v="180911"/>
    <n v="22.95"/>
    <n v="20.73"/>
    <n v="1015"/>
    <s v="Low"/>
    <s v="Families"/>
    <s v="No"/>
    <x v="1"/>
    <x v="1"/>
    <s v="Yes"/>
    <n v="23294.25"/>
    <n v="2.2199999999999989"/>
    <s v="Moderate Difference"/>
  </r>
  <r>
    <n v="133294"/>
    <n v="41.51"/>
    <n v="41.39"/>
    <n v="2696"/>
    <s v="Medium"/>
    <s v="Young adults"/>
    <s v="Yes"/>
    <x v="2"/>
    <x v="2"/>
    <s v="No"/>
    <n v="111910.95999999999"/>
    <n v="0.11999999999999744"/>
    <s v="Low Difference"/>
  </r>
  <r>
    <n v="135689"/>
    <n v="43.26"/>
    <n v="39.549999999999997"/>
    <n v="1063"/>
    <s v="Medium"/>
    <s v="Families"/>
    <s v="Yes"/>
    <x v="1"/>
    <x v="1"/>
    <s v="Yes"/>
    <n v="45985.38"/>
    <n v="3.7100000000000009"/>
    <s v="High Difference"/>
  </r>
  <r>
    <n v="190951"/>
    <n v="44.53"/>
    <n v="40.86"/>
    <n v="2472"/>
    <s v="High"/>
    <s v="Seniors"/>
    <s v="No"/>
    <x v="0"/>
    <x v="1"/>
    <s v="No"/>
    <n v="110078.16"/>
    <n v="3.6700000000000017"/>
    <s v="Moderate Difference"/>
  </r>
  <r>
    <n v="163002"/>
    <n v="6.35"/>
    <n v="3.89"/>
    <n v="1270"/>
    <s v="High"/>
    <s v="Young adults"/>
    <s v="Yes"/>
    <x v="2"/>
    <x v="0"/>
    <s v="No"/>
    <n v="8064.5"/>
    <n v="2.4599999999999995"/>
    <s v="Moderate Difference"/>
  </r>
  <r>
    <n v="190010"/>
    <n v="28.45"/>
    <n v="24.96"/>
    <n v="2312"/>
    <s v="Medium"/>
    <s v="College students"/>
    <s v="Yes"/>
    <x v="0"/>
    <x v="0"/>
    <s v="No"/>
    <n v="65776.399999999994"/>
    <n v="3.4899999999999984"/>
    <s v="Moderate Difference"/>
  </r>
  <r>
    <n v="177516"/>
    <n v="9.19"/>
    <n v="4.71"/>
    <n v="2082"/>
    <s v="Low"/>
    <s v="Families"/>
    <s v="No"/>
    <x v="0"/>
    <x v="2"/>
    <s v="Yes"/>
    <n v="19133.579999999998"/>
    <n v="4.4799999999999995"/>
    <s v="High Difference"/>
  </r>
  <r>
    <n v="113847"/>
    <n v="31.3"/>
    <n v="27.14"/>
    <n v="712"/>
    <s v="High"/>
    <s v="Families"/>
    <s v="No"/>
    <x v="2"/>
    <x v="2"/>
    <s v="No"/>
    <n v="22285.600000000002"/>
    <n v="4.16"/>
    <s v="High Difference"/>
  </r>
  <r>
    <n v="114370"/>
    <n v="49.5"/>
    <n v="45.77"/>
    <n v="1017"/>
    <s v="Medium"/>
    <s v="College students"/>
    <s v="Yes"/>
    <x v="0"/>
    <x v="0"/>
    <s v="No"/>
    <n v="50341.5"/>
    <n v="3.7299999999999969"/>
    <s v="High Difference"/>
  </r>
  <r>
    <n v="154002"/>
    <n v="28.11"/>
    <n v="27.36"/>
    <n v="887"/>
    <s v="High"/>
    <s v="Families"/>
    <s v="Yes"/>
    <x v="0"/>
    <x v="2"/>
    <s v="No"/>
    <n v="24933.57"/>
    <n v="0.75"/>
    <s v="Low Difference"/>
  </r>
  <r>
    <n v="125057"/>
    <n v="30.59"/>
    <n v="30"/>
    <n v="660"/>
    <s v="Medium"/>
    <s v="College students"/>
    <s v="Yes"/>
    <x v="1"/>
    <x v="2"/>
    <s v="Yes"/>
    <n v="20189.400000000001"/>
    <n v="0.58999999999999986"/>
    <s v="Low Difference"/>
  </r>
  <r>
    <n v="159070"/>
    <n v="19.25"/>
    <n v="18.54"/>
    <n v="1280"/>
    <s v="High"/>
    <s v="College students"/>
    <s v="No"/>
    <x v="1"/>
    <x v="1"/>
    <s v="Yes"/>
    <n v="24640"/>
    <n v="0.71000000000000085"/>
    <s v="Low Difference"/>
  </r>
  <r>
    <n v="167705"/>
    <n v="15.21"/>
    <n v="13.53"/>
    <n v="2196"/>
    <s v="Medium"/>
    <s v="Families"/>
    <s v="Yes"/>
    <x v="2"/>
    <x v="1"/>
    <s v="Yes"/>
    <n v="33401.160000000003"/>
    <n v="1.6800000000000015"/>
    <s v="Moderate Difference"/>
  </r>
  <r>
    <n v="177177"/>
    <n v="24.9"/>
    <n v="24.44"/>
    <n v="1432"/>
    <s v="High"/>
    <s v="College students"/>
    <s v="Yes"/>
    <x v="0"/>
    <x v="1"/>
    <s v="Yes"/>
    <n v="35656.799999999996"/>
    <n v="0.4599999999999973"/>
    <s v="Low Difference"/>
  </r>
  <r>
    <n v="192619"/>
    <n v="26.75"/>
    <n v="22.76"/>
    <n v="2279"/>
    <s v="High"/>
    <s v="College students"/>
    <s v="Yes"/>
    <x v="0"/>
    <x v="2"/>
    <s v="No"/>
    <n v="60963.25"/>
    <n v="3.9899999999999984"/>
    <s v="High Difference"/>
  </r>
  <r>
    <n v="121605"/>
    <n v="13.58"/>
    <n v="11.21"/>
    <n v="1145"/>
    <s v="Low"/>
    <s v="Young adults"/>
    <s v="No"/>
    <x v="2"/>
    <x v="1"/>
    <s v="No"/>
    <n v="15549.1"/>
    <n v="2.3699999999999992"/>
    <s v="Moderate Difference"/>
  </r>
  <r>
    <n v="149245"/>
    <n v="10.6"/>
    <n v="7.52"/>
    <n v="771"/>
    <s v="High"/>
    <s v="College students"/>
    <s v="No"/>
    <x v="1"/>
    <x v="1"/>
    <s v="No"/>
    <n v="8172.5999999999995"/>
    <n v="3.08"/>
    <s v="Moderate Difference"/>
  </r>
  <r>
    <n v="194369"/>
    <n v="9.81"/>
    <n v="9.5299999999999994"/>
    <n v="2548"/>
    <s v="High"/>
    <s v="College students"/>
    <s v="No"/>
    <x v="0"/>
    <x v="2"/>
    <s v="Yes"/>
    <n v="24995.88"/>
    <n v="0.28000000000000114"/>
    <s v="Low Difference"/>
  </r>
  <r>
    <n v="135894"/>
    <n v="36.9"/>
    <n v="33.72"/>
    <n v="1640"/>
    <s v="Low"/>
    <s v="Families"/>
    <s v="Yes"/>
    <x v="1"/>
    <x v="1"/>
    <s v="Yes"/>
    <n v="60516"/>
    <n v="3.1799999999999997"/>
    <s v="Moderate Difference"/>
  </r>
  <r>
    <n v="127177"/>
    <n v="35.44"/>
    <n v="30.67"/>
    <n v="565"/>
    <s v="Medium"/>
    <s v="Families"/>
    <s v="Yes"/>
    <x v="1"/>
    <x v="1"/>
    <s v="No"/>
    <n v="20023.599999999999"/>
    <n v="4.769999999999996"/>
    <s v="High Difference"/>
  </r>
  <r>
    <n v="144780"/>
    <n v="7.65"/>
    <n v="4.84"/>
    <n v="1272"/>
    <s v="High"/>
    <s v="Families"/>
    <s v="Yes"/>
    <x v="2"/>
    <x v="1"/>
    <s v="No"/>
    <n v="9730.8000000000011"/>
    <n v="2.8100000000000005"/>
    <s v="Moderate Difference"/>
  </r>
  <r>
    <n v="189870"/>
    <n v="49.31"/>
    <n v="44.8"/>
    <n v="582"/>
    <s v="Low"/>
    <s v="Young adults"/>
    <s v="Yes"/>
    <x v="1"/>
    <x v="1"/>
    <s v="Yes"/>
    <n v="28698.420000000002"/>
    <n v="4.5100000000000051"/>
    <s v="High Difference"/>
  </r>
  <r>
    <n v="179236"/>
    <n v="33.409999999999997"/>
    <n v="28.67"/>
    <n v="1270"/>
    <s v="Medium"/>
    <s v="Families"/>
    <s v="Yes"/>
    <x v="1"/>
    <x v="0"/>
    <s v="Yes"/>
    <n v="42430.7"/>
    <n v="4.7399999999999949"/>
    <s v="High Difference"/>
  </r>
  <r>
    <n v="134887"/>
    <n v="47.79"/>
    <n v="46.97"/>
    <n v="2118"/>
    <s v="Low"/>
    <s v="Seniors"/>
    <s v="No"/>
    <x v="1"/>
    <x v="1"/>
    <s v="Yes"/>
    <n v="101219.22"/>
    <n v="0.82000000000000028"/>
    <s v="Low Difference"/>
  </r>
  <r>
    <n v="190184"/>
    <n v="44.54"/>
    <n v="42.2"/>
    <n v="2820"/>
    <s v="Low"/>
    <s v="College students"/>
    <s v="No"/>
    <x v="1"/>
    <x v="0"/>
    <s v="Yes"/>
    <n v="125602.8"/>
    <n v="2.3399999999999963"/>
    <s v="Moderate Difference"/>
  </r>
  <r>
    <n v="115318"/>
    <n v="21.79"/>
    <n v="17.46"/>
    <n v="2363"/>
    <s v="High"/>
    <s v="College students"/>
    <s v="No"/>
    <x v="2"/>
    <x v="2"/>
    <s v="Yes"/>
    <n v="51489.77"/>
    <n v="4.3299999999999983"/>
    <s v="High Difference"/>
  </r>
  <r>
    <n v="161907"/>
    <n v="34.69"/>
    <n v="31.14"/>
    <n v="1099"/>
    <s v="Medium"/>
    <s v="Young adults"/>
    <s v="No"/>
    <x v="2"/>
    <x v="0"/>
    <s v="Yes"/>
    <n v="38124.31"/>
    <n v="3.5499999999999972"/>
    <s v="Moderate Difference"/>
  </r>
  <r>
    <n v="155997"/>
    <n v="46.84"/>
    <n v="43.8"/>
    <n v="2534"/>
    <s v="Low"/>
    <s v="College students"/>
    <s v="Yes"/>
    <x v="1"/>
    <x v="2"/>
    <s v="No"/>
    <n v="118692.56000000001"/>
    <n v="3.0400000000000063"/>
    <s v="Moderate Difference"/>
  </r>
  <r>
    <n v="166744"/>
    <n v="13.34"/>
    <n v="8.91"/>
    <n v="2309"/>
    <s v="Medium"/>
    <s v="Families"/>
    <s v="No"/>
    <x v="0"/>
    <x v="0"/>
    <s v="Yes"/>
    <n v="30802.06"/>
    <n v="4.43"/>
    <s v="High Difference"/>
  </r>
  <r>
    <n v="129858"/>
    <n v="47.74"/>
    <n v="45.16"/>
    <n v="2018"/>
    <s v="High"/>
    <s v="College students"/>
    <s v="Yes"/>
    <x v="2"/>
    <x v="1"/>
    <s v="Yes"/>
    <n v="96339.32"/>
    <n v="2.5800000000000054"/>
    <s v="Moderate Difference"/>
  </r>
  <r>
    <n v="158908"/>
    <n v="42.5"/>
    <n v="41.13"/>
    <n v="2100"/>
    <s v="High"/>
    <s v="Seniors"/>
    <s v="Yes"/>
    <x v="2"/>
    <x v="2"/>
    <s v="Yes"/>
    <n v="89250"/>
    <n v="1.3699999999999974"/>
    <s v="Moderate Difference"/>
  </r>
  <r>
    <n v="192048"/>
    <n v="20.39"/>
    <n v="18.04"/>
    <n v="2512"/>
    <s v="High"/>
    <s v="Young adults"/>
    <s v="No"/>
    <x v="1"/>
    <x v="1"/>
    <s v="No"/>
    <n v="51219.68"/>
    <n v="2.3500000000000014"/>
    <s v="Moderate Difference"/>
  </r>
  <r>
    <n v="136294"/>
    <n v="38.869999999999997"/>
    <n v="37.28"/>
    <n v="1706"/>
    <s v="Low"/>
    <s v="College students"/>
    <s v="No"/>
    <x v="1"/>
    <x v="2"/>
    <s v="Yes"/>
    <n v="66312.22"/>
    <n v="1.5899999999999963"/>
    <s v="Moderate Difference"/>
  </r>
  <r>
    <n v="193043"/>
    <n v="49.14"/>
    <n v="45.02"/>
    <n v="2743"/>
    <s v="Low"/>
    <s v="Families"/>
    <s v="No"/>
    <x v="2"/>
    <x v="0"/>
    <s v="No"/>
    <n v="134791.01999999999"/>
    <n v="4.1199999999999974"/>
    <s v="High Difference"/>
  </r>
  <r>
    <n v="192787"/>
    <n v="19.84"/>
    <n v="19.13"/>
    <n v="2569"/>
    <s v="Medium"/>
    <s v="Seniors"/>
    <s v="Yes"/>
    <x v="1"/>
    <x v="2"/>
    <s v="No"/>
    <n v="50968.959999999999"/>
    <n v="0.71000000000000085"/>
    <s v="Low Difference"/>
  </r>
  <r>
    <n v="119150"/>
    <n v="21.81"/>
    <n v="17.489999999999998"/>
    <n v="1556"/>
    <s v="High"/>
    <s v="College students"/>
    <s v="No"/>
    <x v="1"/>
    <x v="2"/>
    <s v="No"/>
    <n v="33936.36"/>
    <n v="4.32"/>
    <s v="High Difference"/>
  </r>
  <r>
    <n v="115266"/>
    <n v="27.9"/>
    <n v="25.48"/>
    <n v="1549"/>
    <s v="Low"/>
    <s v="Families"/>
    <s v="No"/>
    <x v="2"/>
    <x v="1"/>
    <s v="No"/>
    <n v="43217.1"/>
    <n v="2.4199999999999982"/>
    <s v="Moderate Difference"/>
  </r>
  <r>
    <n v="121186"/>
    <n v="6.77"/>
    <n v="5.62"/>
    <n v="989"/>
    <s v="Medium"/>
    <s v="Young adults"/>
    <s v="No"/>
    <x v="2"/>
    <x v="1"/>
    <s v="No"/>
    <n v="6695.53"/>
    <n v="1.1499999999999995"/>
    <s v="Low Difference"/>
  </r>
  <r>
    <n v="144385"/>
    <n v="39.44"/>
    <n v="38.08"/>
    <n v="834"/>
    <s v="High"/>
    <s v="Families"/>
    <s v="No"/>
    <x v="0"/>
    <x v="2"/>
    <s v="No"/>
    <n v="32892.959999999999"/>
    <n v="1.3599999999999994"/>
    <s v="Moderate Difference"/>
  </r>
  <r>
    <n v="161594"/>
    <n v="49.52"/>
    <n v="45.71"/>
    <n v="2108"/>
    <s v="Low"/>
    <s v="College students"/>
    <s v="Yes"/>
    <x v="1"/>
    <x v="2"/>
    <s v="Yes"/>
    <n v="104388.16"/>
    <n v="3.8100000000000023"/>
    <s v="High Difference"/>
  </r>
  <r>
    <n v="114320"/>
    <n v="6.11"/>
    <n v="1.77"/>
    <n v="558"/>
    <s v="Low"/>
    <s v="College students"/>
    <s v="Yes"/>
    <x v="0"/>
    <x v="0"/>
    <s v="No"/>
    <n v="3409.38"/>
    <n v="4.34"/>
    <s v="High Difference"/>
  </r>
  <r>
    <n v="167648"/>
    <n v="39.47"/>
    <n v="39.39"/>
    <n v="2990"/>
    <s v="High"/>
    <s v="Young adults"/>
    <s v="No"/>
    <x v="0"/>
    <x v="1"/>
    <s v="No"/>
    <n v="118015.3"/>
    <n v="7.9999999999998295E-2"/>
    <s v="Low Difference"/>
  </r>
  <r>
    <n v="198500"/>
    <n v="29.39"/>
    <n v="26.11"/>
    <n v="1581"/>
    <s v="Medium"/>
    <s v="College students"/>
    <s v="Yes"/>
    <x v="2"/>
    <x v="0"/>
    <s v="Yes"/>
    <n v="46465.590000000004"/>
    <n v="3.2800000000000011"/>
    <s v="Moderate Difference"/>
  </r>
  <r>
    <n v="120916"/>
    <n v="8.01"/>
    <n v="5.23"/>
    <n v="1139"/>
    <s v="Low"/>
    <s v="Families"/>
    <s v="No"/>
    <x v="2"/>
    <x v="1"/>
    <s v="No"/>
    <n v="9123.39"/>
    <n v="2.7799999999999994"/>
    <s v="Moderate Difference"/>
  </r>
  <r>
    <n v="180422"/>
    <n v="22.74"/>
    <n v="19.43"/>
    <n v="1408"/>
    <s v="Medium"/>
    <s v="Seniors"/>
    <s v="Yes"/>
    <x v="0"/>
    <x v="0"/>
    <s v="No"/>
    <n v="32017.919999999998"/>
    <n v="3.3099999999999987"/>
    <s v="Moderate Difference"/>
  </r>
  <r>
    <n v="136977"/>
    <n v="20.56"/>
    <n v="17.87"/>
    <n v="685"/>
    <s v="Low"/>
    <s v="College students"/>
    <s v="Yes"/>
    <x v="1"/>
    <x v="0"/>
    <s v="Yes"/>
    <n v="14083.599999999999"/>
    <n v="2.6899999999999977"/>
    <s v="Moderate Difference"/>
  </r>
  <r>
    <n v="145902"/>
    <n v="11.9"/>
    <n v="9.17"/>
    <n v="2314"/>
    <s v="High"/>
    <s v="Young adults"/>
    <s v="Yes"/>
    <x v="0"/>
    <x v="1"/>
    <s v="Yes"/>
    <n v="27536.600000000002"/>
    <n v="2.7300000000000004"/>
    <s v="Moderate Difference"/>
  </r>
  <r>
    <n v="135734"/>
    <n v="20.45"/>
    <n v="19.41"/>
    <n v="2805"/>
    <s v="High"/>
    <s v="Seniors"/>
    <s v="Yes"/>
    <x v="0"/>
    <x v="0"/>
    <s v="No"/>
    <n v="57362.25"/>
    <n v="1.0399999999999991"/>
    <s v="Low Difference"/>
  </r>
  <r>
    <n v="153230"/>
    <n v="29.28"/>
    <n v="26.59"/>
    <n v="565"/>
    <s v="Low"/>
    <s v="Seniors"/>
    <s v="No"/>
    <x v="1"/>
    <x v="2"/>
    <s v="Yes"/>
    <n v="16543.2"/>
    <n v="2.6900000000000013"/>
    <s v="Moderate Difference"/>
  </r>
  <r>
    <n v="153722"/>
    <n v="47.67"/>
    <n v="43"/>
    <n v="1058"/>
    <s v="Medium"/>
    <s v="Seniors"/>
    <s v="No"/>
    <x v="0"/>
    <x v="2"/>
    <s v="Yes"/>
    <n v="50434.86"/>
    <n v="4.6700000000000017"/>
    <s v="High Difference"/>
  </r>
  <r>
    <n v="147361"/>
    <n v="32.840000000000003"/>
    <n v="32.42"/>
    <n v="563"/>
    <s v="Low"/>
    <s v="Seniors"/>
    <s v="No"/>
    <x v="1"/>
    <x v="2"/>
    <s v="Yes"/>
    <n v="18488.920000000002"/>
    <n v="0.42000000000000171"/>
    <s v="Low Difference"/>
  </r>
  <r>
    <n v="158227"/>
    <n v="11.54"/>
    <n v="9.3699999999999992"/>
    <n v="2721"/>
    <s v="High"/>
    <s v="Families"/>
    <s v="No"/>
    <x v="0"/>
    <x v="0"/>
    <s v="No"/>
    <n v="31400.339999999997"/>
    <n v="2.17"/>
    <s v="Moderate Difference"/>
  </r>
  <r>
    <n v="197123"/>
    <n v="37.090000000000003"/>
    <n v="33.18"/>
    <n v="2625"/>
    <s v="High"/>
    <s v="College students"/>
    <s v="Yes"/>
    <x v="2"/>
    <x v="1"/>
    <s v="No"/>
    <n v="97361.250000000015"/>
    <n v="3.9100000000000037"/>
    <s v="High Difference"/>
  </r>
  <r>
    <n v="140321"/>
    <n v="39.47"/>
    <n v="36.130000000000003"/>
    <n v="687"/>
    <s v="High"/>
    <s v="Seniors"/>
    <s v="No"/>
    <x v="1"/>
    <x v="2"/>
    <s v="Yes"/>
    <n v="27115.89"/>
    <n v="3.3399999999999963"/>
    <s v="Moderate Difference"/>
  </r>
  <r>
    <n v="177510"/>
    <n v="37.07"/>
    <n v="36.380000000000003"/>
    <n v="1768"/>
    <s v="High"/>
    <s v="Young adults"/>
    <s v="Yes"/>
    <x v="2"/>
    <x v="2"/>
    <s v="No"/>
    <n v="65539.759999999995"/>
    <n v="0.68999999999999773"/>
    <s v="Low Difference"/>
  </r>
  <r>
    <n v="135786"/>
    <n v="27.36"/>
    <n v="25.74"/>
    <n v="2987"/>
    <s v="Medium"/>
    <s v="Seniors"/>
    <s v="Yes"/>
    <x v="0"/>
    <x v="1"/>
    <s v="Yes"/>
    <n v="81724.319999999992"/>
    <n v="1.620000000000001"/>
    <s v="Moderate Difference"/>
  </r>
  <r>
    <n v="184980"/>
    <n v="47.39"/>
    <n v="44.9"/>
    <n v="2788"/>
    <s v="Medium"/>
    <s v="Seniors"/>
    <s v="Yes"/>
    <x v="1"/>
    <x v="1"/>
    <s v="No"/>
    <n v="132123.32"/>
    <n v="2.490000000000002"/>
    <s v="Moderate Difference"/>
  </r>
  <r>
    <n v="152671"/>
    <n v="47.12"/>
    <n v="46"/>
    <n v="1380"/>
    <s v="High"/>
    <s v="Families"/>
    <s v="Yes"/>
    <x v="0"/>
    <x v="2"/>
    <s v="No"/>
    <n v="65025.599999999999"/>
    <n v="1.1199999999999974"/>
    <s v="Low Difference"/>
  </r>
  <r>
    <n v="155722"/>
    <n v="29.53"/>
    <n v="26.18"/>
    <n v="1484"/>
    <s v="High"/>
    <s v="Families"/>
    <s v="Yes"/>
    <x v="1"/>
    <x v="0"/>
    <s v="Yes"/>
    <n v="43822.520000000004"/>
    <n v="3.3500000000000014"/>
    <s v="Moderate Difference"/>
  </r>
  <r>
    <n v="171570"/>
    <n v="15.7"/>
    <n v="11.02"/>
    <n v="1353"/>
    <s v="High"/>
    <s v="Seniors"/>
    <s v="Yes"/>
    <x v="1"/>
    <x v="0"/>
    <s v="Yes"/>
    <n v="21242.1"/>
    <n v="4.68"/>
    <s v="High Difference"/>
  </r>
  <r>
    <n v="181417"/>
    <n v="40.19"/>
    <n v="38.729999999999997"/>
    <n v="2728"/>
    <s v="Medium"/>
    <s v="Young adults"/>
    <s v="Yes"/>
    <x v="0"/>
    <x v="0"/>
    <s v="No"/>
    <n v="109638.31999999999"/>
    <n v="1.4600000000000009"/>
    <s v="Moderate Difference"/>
  </r>
  <r>
    <n v="157514"/>
    <n v="17.489999999999998"/>
    <n v="13.3"/>
    <n v="937"/>
    <s v="Medium"/>
    <s v="College students"/>
    <s v="No"/>
    <x v="2"/>
    <x v="1"/>
    <s v="Yes"/>
    <n v="16388.129999999997"/>
    <n v="4.1899999999999977"/>
    <s v="High Difference"/>
  </r>
  <r>
    <n v="170515"/>
    <n v="38.450000000000003"/>
    <n v="38.049999999999997"/>
    <n v="533"/>
    <s v="Low"/>
    <s v="Families"/>
    <s v="No"/>
    <x v="2"/>
    <x v="1"/>
    <s v="Yes"/>
    <n v="20493.850000000002"/>
    <n v="0.40000000000000568"/>
    <s v="Low Difference"/>
  </r>
  <r>
    <n v="179736"/>
    <n v="17.03"/>
    <n v="13.4"/>
    <n v="1452"/>
    <s v="High"/>
    <s v="Young adults"/>
    <s v="No"/>
    <x v="0"/>
    <x v="1"/>
    <s v="No"/>
    <n v="24727.56"/>
    <n v="3.6300000000000008"/>
    <s v="Moderate Difference"/>
  </r>
  <r>
    <n v="137969"/>
    <n v="38.82"/>
    <n v="34.28"/>
    <n v="1987"/>
    <s v="High"/>
    <s v="Families"/>
    <s v="No"/>
    <x v="1"/>
    <x v="1"/>
    <s v="Yes"/>
    <n v="77135.34"/>
    <n v="4.5399999999999991"/>
    <s v="High Difference"/>
  </r>
  <r>
    <n v="146503"/>
    <n v="27.63"/>
    <n v="26.37"/>
    <n v="2410"/>
    <s v="High"/>
    <s v="Young adults"/>
    <s v="Yes"/>
    <x v="2"/>
    <x v="1"/>
    <s v="No"/>
    <n v="66588.3"/>
    <n v="1.259999999999998"/>
    <s v="Moderate Difference"/>
  </r>
  <r>
    <n v="115333"/>
    <n v="16.489999999999998"/>
    <n v="13.55"/>
    <n v="962"/>
    <s v="High"/>
    <s v="Seniors"/>
    <s v="No"/>
    <x v="2"/>
    <x v="2"/>
    <s v="No"/>
    <n v="15863.38"/>
    <n v="2.9399999999999977"/>
    <s v="Moderate Difference"/>
  </r>
  <r>
    <n v="162808"/>
    <n v="36.43"/>
    <n v="33.6"/>
    <n v="775"/>
    <s v="Low"/>
    <s v="Young adults"/>
    <s v="Yes"/>
    <x v="1"/>
    <x v="1"/>
    <s v="No"/>
    <n v="28233.25"/>
    <n v="2.8299999999999983"/>
    <s v="Moderate Difference"/>
  </r>
  <r>
    <n v="114390"/>
    <n v="33"/>
    <n v="29.31"/>
    <n v="2674"/>
    <s v="Low"/>
    <s v="Young adults"/>
    <s v="No"/>
    <x v="2"/>
    <x v="0"/>
    <s v="No"/>
    <n v="88242"/>
    <n v="3.6900000000000013"/>
    <s v="Moderate Difference"/>
  </r>
  <r>
    <n v="154882"/>
    <n v="20.81"/>
    <n v="18.579999999999998"/>
    <n v="889"/>
    <s v="Low"/>
    <s v="College students"/>
    <s v="No"/>
    <x v="0"/>
    <x v="2"/>
    <s v="Yes"/>
    <n v="18500.09"/>
    <n v="2.2300000000000004"/>
    <s v="Moderate Difference"/>
  </r>
  <r>
    <n v="148460"/>
    <n v="20.89"/>
    <n v="17.37"/>
    <n v="1433"/>
    <s v="Medium"/>
    <s v="College students"/>
    <s v="No"/>
    <x v="0"/>
    <x v="2"/>
    <s v="Yes"/>
    <n v="29935.370000000003"/>
    <n v="3.5199999999999996"/>
    <s v="Moderate Difference"/>
  </r>
  <r>
    <n v="188481"/>
    <n v="29.43"/>
    <n v="28.15"/>
    <n v="1879"/>
    <s v="High"/>
    <s v="Young adults"/>
    <s v="Yes"/>
    <x v="2"/>
    <x v="1"/>
    <s v="No"/>
    <n v="55298.97"/>
    <n v="1.2800000000000011"/>
    <s v="Moderate Difference"/>
  </r>
  <r>
    <n v="197435"/>
    <n v="11.51"/>
    <n v="6.97"/>
    <n v="2270"/>
    <s v="Medium"/>
    <s v="Young adults"/>
    <s v="No"/>
    <x v="0"/>
    <x v="0"/>
    <s v="No"/>
    <n v="26127.7"/>
    <n v="4.54"/>
    <s v="High Difference"/>
  </r>
  <r>
    <n v="157169"/>
    <n v="22.77"/>
    <n v="22.64"/>
    <n v="841"/>
    <s v="Low"/>
    <s v="Young adults"/>
    <s v="No"/>
    <x v="1"/>
    <x v="0"/>
    <s v="Yes"/>
    <n v="19149.57"/>
    <n v="0.12999999999999901"/>
    <s v="Low Difference"/>
  </r>
  <r>
    <n v="184945"/>
    <n v="47.52"/>
    <n v="43.76"/>
    <n v="1220"/>
    <s v="Low"/>
    <s v="Families"/>
    <s v="Yes"/>
    <x v="2"/>
    <x v="2"/>
    <s v="No"/>
    <n v="57974.400000000001"/>
    <n v="3.7600000000000051"/>
    <s v="High Difference"/>
  </r>
  <r>
    <n v="140927"/>
    <n v="46.55"/>
    <n v="44.71"/>
    <n v="1745"/>
    <s v="Low"/>
    <s v="Young adults"/>
    <s v="No"/>
    <x v="0"/>
    <x v="2"/>
    <s v="Yes"/>
    <n v="81229.75"/>
    <n v="1.8399999999999963"/>
    <s v="Moderate Difference"/>
  </r>
  <r>
    <n v="174621"/>
    <n v="26.66"/>
    <n v="26.54"/>
    <n v="680"/>
    <s v="Medium"/>
    <s v="Families"/>
    <s v="No"/>
    <x v="0"/>
    <x v="0"/>
    <s v="Yes"/>
    <n v="18128.8"/>
    <n v="0.12000000000000099"/>
    <s v="Low Difference"/>
  </r>
  <r>
    <n v="137475"/>
    <n v="9.68"/>
    <n v="4.75"/>
    <n v="2258"/>
    <s v="Low"/>
    <s v="College students"/>
    <s v="No"/>
    <x v="2"/>
    <x v="2"/>
    <s v="Yes"/>
    <n v="21857.439999999999"/>
    <n v="4.93"/>
    <s v="High Difference"/>
  </r>
  <r>
    <n v="184176"/>
    <n v="8.74"/>
    <n v="5.79"/>
    <n v="2278"/>
    <s v="Medium"/>
    <s v="Families"/>
    <s v="Yes"/>
    <x v="0"/>
    <x v="1"/>
    <s v="Yes"/>
    <n v="19909.72"/>
    <n v="2.95"/>
    <s v="Moderate Difference"/>
  </r>
  <r>
    <n v="149169"/>
    <n v="37.42"/>
    <n v="36.79"/>
    <n v="2283"/>
    <s v="Medium"/>
    <s v="College students"/>
    <s v="Yes"/>
    <x v="1"/>
    <x v="1"/>
    <s v="No"/>
    <n v="85429.86"/>
    <n v="0.63000000000000256"/>
    <s v="Low Difference"/>
  </r>
  <r>
    <n v="126549"/>
    <n v="28.38"/>
    <n v="24.05"/>
    <n v="2690"/>
    <s v="High"/>
    <s v="Seniors"/>
    <s v="Yes"/>
    <x v="2"/>
    <x v="0"/>
    <s v="No"/>
    <n v="76342.2"/>
    <n v="4.3299999999999983"/>
    <s v="High Difference"/>
  </r>
  <r>
    <n v="138995"/>
    <n v="43.32"/>
    <n v="42.81"/>
    <n v="541"/>
    <s v="High"/>
    <s v="Young adults"/>
    <s v="No"/>
    <x v="2"/>
    <x v="1"/>
    <s v="No"/>
    <n v="23436.12"/>
    <n v="0.50999999999999801"/>
    <s v="Low Difference"/>
  </r>
  <r>
    <n v="110220"/>
    <n v="48.11"/>
    <n v="44.43"/>
    <n v="660"/>
    <s v="Low"/>
    <s v="Seniors"/>
    <s v="Yes"/>
    <x v="2"/>
    <x v="1"/>
    <s v="Yes"/>
    <n v="31752.6"/>
    <n v="3.6799999999999997"/>
    <s v="Moderate Difference"/>
  </r>
  <r>
    <n v="133770"/>
    <n v="19.87"/>
    <n v="18.07"/>
    <n v="1978"/>
    <s v="High"/>
    <s v="College students"/>
    <s v="Yes"/>
    <x v="2"/>
    <x v="1"/>
    <s v="Yes"/>
    <n v="39302.86"/>
    <n v="1.8000000000000007"/>
    <s v="Moderate Difference"/>
  </r>
  <r>
    <n v="165819"/>
    <n v="7.09"/>
    <n v="2.82"/>
    <n v="1801"/>
    <s v="Medium"/>
    <s v="Families"/>
    <s v="Yes"/>
    <x v="2"/>
    <x v="1"/>
    <s v="No"/>
    <n v="12769.09"/>
    <n v="4.2699999999999996"/>
    <s v="High Difference"/>
  </r>
  <r>
    <n v="191957"/>
    <n v="24.07"/>
    <n v="19.86"/>
    <n v="1199"/>
    <s v="Medium"/>
    <s v="College students"/>
    <s v="Yes"/>
    <x v="2"/>
    <x v="2"/>
    <s v="Yes"/>
    <n v="28859.93"/>
    <n v="4.2100000000000009"/>
    <s v="High Difference"/>
  </r>
  <r>
    <n v="178701"/>
    <n v="20.04"/>
    <n v="15.24"/>
    <n v="2921"/>
    <s v="Low"/>
    <s v="Young adults"/>
    <s v="No"/>
    <x v="1"/>
    <x v="0"/>
    <s v="Yes"/>
    <n v="58536.84"/>
    <n v="4.7999999999999989"/>
    <s v="High Difference"/>
  </r>
  <r>
    <n v="181111"/>
    <n v="46.12"/>
    <n v="43.68"/>
    <n v="633"/>
    <s v="High"/>
    <s v="Families"/>
    <s v="No"/>
    <x v="2"/>
    <x v="2"/>
    <s v="No"/>
    <n v="29193.96"/>
    <n v="2.4399999999999977"/>
    <s v="Moderate Difference"/>
  </r>
  <r>
    <n v="183252"/>
    <n v="23.24"/>
    <n v="19.350000000000001"/>
    <n v="792"/>
    <s v="Medium"/>
    <s v="Young adults"/>
    <s v="Yes"/>
    <x v="0"/>
    <x v="0"/>
    <s v="No"/>
    <n v="18406.079999999998"/>
    <n v="3.889999999999997"/>
    <s v="High Difference"/>
  </r>
  <r>
    <n v="182755"/>
    <n v="9.14"/>
    <n v="8.68"/>
    <n v="1380"/>
    <s v="High"/>
    <s v="Young adults"/>
    <s v="No"/>
    <x v="1"/>
    <x v="2"/>
    <s v="No"/>
    <n v="12613.2"/>
    <n v="0.46000000000000085"/>
    <s v="Low Difference"/>
  </r>
  <r>
    <n v="143247"/>
    <n v="35.4"/>
    <n v="33.28"/>
    <n v="2845"/>
    <s v="Medium"/>
    <s v="Families"/>
    <s v="No"/>
    <x v="0"/>
    <x v="0"/>
    <s v="Yes"/>
    <n v="100713"/>
    <n v="2.1199999999999974"/>
    <s v="Moderate Difference"/>
  </r>
  <r>
    <n v="118346"/>
    <n v="49.68"/>
    <n v="46.58"/>
    <n v="2656"/>
    <s v="High"/>
    <s v="Seniors"/>
    <s v="No"/>
    <x v="2"/>
    <x v="0"/>
    <s v="Yes"/>
    <n v="131950.07999999999"/>
    <n v="3.1000000000000014"/>
    <s v="Moderate Difference"/>
  </r>
  <r>
    <n v="182563"/>
    <n v="13.1"/>
    <n v="13"/>
    <n v="2211"/>
    <s v="Low"/>
    <s v="Families"/>
    <s v="No"/>
    <x v="0"/>
    <x v="0"/>
    <s v="Yes"/>
    <n v="28964.1"/>
    <n v="9.9999999999999645E-2"/>
    <s v="Low Difference"/>
  </r>
  <r>
    <n v="120300"/>
    <n v="16.18"/>
    <n v="15.84"/>
    <n v="2698"/>
    <s v="Low"/>
    <s v="Young adults"/>
    <s v="Yes"/>
    <x v="1"/>
    <x v="2"/>
    <s v="Yes"/>
    <n v="43653.64"/>
    <n v="0.33999999999999986"/>
    <s v="Low Difference"/>
  </r>
  <r>
    <n v="184596"/>
    <n v="41.83"/>
    <n v="37.17"/>
    <n v="2745"/>
    <s v="Low"/>
    <s v="Young adults"/>
    <s v="Yes"/>
    <x v="0"/>
    <x v="0"/>
    <s v="No"/>
    <n v="114823.34999999999"/>
    <n v="4.6599999999999966"/>
    <s v="High Difference"/>
  </r>
  <r>
    <n v="165690"/>
    <n v="20.399999999999999"/>
    <n v="18.71"/>
    <n v="2069"/>
    <s v="Low"/>
    <s v="College students"/>
    <s v="No"/>
    <x v="1"/>
    <x v="2"/>
    <s v="Yes"/>
    <n v="42207.6"/>
    <n v="1.6899999999999977"/>
    <s v="Moderate Difference"/>
  </r>
  <r>
    <n v="148366"/>
    <n v="19.63"/>
    <n v="17.77"/>
    <n v="935"/>
    <s v="Medium"/>
    <s v="Seniors"/>
    <s v="No"/>
    <x v="1"/>
    <x v="2"/>
    <s v="No"/>
    <n v="18354.05"/>
    <n v="1.8599999999999994"/>
    <s v="Moderate Difference"/>
  </r>
  <r>
    <n v="154931"/>
    <n v="31.27"/>
    <n v="28.47"/>
    <n v="1514"/>
    <s v="Medium"/>
    <s v="Families"/>
    <s v="Yes"/>
    <x v="0"/>
    <x v="0"/>
    <s v="Yes"/>
    <n v="47342.78"/>
    <n v="2.8000000000000007"/>
    <s v="Moderate Difference"/>
  </r>
  <r>
    <n v="129915"/>
    <n v="14.36"/>
    <n v="12.58"/>
    <n v="2302"/>
    <s v="High"/>
    <s v="Seniors"/>
    <s v="No"/>
    <x v="2"/>
    <x v="1"/>
    <s v="Yes"/>
    <n v="33056.720000000001"/>
    <n v="1.7799999999999994"/>
    <s v="Moderate Difference"/>
  </r>
  <r>
    <n v="129854"/>
    <n v="13.36"/>
    <n v="12.36"/>
    <n v="1864"/>
    <s v="Low"/>
    <s v="Families"/>
    <s v="No"/>
    <x v="1"/>
    <x v="0"/>
    <s v="Yes"/>
    <n v="24903.039999999997"/>
    <n v="1"/>
    <s v="Low Difference"/>
  </r>
  <r>
    <n v="196418"/>
    <n v="39.11"/>
    <n v="35.479999999999997"/>
    <n v="1456"/>
    <s v="Medium"/>
    <s v="Seniors"/>
    <s v="Yes"/>
    <x v="0"/>
    <x v="2"/>
    <s v="Yes"/>
    <n v="56944.159999999996"/>
    <n v="3.6300000000000026"/>
    <s v="Moderate Difference"/>
  </r>
  <r>
    <n v="147140"/>
    <n v="12.72"/>
    <n v="11.72"/>
    <n v="2224"/>
    <s v="Low"/>
    <s v="Seniors"/>
    <s v="No"/>
    <x v="0"/>
    <x v="2"/>
    <s v="Yes"/>
    <n v="28289.280000000002"/>
    <n v="1"/>
    <s v="Low Difference"/>
  </r>
  <r>
    <n v="176622"/>
    <n v="14.7"/>
    <n v="14.24"/>
    <n v="2168"/>
    <s v="Low"/>
    <s v="Young adults"/>
    <s v="No"/>
    <x v="1"/>
    <x v="1"/>
    <s v="No"/>
    <n v="31869.599999999999"/>
    <n v="0.45999999999999908"/>
    <s v="Low Difference"/>
  </r>
  <r>
    <n v="180566"/>
    <n v="33.32"/>
    <n v="32.9"/>
    <n v="1897"/>
    <s v="High"/>
    <s v="College students"/>
    <s v="Yes"/>
    <x v="0"/>
    <x v="0"/>
    <s v="Yes"/>
    <n v="63208.04"/>
    <n v="0.42000000000000171"/>
    <s v="Low Difference"/>
  </r>
  <r>
    <n v="124273"/>
    <n v="44.99"/>
    <n v="44.48"/>
    <n v="2343"/>
    <s v="High"/>
    <s v="Young adults"/>
    <s v="Yes"/>
    <x v="1"/>
    <x v="2"/>
    <s v="Yes"/>
    <n v="105411.57"/>
    <n v="0.51000000000000512"/>
    <s v="Low Difference"/>
  </r>
  <r>
    <n v="159902"/>
    <n v="34.75"/>
    <n v="31.6"/>
    <n v="1889"/>
    <s v="Medium"/>
    <s v="Seniors"/>
    <s v="No"/>
    <x v="0"/>
    <x v="1"/>
    <s v="No"/>
    <n v="65642.75"/>
    <n v="3.1499999999999986"/>
    <s v="Moderate Difference"/>
  </r>
  <r>
    <n v="163182"/>
    <n v="43.05"/>
    <n v="41.66"/>
    <n v="1390"/>
    <s v="Low"/>
    <s v="Seniors"/>
    <s v="No"/>
    <x v="0"/>
    <x v="1"/>
    <s v="No"/>
    <n v="59839.499999999993"/>
    <n v="1.3900000000000006"/>
    <s v="Moderate Difference"/>
  </r>
  <r>
    <n v="121303"/>
    <n v="24.35"/>
    <n v="23.42"/>
    <n v="1130"/>
    <s v="High"/>
    <s v="Young adults"/>
    <s v="Yes"/>
    <x v="2"/>
    <x v="0"/>
    <s v="Yes"/>
    <n v="27515.5"/>
    <n v="0.92999999999999972"/>
    <s v="Low Difference"/>
  </r>
  <r>
    <n v="162658"/>
    <n v="11.56"/>
    <n v="8.61"/>
    <n v="1133"/>
    <s v="Medium"/>
    <s v="Families"/>
    <s v="No"/>
    <x v="1"/>
    <x v="1"/>
    <s v="Yes"/>
    <n v="13097.480000000001"/>
    <n v="2.9500000000000011"/>
    <s v="Moderate Difference"/>
  </r>
  <r>
    <n v="146858"/>
    <n v="47.72"/>
    <n v="46.78"/>
    <n v="565"/>
    <s v="Medium"/>
    <s v="College students"/>
    <s v="No"/>
    <x v="2"/>
    <x v="2"/>
    <s v="Yes"/>
    <n v="26961.8"/>
    <n v="0.93999999999999773"/>
    <s v="Low Difference"/>
  </r>
  <r>
    <n v="174565"/>
    <n v="21.3"/>
    <n v="18.71"/>
    <n v="890"/>
    <s v="High"/>
    <s v="Seniors"/>
    <s v="Yes"/>
    <x v="0"/>
    <x v="1"/>
    <s v="No"/>
    <n v="18957"/>
    <n v="2.59"/>
    <s v="Moderate Difference"/>
  </r>
  <r>
    <n v="160629"/>
    <n v="22.82"/>
    <n v="19.13"/>
    <n v="2538"/>
    <s v="Medium"/>
    <s v="Seniors"/>
    <s v="No"/>
    <x v="0"/>
    <x v="1"/>
    <s v="Yes"/>
    <n v="57917.16"/>
    <n v="3.6900000000000013"/>
    <s v="Moderate Difference"/>
  </r>
  <r>
    <n v="150654"/>
    <n v="6.38"/>
    <n v="5.25"/>
    <n v="2884"/>
    <s v="Medium"/>
    <s v="Young adults"/>
    <s v="Yes"/>
    <x v="1"/>
    <x v="1"/>
    <s v="No"/>
    <n v="18399.919999999998"/>
    <n v="1.1299999999999999"/>
    <s v="Low Differenc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6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2:F7" firstHeaderRow="1" firstDataRow="2" firstDataCol="1"/>
  <pivotFields count="13">
    <pivotField compact="0" outline="0" showAll="0"/>
    <pivotField compact="0" numFmtId="164" outline="0" showAll="0"/>
    <pivotField compact="0" numFmtId="164" outline="0" showAll="0"/>
    <pivotField compact="0" outline="0" showAll="0"/>
    <pivotField axis="axisRow" compact="0" outline="0" showAll="0">
      <items count="4">
        <item x="2"/>
        <item x="0"/>
        <item x="1"/>
        <item t="default"/>
      </items>
    </pivotField>
    <pivotField axis="axisCol" compact="0" outline="0" showAll="0">
      <items count="5">
        <item x="3"/>
        <item x="0"/>
        <item x="1"/>
        <item x="2"/>
        <item t="default"/>
      </items>
    </pivotField>
    <pivotField compact="0" outline="0" showAll="0">
      <items count="3">
        <item x="0"/>
        <item h="1" x="1"/>
        <item t="default"/>
      </items>
    </pivotField>
    <pivotField compact="0" outline="0" showAll="0">
      <items count="4">
        <item x="0"/>
        <item h="1" x="1"/>
        <item h="1" x="2"/>
        <item t="default"/>
      </items>
    </pivotField>
    <pivotField compact="0" outline="0" showAll="0"/>
    <pivotField compact="0" outline="0" showAll="0">
      <items count="3">
        <item x="0"/>
        <item h="1" x="1"/>
        <item t="default"/>
      </items>
    </pivotField>
    <pivotField dataField="1" compact="0" numFmtId="164" outline="0" showAll="0"/>
    <pivotField compact="0" numFmtId="164" outline="0" showAll="0"/>
    <pivotField compact="0" outline="0" showAll="0"/>
  </pivotFields>
  <rowFields count="1">
    <field x="4"/>
  </rowFields>
  <rowItems count="4">
    <i>
      <x/>
    </i>
    <i>
      <x v="1"/>
    </i>
    <i>
      <x v="2"/>
    </i>
    <i t="grand">
      <x/>
    </i>
  </rowItems>
  <colFields count="1">
    <field x="5"/>
  </colFields>
  <colItems count="5">
    <i>
      <x/>
    </i>
    <i>
      <x v="1"/>
    </i>
    <i>
      <x v="2"/>
    </i>
    <i>
      <x v="3"/>
    </i>
    <i t="grand">
      <x/>
    </i>
  </colItems>
  <dataFields count="1">
    <dataField name="Sum of Revenue" fld="10" baseField="0" baseItem="0" numFmtId="164"/>
  </dataFields>
  <formats count="1">
    <format dxfId="50">
      <pivotArea outline="0" collapsedLevelsAreSubtotals="1" fieldPosition="0"/>
    </format>
  </formats>
  <chartFormats count="16">
    <chartFormat chart="2" format="4" series="1">
      <pivotArea type="data" outline="0" fieldPosition="0">
        <references count="1">
          <reference field="5" count="1" selected="0">
            <x v="0"/>
          </reference>
        </references>
      </pivotArea>
    </chartFormat>
    <chartFormat chart="2" format="5" series="1">
      <pivotArea type="data" outline="0" fieldPosition="0">
        <references count="1">
          <reference field="5" count="1" selected="0">
            <x v="1"/>
          </reference>
        </references>
      </pivotArea>
    </chartFormat>
    <chartFormat chart="2" format="6" series="1">
      <pivotArea type="data" outline="0" fieldPosition="0">
        <references count="1">
          <reference field="5" count="1" selected="0">
            <x v="2"/>
          </reference>
        </references>
      </pivotArea>
    </chartFormat>
    <chartFormat chart="2" format="7" series="1">
      <pivotArea type="data" outline="0" fieldPosition="0">
        <references count="1">
          <reference field="5" count="1" selected="0">
            <x v="3"/>
          </reference>
        </references>
      </pivotArea>
    </chartFormat>
    <chartFormat chart="2" format="8" series="1">
      <pivotArea type="data" outline="0" fieldPosition="0">
        <references count="2">
          <reference field="4294967294" count="1" selected="0">
            <x v="0"/>
          </reference>
          <reference field="5" count="1" selected="0">
            <x v="0"/>
          </reference>
        </references>
      </pivotArea>
    </chartFormat>
    <chartFormat chart="2" format="9" series="1">
      <pivotArea type="data" outline="0" fieldPosition="0">
        <references count="2">
          <reference field="4294967294" count="1" selected="0">
            <x v="0"/>
          </reference>
          <reference field="5" count="1" selected="0">
            <x v="1"/>
          </reference>
        </references>
      </pivotArea>
    </chartFormat>
    <chartFormat chart="2" format="10" series="1">
      <pivotArea type="data" outline="0" fieldPosition="0">
        <references count="2">
          <reference field="4294967294" count="1" selected="0">
            <x v="0"/>
          </reference>
          <reference field="5" count="1" selected="0">
            <x v="2"/>
          </reference>
        </references>
      </pivotArea>
    </chartFormat>
    <chartFormat chart="2" format="11" series="1">
      <pivotArea type="data" outline="0" fieldPosition="0">
        <references count="2">
          <reference field="4294967294" count="1" selected="0">
            <x v="0"/>
          </reference>
          <reference field="5" count="1" selected="0">
            <x v="3"/>
          </reference>
        </references>
      </pivotArea>
    </chartFormat>
    <chartFormat chart="2" format="12">
      <pivotArea type="data" outline="0" fieldPosition="0">
        <references count="3">
          <reference field="4294967294" count="1" selected="0">
            <x v="0"/>
          </reference>
          <reference field="4" count="1" selected="0">
            <x v="2"/>
          </reference>
          <reference field="5" count="1" selected="0">
            <x v="0"/>
          </reference>
        </references>
      </pivotArea>
    </chartFormat>
    <chartFormat chart="2" format="13">
      <pivotArea type="data" outline="0" fieldPosition="0">
        <references count="3">
          <reference field="4294967294" count="1" selected="0">
            <x v="0"/>
          </reference>
          <reference field="4" count="1" selected="0">
            <x v="2"/>
          </reference>
          <reference field="5" count="1" selected="0">
            <x v="1"/>
          </reference>
        </references>
      </pivotArea>
    </chartFormat>
    <chartFormat chart="2" format="14">
      <pivotArea type="data" outline="0" fieldPosition="0">
        <references count="3">
          <reference field="4294967294" count="1" selected="0">
            <x v="0"/>
          </reference>
          <reference field="4" count="1" selected="0">
            <x v="2"/>
          </reference>
          <reference field="5" count="1" selected="0">
            <x v="2"/>
          </reference>
        </references>
      </pivotArea>
    </chartFormat>
    <chartFormat chart="2" format="15">
      <pivotArea type="data" outline="0" fieldPosition="0">
        <references count="3">
          <reference field="4294967294" count="1" selected="0">
            <x v="0"/>
          </reference>
          <reference field="4" count="1" selected="0">
            <x v="2"/>
          </reference>
          <reference field="5" count="1" selected="0">
            <x v="3"/>
          </reference>
        </references>
      </pivotArea>
    </chartFormat>
    <chartFormat chart="5" format="20" series="1">
      <pivotArea type="data" outline="0" fieldPosition="0">
        <references count="2">
          <reference field="4294967294" count="1" selected="0">
            <x v="0"/>
          </reference>
          <reference field="5" count="1" selected="0">
            <x v="0"/>
          </reference>
        </references>
      </pivotArea>
    </chartFormat>
    <chartFormat chart="5" format="21" series="1">
      <pivotArea type="data" outline="0" fieldPosition="0">
        <references count="2">
          <reference field="4294967294" count="1" selected="0">
            <x v="0"/>
          </reference>
          <reference field="5" count="1" selected="0">
            <x v="1"/>
          </reference>
        </references>
      </pivotArea>
    </chartFormat>
    <chartFormat chart="5" format="22" series="1">
      <pivotArea type="data" outline="0" fieldPosition="0">
        <references count="2">
          <reference field="4294967294" count="1" selected="0">
            <x v="0"/>
          </reference>
          <reference field="5" count="1" selected="0">
            <x v="2"/>
          </reference>
        </references>
      </pivotArea>
    </chartFormat>
    <chartFormat chart="5" format="2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16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C5:G10" firstHeaderRow="1" firstDataRow="2" firstDataCol="1"/>
  <pivotFields count="13">
    <pivotField compact="0" outline="0" showAll="0"/>
    <pivotField compact="0" numFmtId="164" outline="0" showAll="0"/>
    <pivotField compact="0" numFmtId="164" outline="0" multipleItemSelectionAllowed="1" showAll="0"/>
    <pivotField compact="0" outline="0" showAll="0"/>
    <pivotField compact="0" outline="0" showAll="0"/>
    <pivotField compact="0" outline="0" showAll="0"/>
    <pivotField compact="0" outline="0" showAll="0">
      <items count="3">
        <item x="0"/>
        <item h="1" x="1"/>
        <item t="default"/>
      </items>
    </pivotField>
    <pivotField compact="0" outline="0" showAll="0">
      <items count="4">
        <item x="0"/>
        <item h="1" x="1"/>
        <item h="1" x="2"/>
        <item t="default"/>
      </items>
    </pivotField>
    <pivotField axis="axisRow" compact="0" outline="0" showAll="0">
      <items count="4">
        <item x="0"/>
        <item x="1"/>
        <item x="2"/>
        <item t="default"/>
      </items>
    </pivotField>
    <pivotField compact="0" outline="0" showAll="0">
      <items count="3">
        <item x="0"/>
        <item h="1" x="1"/>
        <item t="default"/>
      </items>
    </pivotField>
    <pivotField dataField="1" compact="0" numFmtId="164" outline="0" showAll="0"/>
    <pivotField compact="0" numFmtId="164" outline="0" showAll="0"/>
    <pivotField axis="axisCol" compact="0" outline="0" showAll="0">
      <items count="7">
        <item m="1" x="4"/>
        <item m="1" x="3"/>
        <item m="1" x="5"/>
        <item x="0"/>
        <item x="2"/>
        <item x="1"/>
        <item t="default"/>
      </items>
    </pivotField>
  </pivotFields>
  <rowFields count="1">
    <field x="8"/>
  </rowFields>
  <rowItems count="4">
    <i>
      <x/>
    </i>
    <i>
      <x v="1"/>
    </i>
    <i>
      <x v="2"/>
    </i>
    <i t="grand">
      <x/>
    </i>
  </rowItems>
  <colFields count="1">
    <field x="12"/>
  </colFields>
  <colItems count="4">
    <i>
      <x v="3"/>
    </i>
    <i>
      <x v="4"/>
    </i>
    <i>
      <x v="5"/>
    </i>
    <i t="grand">
      <x/>
    </i>
  </colItems>
  <dataFields count="1">
    <dataField name="Average of Revenue" fld="10" subtotal="average" baseField="0" baseItem="0" numFmtId="164"/>
  </dataFields>
  <formats count="1">
    <format dxfId="51">
      <pivotArea outline="0" collapsedLevelsAreSubtotals="1" fieldPosition="0"/>
    </format>
  </formats>
  <chartFormats count="16">
    <chartFormat chart="3" format="9"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 chart="3" format="260" series="1">
      <pivotArea type="data" outline="0" fieldPosition="0">
        <references count="2">
          <reference field="4294967294" count="1" selected="0">
            <x v="0"/>
          </reference>
          <reference field="12" count="1" selected="0">
            <x v="1"/>
          </reference>
        </references>
      </pivotArea>
    </chartFormat>
    <chartFormat chart="3" format="261" series="1">
      <pivotArea type="data" outline="0" fieldPosition="0">
        <references count="2">
          <reference field="4294967294" count="1" selected="0">
            <x v="0"/>
          </reference>
          <reference field="12" count="1" selected="0">
            <x v="2"/>
          </reference>
        </references>
      </pivotArea>
    </chartFormat>
    <chartFormat chart="0" format="258" series="1">
      <pivotArea type="data" outline="0" fieldPosition="0">
        <references count="2">
          <reference field="4294967294" count="1" selected="0">
            <x v="0"/>
          </reference>
          <reference field="12" count="1" selected="0">
            <x v="1"/>
          </reference>
        </references>
      </pivotArea>
    </chartFormat>
    <chartFormat chart="0" format="259" series="1">
      <pivotArea type="data" outline="0" fieldPosition="0">
        <references count="2">
          <reference field="4294967294" count="1" selected="0">
            <x v="0"/>
          </reference>
          <reference field="12" count="1" selected="0">
            <x v="2"/>
          </reference>
        </references>
      </pivotArea>
    </chartFormat>
    <chartFormat chart="5" format="262" series="1">
      <pivotArea type="data" outline="0" fieldPosition="0">
        <references count="2">
          <reference field="4294967294" count="1" selected="0">
            <x v="0"/>
          </reference>
          <reference field="12" count="1" selected="0">
            <x v="0"/>
          </reference>
        </references>
      </pivotArea>
    </chartFormat>
    <chartFormat chart="5" format="263" series="1">
      <pivotArea type="data" outline="0" fieldPosition="0">
        <references count="2">
          <reference field="4294967294" count="1" selected="0">
            <x v="0"/>
          </reference>
          <reference field="12" count="1" selected="0">
            <x v="1"/>
          </reference>
        </references>
      </pivotArea>
    </chartFormat>
    <chartFormat chart="5" format="264" series="1">
      <pivotArea type="data" outline="0" fieldPosition="0">
        <references count="2">
          <reference field="4294967294" count="1" selected="0">
            <x v="0"/>
          </reference>
          <reference field="12" count="1" selected="0">
            <x v="2"/>
          </reference>
        </references>
      </pivotArea>
    </chartFormat>
    <chartFormat chart="0" format="260" series="1">
      <pivotArea type="data" outline="0" fieldPosition="0">
        <references count="2">
          <reference field="4294967294" count="1" selected="0">
            <x v="0"/>
          </reference>
          <reference field="12" count="1" selected="0">
            <x v="0"/>
          </reference>
        </references>
      </pivotArea>
    </chartFormat>
    <chartFormat chart="0" format="261" series="1">
      <pivotArea type="data" outline="0" fieldPosition="0">
        <references count="2">
          <reference field="4294967294" count="1" selected="0">
            <x v="0"/>
          </reference>
          <reference field="12" count="1" selected="0">
            <x v="3"/>
          </reference>
        </references>
      </pivotArea>
    </chartFormat>
    <chartFormat chart="0" format="262" series="1">
      <pivotArea type="data" outline="0" fieldPosition="0">
        <references count="2">
          <reference field="4294967294" count="1" selected="0">
            <x v="0"/>
          </reference>
          <reference field="12" count="1" selected="0">
            <x v="5"/>
          </reference>
        </references>
      </pivotArea>
    </chartFormat>
    <chartFormat chart="0" format="263" series="1">
      <pivotArea type="data" outline="0" fieldPosition="0">
        <references count="2">
          <reference field="4294967294" count="1" selected="0">
            <x v="0"/>
          </reference>
          <reference field="12" count="1" selected="0">
            <x v="4"/>
          </reference>
        </references>
      </pivotArea>
    </chartFormat>
    <chartFormat chart="7" format="267" series="1">
      <pivotArea type="data" outline="0" fieldPosition="0">
        <references count="2">
          <reference field="4294967294" count="1" selected="0">
            <x v="0"/>
          </reference>
          <reference field="12" count="1" selected="0">
            <x v="3"/>
          </reference>
        </references>
      </pivotArea>
    </chartFormat>
    <chartFormat chart="7" format="268" series="1">
      <pivotArea type="data" outline="0" fieldPosition="0">
        <references count="2">
          <reference field="4294967294" count="1" selected="0">
            <x v="0"/>
          </reference>
          <reference field="12" count="1" selected="0">
            <x v="5"/>
          </reference>
        </references>
      </pivotArea>
    </chartFormat>
    <chartFormat chart="7" format="269" series="1">
      <pivotArea type="data" outline="0" fieldPosition="0">
        <references count="2">
          <reference field="4294967294" count="1" selected="0">
            <x v="0"/>
          </reference>
          <reference field="1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00A711-9F04-E443-8B28-C71F12E74663}" name="PivotTable3" cacheId="17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
  <location ref="C4:G9" firstHeaderRow="1" firstDataRow="2" firstDataCol="1"/>
  <pivotFields count="13">
    <pivotField compact="0"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axis="axisRow" compact="0" outline="0" showAll="0">
      <items count="4">
        <item x="0"/>
        <item x="1"/>
        <item x="2"/>
        <item t="default"/>
      </items>
    </pivotField>
    <pivotField axis="axisCol" compact="0" outline="0" showAll="0" sortType="descending">
      <items count="4">
        <item x="0"/>
        <item x="1"/>
        <item x="2"/>
        <item t="default"/>
      </items>
      <autoSortScope>
        <pivotArea dataOnly="0" outline="0" fieldPosition="0">
          <references count="1">
            <reference field="4294967294" count="1" selected="0">
              <x v="0"/>
            </reference>
          </references>
        </pivotArea>
      </autoSortScope>
    </pivotField>
    <pivotField compact="0" outline="0" showAll="0"/>
    <pivotField dataField="1" compact="0" numFmtId="164" outline="0" showAll="0"/>
    <pivotField compact="0" numFmtId="164" outline="0" showAll="0"/>
    <pivotField compact="0" outline="0" showAll="0"/>
  </pivotFields>
  <rowFields count="1">
    <field x="7"/>
  </rowFields>
  <rowItems count="4">
    <i>
      <x/>
    </i>
    <i>
      <x v="1"/>
    </i>
    <i>
      <x v="2"/>
    </i>
    <i t="grand">
      <x/>
    </i>
  </rowItems>
  <colFields count="1">
    <field x="8"/>
  </colFields>
  <colItems count="4">
    <i>
      <x/>
    </i>
    <i>
      <x v="2"/>
    </i>
    <i>
      <x v="1"/>
    </i>
    <i t="grand">
      <x/>
    </i>
  </colItems>
  <dataFields count="1">
    <dataField name="Average of Revenue" fld="10" subtotal="average" baseField="0" baseItem="0" numFmtId="164"/>
  </dataFields>
  <chartFormats count="18">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3">
          <reference field="4294967294" count="1" selected="0">
            <x v="0"/>
          </reference>
          <reference field="7" count="1" selected="0">
            <x v="1"/>
          </reference>
          <reference field="8" count="1" selected="0">
            <x v="2"/>
          </reference>
        </references>
      </pivotArea>
    </chartFormat>
    <chartFormat chart="0" format="4" series="1">
      <pivotArea type="data" outline="0" fieldPosition="0">
        <references count="3">
          <reference field="4294967294" count="1" selected="0">
            <x v="0"/>
          </reference>
          <reference field="7" count="1" selected="0">
            <x v="1"/>
          </reference>
          <reference field="8" count="1" selected="0">
            <x v="1"/>
          </reference>
        </references>
      </pivotArea>
    </chartFormat>
    <chartFormat chart="0" format="5" series="1">
      <pivotArea type="data" outline="0" fieldPosition="0">
        <references count="3">
          <reference field="4294967294" count="1" selected="0">
            <x v="0"/>
          </reference>
          <reference field="7" count="1" selected="0">
            <x v="1"/>
          </reference>
          <reference field="8" count="1" selected="0">
            <x v="0"/>
          </reference>
        </references>
      </pivotArea>
    </chartFormat>
    <chartFormat chart="0" format="6" series="1">
      <pivotArea type="data" outline="0" fieldPosition="0">
        <references count="3">
          <reference field="4294967294" count="1" selected="0">
            <x v="0"/>
          </reference>
          <reference field="7" count="1" selected="0">
            <x v="2"/>
          </reference>
          <reference field="8" count="1" selected="0">
            <x v="0"/>
          </reference>
        </references>
      </pivotArea>
    </chartFormat>
    <chartFormat chart="0" format="7" series="1">
      <pivotArea type="data" outline="0" fieldPosition="0">
        <references count="3">
          <reference field="4294967294" count="1" selected="0">
            <x v="0"/>
          </reference>
          <reference field="7" count="1" selected="0">
            <x v="2"/>
          </reference>
          <reference field="8" count="1" selected="0">
            <x v="2"/>
          </reference>
        </references>
      </pivotArea>
    </chartFormat>
    <chartFormat chart="0" format="8" series="1">
      <pivotArea type="data" outline="0" fieldPosition="0">
        <references count="3">
          <reference field="4294967294" count="1" selected="0">
            <x v="0"/>
          </reference>
          <reference field="7" count="1" selected="0">
            <x v="2"/>
          </reference>
          <reference field="8" count="1" selected="0">
            <x v="1"/>
          </reference>
        </references>
      </pivotArea>
    </chartFormat>
    <chartFormat chart="0" format="9" series="1">
      <pivotArea type="data" outline="0" fieldPosition="0">
        <references count="2">
          <reference field="4294967294" count="1" selected="0">
            <x v="0"/>
          </reference>
          <reference field="8" count="1" selected="0">
            <x v="0"/>
          </reference>
        </references>
      </pivotArea>
    </chartFormat>
    <chartFormat chart="0" format="10" series="1">
      <pivotArea type="data" outline="0" fieldPosition="0">
        <references count="2">
          <reference field="4294967294" count="1" selected="0">
            <x v="0"/>
          </reference>
          <reference field="8" count="1" selected="0">
            <x v="2"/>
          </reference>
        </references>
      </pivotArea>
    </chartFormat>
    <chartFormat chart="0" format="11" series="1">
      <pivotArea type="data" outline="0" fieldPosition="0">
        <references count="2">
          <reference field="4294967294" count="1" selected="0">
            <x v="0"/>
          </reference>
          <reference field="8" count="1" selected="0">
            <x v="1"/>
          </reference>
        </references>
      </pivotArea>
    </chartFormat>
    <chartFormat chart="0" format="12">
      <pivotArea type="data" outline="0" fieldPosition="0">
        <references count="3">
          <reference field="4294967294" count="1" selected="0">
            <x v="0"/>
          </reference>
          <reference field="7" count="1" selected="0">
            <x v="2"/>
          </reference>
          <reference field="8" count="1" selected="0">
            <x v="0"/>
          </reference>
        </references>
      </pivotArea>
    </chartFormat>
    <chartFormat chart="0" format="13">
      <pivotArea type="data" outline="0" fieldPosition="0">
        <references count="3">
          <reference field="4294967294" count="1" selected="0">
            <x v="0"/>
          </reference>
          <reference field="7" count="1" selected="0">
            <x v="2"/>
          </reference>
          <reference field="8" count="1" selected="0">
            <x v="2"/>
          </reference>
        </references>
      </pivotArea>
    </chartFormat>
    <chartFormat chart="0" format="14">
      <pivotArea type="data" outline="0" fieldPosition="0">
        <references count="3">
          <reference field="4294967294" count="1" selected="0">
            <x v="0"/>
          </reference>
          <reference field="7" count="1" selected="0">
            <x v="2"/>
          </reference>
          <reference field="8" count="1" selected="0">
            <x v="1"/>
          </reference>
        </references>
      </pivotArea>
    </chartFormat>
    <chartFormat chart="2" format="18" series="1">
      <pivotArea type="data" outline="0" fieldPosition="0">
        <references count="2">
          <reference field="4294967294" count="1" selected="0">
            <x v="0"/>
          </reference>
          <reference field="8" count="1" selected="0">
            <x v="0"/>
          </reference>
        </references>
      </pivotArea>
    </chartFormat>
    <chartFormat chart="2" format="19" series="1">
      <pivotArea type="data" outline="0" fieldPosition="0">
        <references count="2">
          <reference field="4294967294" count="1" selected="0">
            <x v="0"/>
          </reference>
          <reference field="8" count="1" selected="0">
            <x v="2"/>
          </reference>
        </references>
      </pivotArea>
    </chartFormat>
    <chartFormat chart="2" format="20"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al" xr10:uid="{00000000-0013-0000-FFFF-FFFF01000000}" sourceName="Seasonal">
  <pivotTables>
    <pivotTable tabId="9" name="PivotTable1"/>
    <pivotTable tabId="10" name="PivotTable2"/>
  </pivotTables>
  <data>
    <tabular pivotCacheId="1191517750">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Position" xr10:uid="{00000000-0013-0000-FFFF-FFFF02000000}" sourceName="Product Position">
  <pivotTables>
    <pivotTable tabId="9" name="PivotTable1"/>
    <pivotTable tabId="10" name="PivotTable2"/>
  </pivotTables>
  <data>
    <tabular pivotCacheId="1191517750">
      <items count="3">
        <i x="0"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ion" xr10:uid="{00000000-0013-0000-FFFF-FFFF03000000}" sourceName="Promotion">
  <pivotTables>
    <pivotTable tabId="9" name="PivotTable1"/>
    <pivotTable tabId="10" name="PivotTable2"/>
  </pivotTables>
  <data>
    <tabular pivotCacheId="1191517750">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al" xr10:uid="{00000000-0014-0000-FFFF-FFFF01000000}" cache="Slicer_Seasonal" caption="Seasonal" rowHeight="251883"/>
  <slicer name="Product Position" xr10:uid="{00000000-0014-0000-FFFF-FFFF02000000}" cache="Slicer_Product_Position" caption="Product Position" rowHeight="251883"/>
  <slicer name="Promotion" xr10:uid="{00000000-0014-0000-FFFF-FFFF03000000}" cache="Slicer_Promotion" caption="Promotion"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al 1" xr10:uid="{5083AC6F-8FF8-0E47-B28A-05372F0DB3D5}" cache="Slicer_Seasonal" caption="Seasonal" rowHeight="251883"/>
  <slicer name="Product Position 1" xr10:uid="{3EB50DF3-BA6B-104D-B711-FDDB0D884628}" cache="Slicer_Product_Position" caption="Product Position" rowHeight="251883"/>
  <slicer name="Promotion 1" xr10:uid="{864BA525-83CE-DF47-B1FB-6929F9654B0E}" cache="Slicer_Promotion" caption="Promoti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M1001" totalsRowShown="0">
  <autoFilter ref="A1:M1001" xr:uid="{00000000-0009-0000-0100-000001000000}"/>
  <tableColumns count="13">
    <tableColumn id="1" xr3:uid="{00000000-0010-0000-0000-000001000000}" name="Product ID"/>
    <tableColumn id="2" xr3:uid="{00000000-0010-0000-0000-000002000000}" name="Price" dataDxfId="55"/>
    <tableColumn id="3" xr3:uid="{00000000-0010-0000-0000-000003000000}" name="Competitor's Price" dataDxfId="54"/>
    <tableColumn id="4" xr3:uid="{00000000-0010-0000-0000-000004000000}" name="Sales Volume"/>
    <tableColumn id="5" xr3:uid="{00000000-0010-0000-0000-000005000000}" name="Foot Traffic">
      <calculatedColumnFormula>_xlfn.XLOOKUP(A2, 'Customer Information'!$A$1:$A$1001, 'Customer Information'!$B$1:$B$1001)</calculatedColumnFormula>
    </tableColumn>
    <tableColumn id="6" xr3:uid="{00000000-0010-0000-0000-000006000000}" name="Customer Demographics">
      <calculatedColumnFormula>_xlfn.XLOOKUP(A2, 'Customer Information'!$A$1:$A$1001, 'Customer Information'!$C$1:$C$1001)</calculatedColumnFormula>
    </tableColumn>
    <tableColumn id="7" xr3:uid="{00000000-0010-0000-0000-000007000000}" name="Promotion">
      <calculatedColumnFormula>_xlfn.XLOOKUP('Customer Information'!A2, 'Customer Information'!$A$1:$A$1001, 'Customer Information'!$D$1:$D$1001)</calculatedColumnFormula>
    </tableColumn>
    <tableColumn id="8" xr3:uid="{00000000-0010-0000-0000-000008000000}" name="Product Position">
      <calculatedColumnFormula>INDEX('Additional Product Info.'!$A$1:$C$1001, MATCH('Product Positioning'!$A2, 'Additional Product Info.'!$A$1:$A$1001, 0), MATCH('Product Positioning'!H$1, 'Additional Product Info.'!$A$1:$C$1, 0))</calculatedColumnFormula>
    </tableColumn>
    <tableColumn id="9" xr3:uid="{00000000-0010-0000-0000-000009000000}" name="Product Category">
      <calculatedColumnFormula>INDEX('Additional Product Info.'!$A$1:$C$1001, MATCH('Product Positioning'!$A2, 'Additional Product Info.'!$A$1:$A$1001, 0), MATCH('Product Positioning'!I$1, 'Additional Product Info.'!$A$1:$C$1, 0))</calculatedColumnFormula>
    </tableColumn>
    <tableColumn id="10" xr3:uid="{00000000-0010-0000-0000-00000A000000}" name="Seasonal">
      <calculatedColumnFormula>_xlfn.XLOOKUP(A2, $A$1:$A$1001, 'Additional Product Info.'!$D$1:$D$1001)</calculatedColumnFormula>
    </tableColumn>
    <tableColumn id="11" xr3:uid="{00000000-0010-0000-0000-00000B000000}" name="Revenue" dataDxfId="53">
      <calculatedColumnFormula>B2*D2</calculatedColumnFormula>
    </tableColumn>
    <tableColumn id="12" xr3:uid="{00000000-0010-0000-0000-00000C000000}" name="Price Difference" dataDxfId="52">
      <calculatedColumnFormula>ABS(B2-C2)</calculatedColumnFormula>
    </tableColumn>
    <tableColumn id="13" xr3:uid="{00000000-0010-0000-0000-00000D000000}" name="Variation of Pricing">
      <calculatedColumnFormula>IF(L2&lt;=Statistics!$E$6,"Low Difference",IF('Product Positioning'!L2&gt;=Statistics!$E$4,"High Difference","Moderate Difference"))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6"/>
  <sheetViews>
    <sheetView workbookViewId="0">
      <selection activeCell="E4" sqref="E4"/>
    </sheetView>
  </sheetViews>
  <sheetFormatPr baseColWidth="10" defaultRowHeight="16" x14ac:dyDescent="0.2"/>
  <cols>
    <col min="1" max="1" width="21.5" bestFit="1" customWidth="1"/>
    <col min="2" max="2" width="12.83203125" bestFit="1" customWidth="1"/>
    <col min="4" max="4" width="11.33203125" bestFit="1" customWidth="1"/>
  </cols>
  <sheetData>
    <row r="1" spans="1:5" x14ac:dyDescent="0.2">
      <c r="A1" s="3" t="s">
        <v>27</v>
      </c>
      <c r="B1" s="3"/>
    </row>
    <row r="3" spans="1:5" x14ac:dyDescent="0.2">
      <c r="A3" t="s">
        <v>28</v>
      </c>
      <c r="B3">
        <v>2.4699000000000026</v>
      </c>
    </row>
    <row r="4" spans="1:5" x14ac:dyDescent="0.2">
      <c r="A4" t="s">
        <v>29</v>
      </c>
      <c r="B4">
        <v>4.5873425435224997E-2</v>
      </c>
      <c r="D4" t="s">
        <v>44</v>
      </c>
      <c r="E4">
        <f>_xlfn.QUARTILE.EXC('Product Positioning'!L1:L1001,3)</f>
        <v>3.7100000000000009</v>
      </c>
    </row>
    <row r="5" spans="1:5" x14ac:dyDescent="0.2">
      <c r="A5" t="s">
        <v>30</v>
      </c>
      <c r="B5">
        <v>2.5150000000000015</v>
      </c>
      <c r="D5" t="s">
        <v>43</v>
      </c>
      <c r="E5">
        <f>_xlfn.QUARTILE.EXC('Product Positioning'!L1:L1001,2)</f>
        <v>2.5150000000000015</v>
      </c>
    </row>
    <row r="6" spans="1:5" x14ac:dyDescent="0.2">
      <c r="A6" t="s">
        <v>31</v>
      </c>
      <c r="B6">
        <v>0.57000000000000028</v>
      </c>
      <c r="D6" t="s">
        <v>42</v>
      </c>
      <c r="E6">
        <f>_xlfn.QUARTILE.EXC('Product Positioning'!L1:L1001,1)</f>
        <v>1.1599999999999975</v>
      </c>
    </row>
    <row r="7" spans="1:5" x14ac:dyDescent="0.2">
      <c r="A7" t="s">
        <v>32</v>
      </c>
      <c r="B7">
        <v>1.4506450844921193</v>
      </c>
    </row>
    <row r="8" spans="1:5" x14ac:dyDescent="0.2">
      <c r="A8" t="s">
        <v>33</v>
      </c>
      <c r="B8">
        <v>2.104371161161148</v>
      </c>
    </row>
    <row r="9" spans="1:5" x14ac:dyDescent="0.2">
      <c r="A9" t="s">
        <v>34</v>
      </c>
      <c r="B9">
        <v>-1.2226929255707066</v>
      </c>
    </row>
    <row r="10" spans="1:5" x14ac:dyDescent="0.2">
      <c r="A10" t="s">
        <v>35</v>
      </c>
      <c r="B10">
        <v>-6.905811790153084E-3</v>
      </c>
    </row>
    <row r="11" spans="1:5" x14ac:dyDescent="0.2">
      <c r="A11" t="s">
        <v>36</v>
      </c>
      <c r="B11">
        <v>4.990000000000002</v>
      </c>
    </row>
    <row r="12" spans="1:5" x14ac:dyDescent="0.2">
      <c r="A12" t="s">
        <v>37</v>
      </c>
      <c r="B12">
        <v>0</v>
      </c>
    </row>
    <row r="13" spans="1:5" x14ac:dyDescent="0.2">
      <c r="A13" t="s">
        <v>38</v>
      </c>
      <c r="B13">
        <v>4.990000000000002</v>
      </c>
    </row>
    <row r="14" spans="1:5" x14ac:dyDescent="0.2">
      <c r="A14" t="s">
        <v>39</v>
      </c>
      <c r="B14">
        <v>2469.9000000000028</v>
      </c>
    </row>
    <row r="15" spans="1:5" x14ac:dyDescent="0.2">
      <c r="A15" t="s">
        <v>40</v>
      </c>
      <c r="B15">
        <v>1000</v>
      </c>
    </row>
    <row r="16" spans="1:5" ht="17" thickBot="1" x14ac:dyDescent="0.25">
      <c r="A16" s="2" t="s">
        <v>41</v>
      </c>
      <c r="B16" s="2">
        <v>9.0019324695756367E-2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01"/>
  <sheetViews>
    <sheetView workbookViewId="0">
      <selection activeCell="I15" sqref="I15"/>
    </sheetView>
  </sheetViews>
  <sheetFormatPr baseColWidth="10" defaultRowHeight="16" x14ac:dyDescent="0.2"/>
  <cols>
    <col min="1" max="1" width="12" customWidth="1"/>
    <col min="2" max="2" width="7.5" style="1" customWidth="1"/>
    <col min="3" max="3" width="18.5" style="1" customWidth="1"/>
    <col min="4" max="4" width="14.6640625" customWidth="1"/>
    <col min="5" max="5" width="13" customWidth="1"/>
    <col min="6" max="6" width="23.6640625" customWidth="1"/>
    <col min="7" max="7" width="12" customWidth="1"/>
    <col min="8" max="8" width="16.6640625" customWidth="1"/>
    <col min="9" max="9" width="17.5" customWidth="1"/>
    <col min="10" max="10" width="10.83203125" customWidth="1"/>
    <col min="11" max="11" width="11.1640625" bestFit="1" customWidth="1"/>
    <col min="12" max="12" width="16.6640625" style="1" customWidth="1"/>
    <col min="13" max="13" width="19.1640625" customWidth="1"/>
  </cols>
  <sheetData>
    <row r="1" spans="1:13" x14ac:dyDescent="0.2">
      <c r="A1" t="s">
        <v>0</v>
      </c>
      <c r="B1" s="1" t="s">
        <v>2</v>
      </c>
      <c r="C1" s="1" t="s">
        <v>3</v>
      </c>
      <c r="D1" t="s">
        <v>9</v>
      </c>
      <c r="E1" t="s">
        <v>5</v>
      </c>
      <c r="F1" t="s">
        <v>25</v>
      </c>
      <c r="G1" t="s">
        <v>4</v>
      </c>
      <c r="H1" t="s">
        <v>1</v>
      </c>
      <c r="I1" t="s">
        <v>7</v>
      </c>
      <c r="J1" t="s">
        <v>8</v>
      </c>
      <c r="K1" t="s">
        <v>26</v>
      </c>
      <c r="L1" s="1" t="s">
        <v>27</v>
      </c>
      <c r="M1" t="s">
        <v>45</v>
      </c>
    </row>
    <row r="2" spans="1:13" x14ac:dyDescent="0.2">
      <c r="A2">
        <v>185102</v>
      </c>
      <c r="B2" s="1">
        <v>17.07</v>
      </c>
      <c r="C2" s="1">
        <v>16.16</v>
      </c>
      <c r="D2">
        <v>2823</v>
      </c>
      <c r="E2" t="str">
        <f>_xlfn.XLOOKUP(A2, 'Customer Information'!$A$1:$A$1001, 'Customer Information'!$B$1:$B$1001)</f>
        <v>Medium</v>
      </c>
      <c r="F2" t="str">
        <f>_xlfn.XLOOKUP(A2, 'Customer Information'!$A$1:$A$1001, 'Customer Information'!$C$1:$C$1001)</f>
        <v>Families</v>
      </c>
      <c r="G2" t="str">
        <f>_xlfn.XLOOKUP('Customer Information'!A2, 'Customer Information'!$A$1:$A$1001, 'Customer Information'!$D$1:$D$1001)</f>
        <v>No</v>
      </c>
      <c r="H2" t="str">
        <f>INDEX('Additional Product Info.'!$A$1:$C$1001, MATCH('Product Positioning'!$A2, 'Additional Product Info.'!$A$1:$A$1001, 0), MATCH('Product Positioning'!H$1, 'Additional Product Info.'!$A$1:$C$1, 0))</f>
        <v>Aisle</v>
      </c>
      <c r="I2" t="str">
        <f>INDEX('Additional Product Info.'!$A$1:$C$1001, MATCH('Product Positioning'!$A2, 'Additional Product Info.'!$A$1:$A$1001, 0), MATCH('Product Positioning'!I$1, 'Additional Product Info.'!$A$1:$C$1, 0))</f>
        <v>Clothing</v>
      </c>
      <c r="J2" t="str">
        <f>_xlfn.XLOOKUP(A2, $A$1:$A$1001, 'Additional Product Info.'!$D$1:$D$1001)</f>
        <v>No</v>
      </c>
      <c r="K2" s="1">
        <f t="shared" ref="K2:K65" si="0">B2*D2</f>
        <v>48188.61</v>
      </c>
      <c r="L2" s="1">
        <f t="shared" ref="L2:L65" si="1">ABS(B2-C2)</f>
        <v>0.91000000000000014</v>
      </c>
      <c r="M2" t="str">
        <f>IF(L2&lt;=Statistics!$E$6,"Low Difference",IF('Product Positioning'!L2&gt;=Statistics!$E$4,"High Difference","Moderate Difference"))</f>
        <v>Low Difference</v>
      </c>
    </row>
    <row r="3" spans="1:13" x14ac:dyDescent="0.2">
      <c r="A3">
        <v>188771</v>
      </c>
      <c r="B3" s="1">
        <v>17.41</v>
      </c>
      <c r="C3" s="1">
        <v>13.13</v>
      </c>
      <c r="D3">
        <v>654</v>
      </c>
      <c r="E3" t="str">
        <f>_xlfn.XLOOKUP(A3, 'Customer Information'!$A$1:$A$1001, 'Customer Information'!$B$1:$B$1001)</f>
        <v>Low</v>
      </c>
      <c r="F3" t="str">
        <f>_xlfn.XLOOKUP(A3, 'Customer Information'!$A$1:$A$1001, 'Customer Information'!$C$1:$C$1001)</f>
        <v>Seniors</v>
      </c>
      <c r="G3" t="str">
        <f>_xlfn.XLOOKUP('Customer Information'!A3, 'Customer Information'!$A$1:$A$1001, 'Customer Information'!$D$1:$D$1001)</f>
        <v>No</v>
      </c>
      <c r="H3" t="str">
        <f>INDEX('Additional Product Info.'!$A$1:$C$1001, MATCH('Product Positioning'!$A3, 'Additional Product Info.'!$A$1:$A$1001, 0), MATCH('Product Positioning'!H$1, 'Additional Product Info.'!$A$1:$C$1, 0))</f>
        <v>Aisle</v>
      </c>
      <c r="I3" t="str">
        <f>INDEX('Additional Product Info.'!$A$1:$C$1001, MATCH('Product Positioning'!$A3, 'Additional Product Info.'!$A$1:$A$1001, 0), MATCH('Product Positioning'!I$1, 'Additional Product Info.'!$A$1:$C$1, 0))</f>
        <v>Clothing</v>
      </c>
      <c r="J3" t="str">
        <f>_xlfn.XLOOKUP(A3, $A$1:$A$1001, 'Additional Product Info.'!$D$1:$D$1001)</f>
        <v>No</v>
      </c>
      <c r="K3" s="1">
        <f t="shared" si="0"/>
        <v>11386.14</v>
      </c>
      <c r="L3" s="1">
        <f t="shared" si="1"/>
        <v>4.2799999999999994</v>
      </c>
      <c r="M3" t="str">
        <f>IF(L3&lt;=Statistics!$E$6,"Low Difference",IF('Product Positioning'!L3&gt;=Statistics!$E$4,"High Difference","Moderate Difference"))</f>
        <v>High Difference</v>
      </c>
    </row>
    <row r="4" spans="1:13" x14ac:dyDescent="0.2">
      <c r="A4">
        <v>180176</v>
      </c>
      <c r="B4" s="1">
        <v>43.16</v>
      </c>
      <c r="C4" s="1">
        <v>38.369999999999997</v>
      </c>
      <c r="D4">
        <v>2220</v>
      </c>
      <c r="E4" t="str">
        <f>_xlfn.XLOOKUP(A4, 'Customer Information'!$A$1:$A$1001, 'Customer Information'!$B$1:$B$1001)</f>
        <v>Medium</v>
      </c>
      <c r="F4" t="str">
        <f>_xlfn.XLOOKUP(A4, 'Customer Information'!$A$1:$A$1001, 'Customer Information'!$C$1:$C$1001)</f>
        <v>Young adults</v>
      </c>
      <c r="G4" t="str">
        <f>_xlfn.XLOOKUP('Customer Information'!A4, 'Customer Information'!$A$1:$A$1001, 'Customer Information'!$D$1:$D$1001)</f>
        <v>Yes</v>
      </c>
      <c r="H4" t="str">
        <f>INDEX('Additional Product Info.'!$A$1:$C$1001, MATCH('Product Positioning'!$A4, 'Additional Product Info.'!$A$1:$A$1001, 0), MATCH('Product Positioning'!H$1, 'Additional Product Info.'!$A$1:$C$1, 0))</f>
        <v>End-cap</v>
      </c>
      <c r="I4" t="str">
        <f>INDEX('Additional Product Info.'!$A$1:$C$1001, MATCH('Product Positioning'!$A4, 'Additional Product Info.'!$A$1:$A$1001, 0), MATCH('Product Positioning'!I$1, 'Additional Product Info.'!$A$1:$C$1, 0))</f>
        <v>Electronics</v>
      </c>
      <c r="J4" t="str">
        <f>_xlfn.XLOOKUP(A4, $A$1:$A$1001, 'Additional Product Info.'!$D$1:$D$1001)</f>
        <v>Yes</v>
      </c>
      <c r="K4" s="1">
        <f t="shared" si="0"/>
        <v>95815.2</v>
      </c>
      <c r="L4" s="1">
        <f t="shared" si="1"/>
        <v>4.7899999999999991</v>
      </c>
      <c r="M4" t="str">
        <f>IF(L4&lt;=Statistics!$E$6,"Low Difference",IF('Product Positioning'!L4&gt;=Statistics!$E$4,"High Difference","Moderate Difference"))</f>
        <v>High Difference</v>
      </c>
    </row>
    <row r="5" spans="1:13" x14ac:dyDescent="0.2">
      <c r="A5">
        <v>112917</v>
      </c>
      <c r="B5" s="1">
        <v>42.26</v>
      </c>
      <c r="C5" s="1">
        <v>38.979999999999997</v>
      </c>
      <c r="D5">
        <v>1568</v>
      </c>
      <c r="E5" t="str">
        <f>_xlfn.XLOOKUP(A5, 'Customer Information'!$A$1:$A$1001, 'Customer Information'!$B$1:$B$1001)</f>
        <v>Low</v>
      </c>
      <c r="F5" t="str">
        <f>_xlfn.XLOOKUP(A5, 'Customer Information'!$A$1:$A$1001, 'Customer Information'!$C$1:$C$1001)</f>
        <v>Families</v>
      </c>
      <c r="G5" t="str">
        <f>_xlfn.XLOOKUP('Customer Information'!A5, 'Customer Information'!$A$1:$A$1001, 'Customer Information'!$D$1:$D$1001)</f>
        <v>Yes</v>
      </c>
      <c r="H5" t="str">
        <f>INDEX('Additional Product Info.'!$A$1:$C$1001, MATCH('Product Positioning'!$A5, 'Additional Product Info.'!$A$1:$A$1001, 0), MATCH('Product Positioning'!H$1, 'Additional Product Info.'!$A$1:$C$1, 0))</f>
        <v>Aisle</v>
      </c>
      <c r="I5" t="str">
        <f>INDEX('Additional Product Info.'!$A$1:$C$1001, MATCH('Product Positioning'!$A5, 'Additional Product Info.'!$A$1:$A$1001, 0), MATCH('Product Positioning'!I$1, 'Additional Product Info.'!$A$1:$C$1, 0))</f>
        <v>Clothing</v>
      </c>
      <c r="J5" t="str">
        <f>_xlfn.XLOOKUP(A5, $A$1:$A$1001, 'Additional Product Info.'!$D$1:$D$1001)</f>
        <v>Yes</v>
      </c>
      <c r="K5" s="1">
        <f t="shared" si="0"/>
        <v>66263.679999999993</v>
      </c>
      <c r="L5" s="1">
        <f t="shared" si="1"/>
        <v>3.2800000000000011</v>
      </c>
      <c r="M5" t="str">
        <f>IF(L5&lt;=Statistics!$E$6,"Low Difference",IF('Product Positioning'!L5&gt;=Statistics!$E$4,"High Difference","Moderate Difference"))</f>
        <v>Moderate Difference</v>
      </c>
    </row>
    <row r="6" spans="1:13" x14ac:dyDescent="0.2">
      <c r="A6">
        <v>192936</v>
      </c>
      <c r="B6" s="1">
        <v>47.94</v>
      </c>
      <c r="C6" s="1">
        <v>45.59</v>
      </c>
      <c r="D6">
        <v>2942</v>
      </c>
      <c r="E6" t="str">
        <f>_xlfn.XLOOKUP(A6, 'Customer Information'!$A$1:$A$1001, 'Customer Information'!$B$1:$B$1001)</f>
        <v>Medium</v>
      </c>
      <c r="F6" t="str">
        <f>_xlfn.XLOOKUP(A6, 'Customer Information'!$A$1:$A$1001, 'Customer Information'!$C$1:$C$1001)</f>
        <v>College students</v>
      </c>
      <c r="G6" t="str">
        <f>_xlfn.XLOOKUP('Customer Information'!A6, 'Customer Information'!$A$1:$A$1001, 'Customer Information'!$D$1:$D$1001)</f>
        <v>No</v>
      </c>
      <c r="H6" t="str">
        <f>INDEX('Additional Product Info.'!$A$1:$C$1001, MATCH('Product Positioning'!$A6, 'Additional Product Info.'!$A$1:$A$1001, 0), MATCH('Product Positioning'!H$1, 'Additional Product Info.'!$A$1:$C$1, 0))</f>
        <v>End-cap</v>
      </c>
      <c r="I6" t="str">
        <f>INDEX('Additional Product Info.'!$A$1:$C$1001, MATCH('Product Positioning'!$A6, 'Additional Product Info.'!$A$1:$A$1001, 0), MATCH('Product Positioning'!I$1, 'Additional Product Info.'!$A$1:$C$1, 0))</f>
        <v>Clothing</v>
      </c>
      <c r="J6" t="str">
        <f>_xlfn.XLOOKUP(A6, $A$1:$A$1001, 'Additional Product Info.'!$D$1:$D$1001)</f>
        <v>Yes</v>
      </c>
      <c r="K6" s="1">
        <f t="shared" si="0"/>
        <v>141039.47999999998</v>
      </c>
      <c r="L6" s="1">
        <f t="shared" si="1"/>
        <v>2.3499999999999943</v>
      </c>
      <c r="M6" t="str">
        <f>IF(L6&lt;=Statistics!$E$6,"Low Difference",IF('Product Positioning'!L6&gt;=Statistics!$E$4,"High Difference","Moderate Difference"))</f>
        <v>Moderate Difference</v>
      </c>
    </row>
    <row r="7" spans="1:13" x14ac:dyDescent="0.2">
      <c r="A7">
        <v>117590</v>
      </c>
      <c r="B7" s="1">
        <v>34.5</v>
      </c>
      <c r="C7" s="1">
        <v>34.340000000000003</v>
      </c>
      <c r="D7">
        <v>2968</v>
      </c>
      <c r="E7" t="str">
        <f>_xlfn.XLOOKUP(A7, 'Customer Information'!$A$1:$A$1001, 'Customer Information'!$B$1:$B$1001)</f>
        <v>Medium</v>
      </c>
      <c r="F7" t="str">
        <f>_xlfn.XLOOKUP(A7, 'Customer Information'!$A$1:$A$1001, 'Customer Information'!$C$1:$C$1001)</f>
        <v>Seniors</v>
      </c>
      <c r="G7" t="str">
        <f>_xlfn.XLOOKUP('Customer Information'!A7, 'Customer Information'!$A$1:$A$1001, 'Customer Information'!$D$1:$D$1001)</f>
        <v>No</v>
      </c>
      <c r="H7" t="str">
        <f>INDEX('Additional Product Info.'!$A$1:$C$1001, MATCH('Product Positioning'!$A7, 'Additional Product Info.'!$A$1:$A$1001, 0), MATCH('Product Positioning'!H$1, 'Additional Product Info.'!$A$1:$C$1, 0))</f>
        <v>End-cap</v>
      </c>
      <c r="I7" t="str">
        <f>INDEX('Additional Product Info.'!$A$1:$C$1001, MATCH('Product Positioning'!$A7, 'Additional Product Info.'!$A$1:$A$1001, 0), MATCH('Product Positioning'!I$1, 'Additional Product Info.'!$A$1:$C$1, 0))</f>
        <v>Clothing</v>
      </c>
      <c r="J7" t="str">
        <f>_xlfn.XLOOKUP(A7, $A$1:$A$1001, 'Additional Product Info.'!$D$1:$D$1001)</f>
        <v>No</v>
      </c>
      <c r="K7" s="1">
        <f t="shared" si="0"/>
        <v>102396</v>
      </c>
      <c r="L7" s="1">
        <f t="shared" si="1"/>
        <v>0.15999999999999659</v>
      </c>
      <c r="M7" t="str">
        <f>IF(L7&lt;=Statistics!$E$6,"Low Difference",IF('Product Positioning'!L7&gt;=Statistics!$E$4,"High Difference","Moderate Difference"))</f>
        <v>Low Difference</v>
      </c>
    </row>
    <row r="8" spans="1:13" x14ac:dyDescent="0.2">
      <c r="A8">
        <v>189118</v>
      </c>
      <c r="B8" s="1">
        <v>41.11</v>
      </c>
      <c r="C8" s="1">
        <v>40.15</v>
      </c>
      <c r="D8">
        <v>952</v>
      </c>
      <c r="E8" t="str">
        <f>_xlfn.XLOOKUP(A8, 'Customer Information'!$A$1:$A$1001, 'Customer Information'!$B$1:$B$1001)</f>
        <v>High</v>
      </c>
      <c r="F8" t="str">
        <f>_xlfn.XLOOKUP(A8, 'Customer Information'!$A$1:$A$1001, 'Customer Information'!$C$1:$C$1001)</f>
        <v>College students</v>
      </c>
      <c r="G8" t="str">
        <f>_xlfn.XLOOKUP('Customer Information'!A8, 'Customer Information'!$A$1:$A$1001, 'Customer Information'!$D$1:$D$1001)</f>
        <v>Yes</v>
      </c>
      <c r="H8" t="str">
        <f>INDEX('Additional Product Info.'!$A$1:$C$1001, MATCH('Product Positioning'!$A8, 'Additional Product Info.'!$A$1:$A$1001, 0), MATCH('Product Positioning'!H$1, 'Additional Product Info.'!$A$1:$C$1, 0))</f>
        <v>Front of Store</v>
      </c>
      <c r="I8" t="str">
        <f>INDEX('Additional Product Info.'!$A$1:$C$1001, MATCH('Product Positioning'!$A8, 'Additional Product Info.'!$A$1:$A$1001, 0), MATCH('Product Positioning'!I$1, 'Additional Product Info.'!$A$1:$C$1, 0))</f>
        <v>Clothing</v>
      </c>
      <c r="J8" t="str">
        <f>_xlfn.XLOOKUP(A8, $A$1:$A$1001, 'Additional Product Info.'!$D$1:$D$1001)</f>
        <v>Yes</v>
      </c>
      <c r="K8" s="1">
        <f t="shared" si="0"/>
        <v>39136.720000000001</v>
      </c>
      <c r="L8" s="1">
        <f t="shared" si="1"/>
        <v>0.96000000000000085</v>
      </c>
      <c r="M8" t="str">
        <f>IF(L8&lt;=Statistics!$E$6,"Low Difference",IF('Product Positioning'!L8&gt;=Statistics!$E$4,"High Difference","Moderate Difference"))</f>
        <v>Low Difference</v>
      </c>
    </row>
    <row r="9" spans="1:13" x14ac:dyDescent="0.2">
      <c r="A9">
        <v>182157</v>
      </c>
      <c r="B9" s="1">
        <v>15.75</v>
      </c>
      <c r="C9" s="1">
        <v>12.3</v>
      </c>
      <c r="D9">
        <v>2421</v>
      </c>
      <c r="E9" t="str">
        <f>_xlfn.XLOOKUP(A9, 'Customer Information'!$A$1:$A$1001, 'Customer Information'!$B$1:$B$1001)</f>
        <v>Low</v>
      </c>
      <c r="F9" t="str">
        <f>_xlfn.XLOOKUP(A9, 'Customer Information'!$A$1:$A$1001, 'Customer Information'!$C$1:$C$1001)</f>
        <v>College students</v>
      </c>
      <c r="G9" t="str">
        <f>_xlfn.XLOOKUP('Customer Information'!A9, 'Customer Information'!$A$1:$A$1001, 'Customer Information'!$D$1:$D$1001)</f>
        <v>No</v>
      </c>
      <c r="H9" t="str">
        <f>INDEX('Additional Product Info.'!$A$1:$C$1001, MATCH('Product Positioning'!$A9, 'Additional Product Info.'!$A$1:$A$1001, 0), MATCH('Product Positioning'!H$1, 'Additional Product Info.'!$A$1:$C$1, 0))</f>
        <v>Aisle</v>
      </c>
      <c r="I9" t="str">
        <f>INDEX('Additional Product Info.'!$A$1:$C$1001, MATCH('Product Positioning'!$A9, 'Additional Product Info.'!$A$1:$A$1001, 0), MATCH('Product Positioning'!I$1, 'Additional Product Info.'!$A$1:$C$1, 0))</f>
        <v>Clothing</v>
      </c>
      <c r="J9" t="str">
        <f>_xlfn.XLOOKUP(A9, $A$1:$A$1001, 'Additional Product Info.'!$D$1:$D$1001)</f>
        <v>No</v>
      </c>
      <c r="K9" s="1">
        <f t="shared" si="0"/>
        <v>38130.75</v>
      </c>
      <c r="L9" s="1">
        <f t="shared" si="1"/>
        <v>3.4499999999999993</v>
      </c>
      <c r="M9" t="str">
        <f>IF(L9&lt;=Statistics!$E$6,"Low Difference",IF('Product Positioning'!L9&gt;=Statistics!$E$4,"High Difference","Moderate Difference"))</f>
        <v>Moderate Difference</v>
      </c>
    </row>
    <row r="10" spans="1:13" x14ac:dyDescent="0.2">
      <c r="A10">
        <v>141861</v>
      </c>
      <c r="B10" s="1">
        <v>30.07</v>
      </c>
      <c r="C10" s="1">
        <v>26.75</v>
      </c>
      <c r="D10">
        <v>1916</v>
      </c>
      <c r="E10" t="str">
        <f>_xlfn.XLOOKUP(A10, 'Customer Information'!$A$1:$A$1001, 'Customer Information'!$B$1:$B$1001)</f>
        <v>High</v>
      </c>
      <c r="F10" t="str">
        <f>_xlfn.XLOOKUP(A10, 'Customer Information'!$A$1:$A$1001, 'Customer Information'!$C$1:$C$1001)</f>
        <v>Families</v>
      </c>
      <c r="G10" t="str">
        <f>_xlfn.XLOOKUP('Customer Information'!A10, 'Customer Information'!$A$1:$A$1001, 'Customer Information'!$D$1:$D$1001)</f>
        <v>Yes</v>
      </c>
      <c r="H10" t="str">
        <f>INDEX('Additional Product Info.'!$A$1:$C$1001, MATCH('Product Positioning'!$A10, 'Additional Product Info.'!$A$1:$A$1001, 0), MATCH('Product Positioning'!H$1, 'Additional Product Info.'!$A$1:$C$1, 0))</f>
        <v>Aisle</v>
      </c>
      <c r="I10" t="str">
        <f>INDEX('Additional Product Info.'!$A$1:$C$1001, MATCH('Product Positioning'!$A10, 'Additional Product Info.'!$A$1:$A$1001, 0), MATCH('Product Positioning'!I$1, 'Additional Product Info.'!$A$1:$C$1, 0))</f>
        <v>Electronics</v>
      </c>
      <c r="J10" t="str">
        <f>_xlfn.XLOOKUP(A10, $A$1:$A$1001, 'Additional Product Info.'!$D$1:$D$1001)</f>
        <v>Yes</v>
      </c>
      <c r="K10" s="1">
        <f t="shared" si="0"/>
        <v>57614.12</v>
      </c>
      <c r="L10" s="1">
        <f t="shared" si="1"/>
        <v>3.3200000000000003</v>
      </c>
      <c r="M10" t="str">
        <f>IF(L10&lt;=Statistics!$E$6,"Low Difference",IF('Product Positioning'!L10&gt;=Statistics!$E$4,"High Difference","Moderate Difference"))</f>
        <v>Moderate Difference</v>
      </c>
    </row>
    <row r="11" spans="1:13" x14ac:dyDescent="0.2">
      <c r="A11">
        <v>137121</v>
      </c>
      <c r="B11" s="1">
        <v>38</v>
      </c>
      <c r="C11" s="1">
        <v>33.380000000000003</v>
      </c>
      <c r="D11">
        <v>656</v>
      </c>
      <c r="E11" t="str">
        <f>_xlfn.XLOOKUP(A11, 'Customer Information'!$A$1:$A$1001, 'Customer Information'!$B$1:$B$1001)</f>
        <v>High</v>
      </c>
      <c r="F11" t="str">
        <f>_xlfn.XLOOKUP(A11, 'Customer Information'!$A$1:$A$1001, 'Customer Information'!$C$1:$C$1001)</f>
        <v>Families</v>
      </c>
      <c r="G11" t="str">
        <f>_xlfn.XLOOKUP('Customer Information'!A11, 'Customer Information'!$A$1:$A$1001, 'Customer Information'!$D$1:$D$1001)</f>
        <v>No</v>
      </c>
      <c r="H11" t="str">
        <f>INDEX('Additional Product Info.'!$A$1:$C$1001, MATCH('Product Positioning'!$A11, 'Additional Product Info.'!$A$1:$A$1001, 0), MATCH('Product Positioning'!H$1, 'Additional Product Info.'!$A$1:$C$1, 0))</f>
        <v>Aisle</v>
      </c>
      <c r="I11" t="str">
        <f>INDEX('Additional Product Info.'!$A$1:$C$1001, MATCH('Product Positioning'!$A11, 'Additional Product Info.'!$A$1:$A$1001, 0), MATCH('Product Positioning'!I$1, 'Additional Product Info.'!$A$1:$C$1, 0))</f>
        <v>Electronics</v>
      </c>
      <c r="J11" t="str">
        <f>_xlfn.XLOOKUP(A11, $A$1:$A$1001, 'Additional Product Info.'!$D$1:$D$1001)</f>
        <v>Yes</v>
      </c>
      <c r="K11" s="1">
        <f t="shared" si="0"/>
        <v>24928</v>
      </c>
      <c r="L11" s="1">
        <f t="shared" si="1"/>
        <v>4.6199999999999974</v>
      </c>
      <c r="M11" t="str">
        <f>IF(L11&lt;=Statistics!$E$6,"Low Difference",IF('Product Positioning'!L11&gt;=Statistics!$E$4,"High Difference","Moderate Difference"))</f>
        <v>High Difference</v>
      </c>
    </row>
    <row r="12" spans="1:13" x14ac:dyDescent="0.2">
      <c r="A12">
        <v>113143</v>
      </c>
      <c r="B12" s="1">
        <v>27.42</v>
      </c>
      <c r="C12" s="1">
        <v>22.82</v>
      </c>
      <c r="D12">
        <v>2663</v>
      </c>
      <c r="E12" t="str">
        <f>_xlfn.XLOOKUP(A12, 'Customer Information'!$A$1:$A$1001, 'Customer Information'!$B$1:$B$1001)</f>
        <v>High</v>
      </c>
      <c r="F12" t="str">
        <f>_xlfn.XLOOKUP(A12, 'Customer Information'!$A$1:$A$1001, 'Customer Information'!$C$1:$C$1001)</f>
        <v>College students</v>
      </c>
      <c r="G12" t="str">
        <f>_xlfn.XLOOKUP('Customer Information'!A12, 'Customer Information'!$A$1:$A$1001, 'Customer Information'!$D$1:$D$1001)</f>
        <v>Yes</v>
      </c>
      <c r="H12" t="str">
        <f>INDEX('Additional Product Info.'!$A$1:$C$1001, MATCH('Product Positioning'!$A12, 'Additional Product Info.'!$A$1:$A$1001, 0), MATCH('Product Positioning'!H$1, 'Additional Product Info.'!$A$1:$C$1, 0))</f>
        <v>Aisle</v>
      </c>
      <c r="I12" t="str">
        <f>INDEX('Additional Product Info.'!$A$1:$C$1001, MATCH('Product Positioning'!$A12, 'Additional Product Info.'!$A$1:$A$1001, 0), MATCH('Product Positioning'!I$1, 'Additional Product Info.'!$A$1:$C$1, 0))</f>
        <v>Food</v>
      </c>
      <c r="J12" t="str">
        <f>_xlfn.XLOOKUP(A12, $A$1:$A$1001, 'Additional Product Info.'!$D$1:$D$1001)</f>
        <v>Yes</v>
      </c>
      <c r="K12" s="1">
        <f t="shared" si="0"/>
        <v>73019.460000000006</v>
      </c>
      <c r="L12" s="1">
        <f t="shared" si="1"/>
        <v>4.6000000000000014</v>
      </c>
      <c r="M12" t="str">
        <f>IF(L12&lt;=Statistics!$E$6,"Low Difference",IF('Product Positioning'!L12&gt;=Statistics!$E$4,"High Difference","Moderate Difference"))</f>
        <v>High Difference</v>
      </c>
    </row>
    <row r="13" spans="1:13" x14ac:dyDescent="0.2">
      <c r="A13">
        <v>140028</v>
      </c>
      <c r="B13" s="1">
        <v>12.15</v>
      </c>
      <c r="C13" s="1">
        <v>9.39</v>
      </c>
      <c r="D13">
        <v>1260</v>
      </c>
      <c r="E13" t="str">
        <f>_xlfn.XLOOKUP(A13, 'Customer Information'!$A$1:$A$1001, 'Customer Information'!$B$1:$B$1001)</f>
        <v>High</v>
      </c>
      <c r="F13" t="str">
        <f>_xlfn.XLOOKUP(A13, 'Customer Information'!$A$1:$A$1001, 'Customer Information'!$C$1:$C$1001)</f>
        <v>College students</v>
      </c>
      <c r="G13" t="str">
        <f>_xlfn.XLOOKUP('Customer Information'!A13, 'Customer Information'!$A$1:$A$1001, 'Customer Information'!$D$1:$D$1001)</f>
        <v>Yes</v>
      </c>
      <c r="H13" t="str">
        <f>INDEX('Additional Product Info.'!$A$1:$C$1001, MATCH('Product Positioning'!$A13, 'Additional Product Info.'!$A$1:$A$1001, 0), MATCH('Product Positioning'!H$1, 'Additional Product Info.'!$A$1:$C$1, 0))</f>
        <v>Aisle</v>
      </c>
      <c r="I13" t="str">
        <f>INDEX('Additional Product Info.'!$A$1:$C$1001, MATCH('Product Positioning'!$A13, 'Additional Product Info.'!$A$1:$A$1001, 0), MATCH('Product Positioning'!I$1, 'Additional Product Info.'!$A$1:$C$1, 0))</f>
        <v>Food</v>
      </c>
      <c r="J13" t="str">
        <f>_xlfn.XLOOKUP(A13, $A$1:$A$1001, 'Additional Product Info.'!$D$1:$D$1001)</f>
        <v>Yes</v>
      </c>
      <c r="K13" s="1">
        <f t="shared" si="0"/>
        <v>15309</v>
      </c>
      <c r="L13" s="1">
        <f t="shared" si="1"/>
        <v>2.76</v>
      </c>
      <c r="M13" t="str">
        <f>IF(L13&lt;=Statistics!$E$6,"Low Difference",IF('Product Positioning'!L13&gt;=Statistics!$E$4,"High Difference","Moderate Difference"))</f>
        <v>Moderate Difference</v>
      </c>
    </row>
    <row r="14" spans="1:13" x14ac:dyDescent="0.2">
      <c r="A14">
        <v>134693</v>
      </c>
      <c r="B14" s="1">
        <v>31.45</v>
      </c>
      <c r="C14" s="1">
        <v>28.93</v>
      </c>
      <c r="D14">
        <v>2124</v>
      </c>
      <c r="E14" t="str">
        <f>_xlfn.XLOOKUP(A14, 'Customer Information'!$A$1:$A$1001, 'Customer Information'!$B$1:$B$1001)</f>
        <v>Low</v>
      </c>
      <c r="F14" t="str">
        <f>_xlfn.XLOOKUP(A14, 'Customer Information'!$A$1:$A$1001, 'Customer Information'!$C$1:$C$1001)</f>
        <v>College students</v>
      </c>
      <c r="G14" t="str">
        <f>_xlfn.XLOOKUP('Customer Information'!A14, 'Customer Information'!$A$1:$A$1001, 'Customer Information'!$D$1:$D$1001)</f>
        <v>Yes</v>
      </c>
      <c r="H14" t="str">
        <f>INDEX('Additional Product Info.'!$A$1:$C$1001, MATCH('Product Positioning'!$A14, 'Additional Product Info.'!$A$1:$A$1001, 0), MATCH('Product Positioning'!H$1, 'Additional Product Info.'!$A$1:$C$1, 0))</f>
        <v>Aisle</v>
      </c>
      <c r="I14" t="str">
        <f>INDEX('Additional Product Info.'!$A$1:$C$1001, MATCH('Product Positioning'!$A14, 'Additional Product Info.'!$A$1:$A$1001, 0), MATCH('Product Positioning'!I$1, 'Additional Product Info.'!$A$1:$C$1, 0))</f>
        <v>Food</v>
      </c>
      <c r="J14" t="str">
        <f>_xlfn.XLOOKUP(A14, $A$1:$A$1001, 'Additional Product Info.'!$D$1:$D$1001)</f>
        <v>No</v>
      </c>
      <c r="K14" s="1">
        <f t="shared" si="0"/>
        <v>66799.8</v>
      </c>
      <c r="L14" s="1">
        <f t="shared" si="1"/>
        <v>2.5199999999999996</v>
      </c>
      <c r="M14" t="str">
        <f>IF(L14&lt;=Statistics!$E$6,"Low Difference",IF('Product Positioning'!L14&gt;=Statistics!$E$4,"High Difference","Moderate Difference"))</f>
        <v>Moderate Difference</v>
      </c>
    </row>
    <row r="15" spans="1:13" x14ac:dyDescent="0.2">
      <c r="A15">
        <v>151396</v>
      </c>
      <c r="B15" s="1">
        <v>19.809999999999999</v>
      </c>
      <c r="C15" s="1">
        <v>17.04</v>
      </c>
      <c r="D15">
        <v>729</v>
      </c>
      <c r="E15" t="str">
        <f>_xlfn.XLOOKUP(A15, 'Customer Information'!$A$1:$A$1001, 'Customer Information'!$B$1:$B$1001)</f>
        <v>Medium</v>
      </c>
      <c r="F15" t="str">
        <f>_xlfn.XLOOKUP(A15, 'Customer Information'!$A$1:$A$1001, 'Customer Information'!$C$1:$C$1001)</f>
        <v>Families</v>
      </c>
      <c r="G15" t="str">
        <f>_xlfn.XLOOKUP('Customer Information'!A15, 'Customer Information'!$A$1:$A$1001, 'Customer Information'!$D$1:$D$1001)</f>
        <v>Yes</v>
      </c>
      <c r="H15" t="str">
        <f>INDEX('Additional Product Info.'!$A$1:$C$1001, MATCH('Product Positioning'!$A15, 'Additional Product Info.'!$A$1:$A$1001, 0), MATCH('Product Positioning'!H$1, 'Additional Product Info.'!$A$1:$C$1, 0))</f>
        <v>Front of Store</v>
      </c>
      <c r="I15" t="str">
        <f>INDEX('Additional Product Info.'!$A$1:$C$1001, MATCH('Product Positioning'!$A15, 'Additional Product Info.'!$A$1:$A$1001, 0), MATCH('Product Positioning'!I$1, 'Additional Product Info.'!$A$1:$C$1, 0))</f>
        <v>Food</v>
      </c>
      <c r="J15" t="str">
        <f>_xlfn.XLOOKUP(A15, $A$1:$A$1001, 'Additional Product Info.'!$D$1:$D$1001)</f>
        <v>Yes</v>
      </c>
      <c r="K15" s="1">
        <f t="shared" si="0"/>
        <v>14441.49</v>
      </c>
      <c r="L15" s="1">
        <f t="shared" si="1"/>
        <v>2.7699999999999996</v>
      </c>
      <c r="M15" t="str">
        <f>IF(L15&lt;=Statistics!$E$6,"Low Difference",IF('Product Positioning'!L15&gt;=Statistics!$E$4,"High Difference","Moderate Difference"))</f>
        <v>Moderate Difference</v>
      </c>
    </row>
    <row r="16" spans="1:13" x14ac:dyDescent="0.2">
      <c r="A16">
        <v>132889</v>
      </c>
      <c r="B16" s="1">
        <v>15.74</v>
      </c>
      <c r="C16" s="1">
        <v>12.8</v>
      </c>
      <c r="D16">
        <v>2265</v>
      </c>
      <c r="E16" t="str">
        <f>_xlfn.XLOOKUP(A16, 'Customer Information'!$A$1:$A$1001, 'Customer Information'!$B$1:$B$1001)</f>
        <v>Low</v>
      </c>
      <c r="F16" t="str">
        <f>_xlfn.XLOOKUP(A16, 'Customer Information'!$A$1:$A$1001, 'Customer Information'!$C$1:$C$1001)</f>
        <v>Families</v>
      </c>
      <c r="G16" t="str">
        <f>_xlfn.XLOOKUP('Customer Information'!A16, 'Customer Information'!$A$1:$A$1001, 'Customer Information'!$D$1:$D$1001)</f>
        <v>Yes</v>
      </c>
      <c r="H16" t="str">
        <f>INDEX('Additional Product Info.'!$A$1:$C$1001, MATCH('Product Positioning'!$A16, 'Additional Product Info.'!$A$1:$A$1001, 0), MATCH('Product Positioning'!H$1, 'Additional Product Info.'!$A$1:$C$1, 0))</f>
        <v>Aisle</v>
      </c>
      <c r="I16" t="str">
        <f>INDEX('Additional Product Info.'!$A$1:$C$1001, MATCH('Product Positioning'!$A16, 'Additional Product Info.'!$A$1:$A$1001, 0), MATCH('Product Positioning'!I$1, 'Additional Product Info.'!$A$1:$C$1, 0))</f>
        <v>Food</v>
      </c>
      <c r="J16" t="str">
        <f>_xlfn.XLOOKUP(A16, $A$1:$A$1001, 'Additional Product Info.'!$D$1:$D$1001)</f>
        <v>Yes</v>
      </c>
      <c r="K16" s="1">
        <f t="shared" si="0"/>
        <v>35651.1</v>
      </c>
      <c r="L16" s="1">
        <f t="shared" si="1"/>
        <v>2.9399999999999995</v>
      </c>
      <c r="M16" t="str">
        <f>IF(L16&lt;=Statistics!$E$6,"Low Difference",IF('Product Positioning'!L16&gt;=Statistics!$E$4,"High Difference","Moderate Difference"))</f>
        <v>Moderate Difference</v>
      </c>
    </row>
    <row r="17" spans="1:13" x14ac:dyDescent="0.2">
      <c r="A17">
        <v>152174</v>
      </c>
      <c r="B17" s="1">
        <v>13.16</v>
      </c>
      <c r="C17" s="1">
        <v>12.94</v>
      </c>
      <c r="D17">
        <v>2226</v>
      </c>
      <c r="E17" t="str">
        <f>_xlfn.XLOOKUP(A17, 'Customer Information'!$A$1:$A$1001, 'Customer Information'!$B$1:$B$1001)</f>
        <v>Medium</v>
      </c>
      <c r="F17" t="str">
        <f>_xlfn.XLOOKUP(A17, 'Customer Information'!$A$1:$A$1001, 'Customer Information'!$C$1:$C$1001)</f>
        <v>Young adults</v>
      </c>
      <c r="G17" t="str">
        <f>_xlfn.XLOOKUP('Customer Information'!A17, 'Customer Information'!$A$1:$A$1001, 'Customer Information'!$D$1:$D$1001)</f>
        <v>No</v>
      </c>
      <c r="H17" t="str">
        <f>INDEX('Additional Product Info.'!$A$1:$C$1001, MATCH('Product Positioning'!$A17, 'Additional Product Info.'!$A$1:$A$1001, 0), MATCH('Product Positioning'!H$1, 'Additional Product Info.'!$A$1:$C$1, 0))</f>
        <v>End-cap</v>
      </c>
      <c r="I17" t="str">
        <f>INDEX('Additional Product Info.'!$A$1:$C$1001, MATCH('Product Positioning'!$A17, 'Additional Product Info.'!$A$1:$A$1001, 0), MATCH('Product Positioning'!I$1, 'Additional Product Info.'!$A$1:$C$1, 0))</f>
        <v>Clothing</v>
      </c>
      <c r="J17" t="str">
        <f>_xlfn.XLOOKUP(A17, $A$1:$A$1001, 'Additional Product Info.'!$D$1:$D$1001)</f>
        <v>No</v>
      </c>
      <c r="K17" s="1">
        <f t="shared" si="0"/>
        <v>29294.16</v>
      </c>
      <c r="L17" s="1">
        <f t="shared" si="1"/>
        <v>0.22000000000000064</v>
      </c>
      <c r="M17" t="str">
        <f>IF(L17&lt;=Statistics!$E$6,"Low Difference",IF('Product Positioning'!L17&gt;=Statistics!$E$4,"High Difference","Moderate Difference"))</f>
        <v>Low Difference</v>
      </c>
    </row>
    <row r="18" spans="1:13" x14ac:dyDescent="0.2">
      <c r="A18">
        <v>129906</v>
      </c>
      <c r="B18" s="1">
        <v>14.58</v>
      </c>
      <c r="C18" s="1">
        <v>14.49</v>
      </c>
      <c r="D18">
        <v>2089</v>
      </c>
      <c r="E18" t="str">
        <f>_xlfn.XLOOKUP(A18, 'Customer Information'!$A$1:$A$1001, 'Customer Information'!$B$1:$B$1001)</f>
        <v>Medium</v>
      </c>
      <c r="F18" t="str">
        <f>_xlfn.XLOOKUP(A18, 'Customer Information'!$A$1:$A$1001, 'Customer Information'!$C$1:$C$1001)</f>
        <v>Young adults</v>
      </c>
      <c r="G18" t="str">
        <f>_xlfn.XLOOKUP('Customer Information'!A18, 'Customer Information'!$A$1:$A$1001, 'Customer Information'!$D$1:$D$1001)</f>
        <v>No</v>
      </c>
      <c r="H18" t="str">
        <f>INDEX('Additional Product Info.'!$A$1:$C$1001, MATCH('Product Positioning'!$A18, 'Additional Product Info.'!$A$1:$A$1001, 0), MATCH('Product Positioning'!H$1, 'Additional Product Info.'!$A$1:$C$1, 0))</f>
        <v>Aisle</v>
      </c>
      <c r="I18" t="str">
        <f>INDEX('Additional Product Info.'!$A$1:$C$1001, MATCH('Product Positioning'!$A18, 'Additional Product Info.'!$A$1:$A$1001, 0), MATCH('Product Positioning'!I$1, 'Additional Product Info.'!$A$1:$C$1, 0))</f>
        <v>Food</v>
      </c>
      <c r="J18" t="str">
        <f>_xlfn.XLOOKUP(A18, $A$1:$A$1001, 'Additional Product Info.'!$D$1:$D$1001)</f>
        <v>No</v>
      </c>
      <c r="K18" s="1">
        <f t="shared" si="0"/>
        <v>30457.62</v>
      </c>
      <c r="L18" s="1">
        <f t="shared" si="1"/>
        <v>8.9999999999999858E-2</v>
      </c>
      <c r="M18" t="str">
        <f>IF(L18&lt;=Statistics!$E$6,"Low Difference",IF('Product Positioning'!L18&gt;=Statistics!$E$4,"High Difference","Moderate Difference"))</f>
        <v>Low Difference</v>
      </c>
    </row>
    <row r="19" spans="1:13" x14ac:dyDescent="0.2">
      <c r="A19">
        <v>195879</v>
      </c>
      <c r="B19" s="1">
        <v>21.03</v>
      </c>
      <c r="C19" s="1">
        <v>18.54</v>
      </c>
      <c r="D19">
        <v>2339</v>
      </c>
      <c r="E19" t="str">
        <f>_xlfn.XLOOKUP(A19, 'Customer Information'!$A$1:$A$1001, 'Customer Information'!$B$1:$B$1001)</f>
        <v>Medium</v>
      </c>
      <c r="F19" t="str">
        <f>_xlfn.XLOOKUP(A19, 'Customer Information'!$A$1:$A$1001, 'Customer Information'!$C$1:$C$1001)</f>
        <v>Young adults</v>
      </c>
      <c r="G19" t="str">
        <f>_xlfn.XLOOKUP('Customer Information'!A19, 'Customer Information'!$A$1:$A$1001, 'Customer Information'!$D$1:$D$1001)</f>
        <v>Yes</v>
      </c>
      <c r="H19" t="str">
        <f>INDEX('Additional Product Info.'!$A$1:$C$1001, MATCH('Product Positioning'!$A19, 'Additional Product Info.'!$A$1:$A$1001, 0), MATCH('Product Positioning'!H$1, 'Additional Product Info.'!$A$1:$C$1, 0))</f>
        <v>Front of Store</v>
      </c>
      <c r="I19" t="str">
        <f>INDEX('Additional Product Info.'!$A$1:$C$1001, MATCH('Product Positioning'!$A19, 'Additional Product Info.'!$A$1:$A$1001, 0), MATCH('Product Positioning'!I$1, 'Additional Product Info.'!$A$1:$C$1, 0))</f>
        <v>Food</v>
      </c>
      <c r="J19" t="str">
        <f>_xlfn.XLOOKUP(A19, $A$1:$A$1001, 'Additional Product Info.'!$D$1:$D$1001)</f>
        <v>Yes</v>
      </c>
      <c r="K19" s="1">
        <f t="shared" si="0"/>
        <v>49189.170000000006</v>
      </c>
      <c r="L19" s="1">
        <f t="shared" si="1"/>
        <v>2.490000000000002</v>
      </c>
      <c r="M19" t="str">
        <f>IF(L19&lt;=Statistics!$E$6,"Low Difference",IF('Product Positioning'!L19&gt;=Statistics!$E$4,"High Difference","Moderate Difference"))</f>
        <v>Moderate Difference</v>
      </c>
    </row>
    <row r="20" spans="1:13" x14ac:dyDescent="0.2">
      <c r="A20">
        <v>155050</v>
      </c>
      <c r="B20" s="1">
        <v>19.920000000000002</v>
      </c>
      <c r="C20" s="1">
        <v>14.93</v>
      </c>
      <c r="D20">
        <v>2321</v>
      </c>
      <c r="E20" t="str">
        <f>_xlfn.XLOOKUP(A20, 'Customer Information'!$A$1:$A$1001, 'Customer Information'!$B$1:$B$1001)</f>
        <v>High</v>
      </c>
      <c r="F20" t="str">
        <f>_xlfn.XLOOKUP(A20, 'Customer Information'!$A$1:$A$1001, 'Customer Information'!$C$1:$C$1001)</f>
        <v>College students</v>
      </c>
      <c r="G20" t="str">
        <f>_xlfn.XLOOKUP('Customer Information'!A20, 'Customer Information'!$A$1:$A$1001, 'Customer Information'!$D$1:$D$1001)</f>
        <v>No</v>
      </c>
      <c r="H20" t="str">
        <f>INDEX('Additional Product Info.'!$A$1:$C$1001, MATCH('Product Positioning'!$A20, 'Additional Product Info.'!$A$1:$A$1001, 0), MATCH('Product Positioning'!H$1, 'Additional Product Info.'!$A$1:$C$1, 0))</f>
        <v>Aisle</v>
      </c>
      <c r="I20" t="str">
        <f>INDEX('Additional Product Info.'!$A$1:$C$1001, MATCH('Product Positioning'!$A20, 'Additional Product Info.'!$A$1:$A$1001, 0), MATCH('Product Positioning'!I$1, 'Additional Product Info.'!$A$1:$C$1, 0))</f>
        <v>Clothing</v>
      </c>
      <c r="J20" t="str">
        <f>_xlfn.XLOOKUP(A20, $A$1:$A$1001, 'Additional Product Info.'!$D$1:$D$1001)</f>
        <v>Yes</v>
      </c>
      <c r="K20" s="1">
        <f t="shared" si="0"/>
        <v>46234.320000000007</v>
      </c>
      <c r="L20" s="1">
        <f t="shared" si="1"/>
        <v>4.990000000000002</v>
      </c>
      <c r="M20" t="str">
        <f>IF(L20&lt;=Statistics!$E$6,"Low Difference",IF('Product Positioning'!L20&gt;=Statistics!$E$4,"High Difference","Moderate Difference"))</f>
        <v>High Difference</v>
      </c>
    </row>
    <row r="21" spans="1:13" x14ac:dyDescent="0.2">
      <c r="A21">
        <v>194410</v>
      </c>
      <c r="B21" s="1">
        <v>36.200000000000003</v>
      </c>
      <c r="C21" s="1">
        <v>32.49</v>
      </c>
      <c r="D21">
        <v>669</v>
      </c>
      <c r="E21" t="str">
        <f>_xlfn.XLOOKUP(A21, 'Customer Information'!$A$1:$A$1001, 'Customer Information'!$B$1:$B$1001)</f>
        <v>Low</v>
      </c>
      <c r="F21" t="str">
        <f>_xlfn.XLOOKUP(A21, 'Customer Information'!$A$1:$A$1001, 'Customer Information'!$C$1:$C$1001)</f>
        <v>Young adults</v>
      </c>
      <c r="G21" t="str">
        <f>_xlfn.XLOOKUP('Customer Information'!A21, 'Customer Information'!$A$1:$A$1001, 'Customer Information'!$D$1:$D$1001)</f>
        <v>No</v>
      </c>
      <c r="H21" t="str">
        <f>INDEX('Additional Product Info.'!$A$1:$C$1001, MATCH('Product Positioning'!$A21, 'Additional Product Info.'!$A$1:$A$1001, 0), MATCH('Product Positioning'!H$1, 'Additional Product Info.'!$A$1:$C$1, 0))</f>
        <v>End-cap</v>
      </c>
      <c r="I21" t="str">
        <f>INDEX('Additional Product Info.'!$A$1:$C$1001, MATCH('Product Positioning'!$A21, 'Additional Product Info.'!$A$1:$A$1001, 0), MATCH('Product Positioning'!I$1, 'Additional Product Info.'!$A$1:$C$1, 0))</f>
        <v>Electronics</v>
      </c>
      <c r="J21" t="str">
        <f>_xlfn.XLOOKUP(A21, $A$1:$A$1001, 'Additional Product Info.'!$D$1:$D$1001)</f>
        <v>No</v>
      </c>
      <c r="K21" s="1">
        <f t="shared" si="0"/>
        <v>24217.800000000003</v>
      </c>
      <c r="L21" s="1">
        <f t="shared" si="1"/>
        <v>3.7100000000000009</v>
      </c>
      <c r="M21" t="str">
        <f>IF(L21&lt;=Statistics!$E$6,"Low Difference",IF('Product Positioning'!L21&gt;=Statistics!$E$4,"High Difference","Moderate Difference"))</f>
        <v>High Difference</v>
      </c>
    </row>
    <row r="22" spans="1:13" x14ac:dyDescent="0.2">
      <c r="A22">
        <v>141904</v>
      </c>
      <c r="B22" s="1">
        <v>27.36</v>
      </c>
      <c r="C22" s="1">
        <v>23.03</v>
      </c>
      <c r="D22">
        <v>1712</v>
      </c>
      <c r="E22" t="str">
        <f>_xlfn.XLOOKUP(A22, 'Customer Information'!$A$1:$A$1001, 'Customer Information'!$B$1:$B$1001)</f>
        <v>Medium</v>
      </c>
      <c r="F22" t="str">
        <f>_xlfn.XLOOKUP(A22, 'Customer Information'!$A$1:$A$1001, 'Customer Information'!$C$1:$C$1001)</f>
        <v>College students</v>
      </c>
      <c r="G22" t="str">
        <f>_xlfn.XLOOKUP('Customer Information'!A22, 'Customer Information'!$A$1:$A$1001, 'Customer Information'!$D$1:$D$1001)</f>
        <v>Yes</v>
      </c>
      <c r="H22" t="str">
        <f>INDEX('Additional Product Info.'!$A$1:$C$1001, MATCH('Product Positioning'!$A22, 'Additional Product Info.'!$A$1:$A$1001, 0), MATCH('Product Positioning'!H$1, 'Additional Product Info.'!$A$1:$C$1, 0))</f>
        <v>End-cap</v>
      </c>
      <c r="I22" t="str">
        <f>INDEX('Additional Product Info.'!$A$1:$C$1001, MATCH('Product Positioning'!$A22, 'Additional Product Info.'!$A$1:$A$1001, 0), MATCH('Product Positioning'!I$1, 'Additional Product Info.'!$A$1:$C$1, 0))</f>
        <v>Food</v>
      </c>
      <c r="J22" t="str">
        <f>_xlfn.XLOOKUP(A22, $A$1:$A$1001, 'Additional Product Info.'!$D$1:$D$1001)</f>
        <v>Yes</v>
      </c>
      <c r="K22" s="1">
        <f t="shared" si="0"/>
        <v>46840.32</v>
      </c>
      <c r="L22" s="1">
        <f t="shared" si="1"/>
        <v>4.3299999999999983</v>
      </c>
      <c r="M22" t="str">
        <f>IF(L22&lt;=Statistics!$E$6,"Low Difference",IF('Product Positioning'!L22&gt;=Statistics!$E$4,"High Difference","Moderate Difference"))</f>
        <v>High Difference</v>
      </c>
    </row>
    <row r="23" spans="1:13" x14ac:dyDescent="0.2">
      <c r="A23">
        <v>124981</v>
      </c>
      <c r="B23" s="1">
        <v>42.74</v>
      </c>
      <c r="C23" s="1">
        <v>40.29</v>
      </c>
      <c r="D23">
        <v>1832</v>
      </c>
      <c r="E23" t="str">
        <f>_xlfn.XLOOKUP(A23, 'Customer Information'!$A$1:$A$1001, 'Customer Information'!$B$1:$B$1001)</f>
        <v>Low</v>
      </c>
      <c r="F23" t="str">
        <f>_xlfn.XLOOKUP(A23, 'Customer Information'!$A$1:$A$1001, 'Customer Information'!$C$1:$C$1001)</f>
        <v>Families</v>
      </c>
      <c r="G23" t="str">
        <f>_xlfn.XLOOKUP('Customer Information'!A23, 'Customer Information'!$A$1:$A$1001, 'Customer Information'!$D$1:$D$1001)</f>
        <v>No</v>
      </c>
      <c r="H23" t="str">
        <f>INDEX('Additional Product Info.'!$A$1:$C$1001, MATCH('Product Positioning'!$A23, 'Additional Product Info.'!$A$1:$A$1001, 0), MATCH('Product Positioning'!H$1, 'Additional Product Info.'!$A$1:$C$1, 0))</f>
        <v>Front of Store</v>
      </c>
      <c r="I23" t="str">
        <f>INDEX('Additional Product Info.'!$A$1:$C$1001, MATCH('Product Positioning'!$A23, 'Additional Product Info.'!$A$1:$A$1001, 0), MATCH('Product Positioning'!I$1, 'Additional Product Info.'!$A$1:$C$1, 0))</f>
        <v>Clothing</v>
      </c>
      <c r="J23" t="str">
        <f>_xlfn.XLOOKUP(A23, $A$1:$A$1001, 'Additional Product Info.'!$D$1:$D$1001)</f>
        <v>Yes</v>
      </c>
      <c r="K23" s="1">
        <f t="shared" si="0"/>
        <v>78299.680000000008</v>
      </c>
      <c r="L23" s="1">
        <f t="shared" si="1"/>
        <v>2.4500000000000028</v>
      </c>
      <c r="M23" t="str">
        <f>IF(L23&lt;=Statistics!$E$6,"Low Difference",IF('Product Positioning'!L23&gt;=Statistics!$E$4,"High Difference","Moderate Difference"))</f>
        <v>Moderate Difference</v>
      </c>
    </row>
    <row r="24" spans="1:13" x14ac:dyDescent="0.2">
      <c r="A24">
        <v>161909</v>
      </c>
      <c r="B24" s="1">
        <v>22.16</v>
      </c>
      <c r="C24" s="1">
        <v>20.85</v>
      </c>
      <c r="D24">
        <v>1290</v>
      </c>
      <c r="E24" t="str">
        <f>_xlfn.XLOOKUP(A24, 'Customer Information'!$A$1:$A$1001, 'Customer Information'!$B$1:$B$1001)</f>
        <v>Medium</v>
      </c>
      <c r="F24" t="str">
        <f>_xlfn.XLOOKUP(A24, 'Customer Information'!$A$1:$A$1001, 'Customer Information'!$C$1:$C$1001)</f>
        <v>Young adults</v>
      </c>
      <c r="G24" t="str">
        <f>_xlfn.XLOOKUP('Customer Information'!A24, 'Customer Information'!$A$1:$A$1001, 'Customer Information'!$D$1:$D$1001)</f>
        <v>Yes</v>
      </c>
      <c r="H24" t="str">
        <f>INDEX('Additional Product Info.'!$A$1:$C$1001, MATCH('Product Positioning'!$A24, 'Additional Product Info.'!$A$1:$A$1001, 0), MATCH('Product Positioning'!H$1, 'Additional Product Info.'!$A$1:$C$1, 0))</f>
        <v>Aisle</v>
      </c>
      <c r="I24" t="str">
        <f>INDEX('Additional Product Info.'!$A$1:$C$1001, MATCH('Product Positioning'!$A24, 'Additional Product Info.'!$A$1:$A$1001, 0), MATCH('Product Positioning'!I$1, 'Additional Product Info.'!$A$1:$C$1, 0))</f>
        <v>Electronics</v>
      </c>
      <c r="J24" t="str">
        <f>_xlfn.XLOOKUP(A24, $A$1:$A$1001, 'Additional Product Info.'!$D$1:$D$1001)</f>
        <v>No</v>
      </c>
      <c r="K24" s="1">
        <f t="shared" si="0"/>
        <v>28586.400000000001</v>
      </c>
      <c r="L24" s="1">
        <f t="shared" si="1"/>
        <v>1.3099999999999987</v>
      </c>
      <c r="M24" t="str">
        <f>IF(L24&lt;=Statistics!$E$6,"Low Difference",IF('Product Positioning'!L24&gt;=Statistics!$E$4,"High Difference","Moderate Difference"))</f>
        <v>Moderate Difference</v>
      </c>
    </row>
    <row r="25" spans="1:13" x14ac:dyDescent="0.2">
      <c r="A25">
        <v>129152</v>
      </c>
      <c r="B25" s="1">
        <v>48.51</v>
      </c>
      <c r="C25" s="1">
        <v>47.56</v>
      </c>
      <c r="D25">
        <v>2356</v>
      </c>
      <c r="E25" t="str">
        <f>_xlfn.XLOOKUP(A25, 'Customer Information'!$A$1:$A$1001, 'Customer Information'!$B$1:$B$1001)</f>
        <v>Low</v>
      </c>
      <c r="F25" t="str">
        <f>_xlfn.XLOOKUP(A25, 'Customer Information'!$A$1:$A$1001, 'Customer Information'!$C$1:$C$1001)</f>
        <v>Seniors</v>
      </c>
      <c r="G25" t="str">
        <f>_xlfn.XLOOKUP('Customer Information'!A25, 'Customer Information'!$A$1:$A$1001, 'Customer Information'!$D$1:$D$1001)</f>
        <v>No</v>
      </c>
      <c r="H25" t="str">
        <f>INDEX('Additional Product Info.'!$A$1:$C$1001, MATCH('Product Positioning'!$A25, 'Additional Product Info.'!$A$1:$A$1001, 0), MATCH('Product Positioning'!H$1, 'Additional Product Info.'!$A$1:$C$1, 0))</f>
        <v>End-cap</v>
      </c>
      <c r="I25" t="str">
        <f>INDEX('Additional Product Info.'!$A$1:$C$1001, MATCH('Product Positioning'!$A25, 'Additional Product Info.'!$A$1:$A$1001, 0), MATCH('Product Positioning'!I$1, 'Additional Product Info.'!$A$1:$C$1, 0))</f>
        <v>Electronics</v>
      </c>
      <c r="J25" t="str">
        <f>_xlfn.XLOOKUP(A25, $A$1:$A$1001, 'Additional Product Info.'!$D$1:$D$1001)</f>
        <v>No</v>
      </c>
      <c r="K25" s="1">
        <f t="shared" si="0"/>
        <v>114289.56</v>
      </c>
      <c r="L25" s="1">
        <f t="shared" si="1"/>
        <v>0.94999999999999574</v>
      </c>
      <c r="M25" t="str">
        <f>IF(L25&lt;=Statistics!$E$6,"Low Difference",IF('Product Positioning'!L25&gt;=Statistics!$E$4,"High Difference","Moderate Difference"))</f>
        <v>Low Difference</v>
      </c>
    </row>
    <row r="26" spans="1:13" x14ac:dyDescent="0.2">
      <c r="A26">
        <v>183243</v>
      </c>
      <c r="B26" s="1">
        <v>39.32</v>
      </c>
      <c r="C26" s="1">
        <v>37.119999999999997</v>
      </c>
      <c r="D26">
        <v>1524</v>
      </c>
      <c r="E26" t="str">
        <f>_xlfn.XLOOKUP(A26, 'Customer Information'!$A$1:$A$1001, 'Customer Information'!$B$1:$B$1001)</f>
        <v>Low</v>
      </c>
      <c r="F26" t="str">
        <f>_xlfn.XLOOKUP(A26, 'Customer Information'!$A$1:$A$1001, 'Customer Information'!$C$1:$C$1001)</f>
        <v>Families</v>
      </c>
      <c r="G26" t="str">
        <f>_xlfn.XLOOKUP('Customer Information'!A26, 'Customer Information'!$A$1:$A$1001, 'Customer Information'!$D$1:$D$1001)</f>
        <v>Yes</v>
      </c>
      <c r="H26" t="str">
        <f>INDEX('Additional Product Info.'!$A$1:$C$1001, MATCH('Product Positioning'!$A26, 'Additional Product Info.'!$A$1:$A$1001, 0), MATCH('Product Positioning'!H$1, 'Additional Product Info.'!$A$1:$C$1, 0))</f>
        <v>Front of Store</v>
      </c>
      <c r="I26" t="str">
        <f>INDEX('Additional Product Info.'!$A$1:$C$1001, MATCH('Product Positioning'!$A26, 'Additional Product Info.'!$A$1:$A$1001, 0), MATCH('Product Positioning'!I$1, 'Additional Product Info.'!$A$1:$C$1, 0))</f>
        <v>Food</v>
      </c>
      <c r="J26" t="str">
        <f>_xlfn.XLOOKUP(A26, $A$1:$A$1001, 'Additional Product Info.'!$D$1:$D$1001)</f>
        <v>No</v>
      </c>
      <c r="K26" s="1">
        <f t="shared" si="0"/>
        <v>59923.68</v>
      </c>
      <c r="L26" s="1">
        <f t="shared" si="1"/>
        <v>2.2000000000000028</v>
      </c>
      <c r="M26" t="str">
        <f>IF(L26&lt;=Statistics!$E$6,"Low Difference",IF('Product Positioning'!L26&gt;=Statistics!$E$4,"High Difference","Moderate Difference"))</f>
        <v>Moderate Difference</v>
      </c>
    </row>
    <row r="27" spans="1:13" x14ac:dyDescent="0.2">
      <c r="A27">
        <v>198248</v>
      </c>
      <c r="B27" s="1">
        <v>27.81</v>
      </c>
      <c r="C27" s="1">
        <v>23.4</v>
      </c>
      <c r="D27">
        <v>1644</v>
      </c>
      <c r="E27" t="str">
        <f>_xlfn.XLOOKUP(A27, 'Customer Information'!$A$1:$A$1001, 'Customer Information'!$B$1:$B$1001)</f>
        <v>High</v>
      </c>
      <c r="F27" t="str">
        <f>_xlfn.XLOOKUP(A27, 'Customer Information'!$A$1:$A$1001, 'Customer Information'!$C$1:$C$1001)</f>
        <v>Seniors</v>
      </c>
      <c r="G27" t="str">
        <f>_xlfn.XLOOKUP('Customer Information'!A27, 'Customer Information'!$A$1:$A$1001, 'Customer Information'!$D$1:$D$1001)</f>
        <v>Yes</v>
      </c>
      <c r="H27" t="str">
        <f>INDEX('Additional Product Info.'!$A$1:$C$1001, MATCH('Product Positioning'!$A27, 'Additional Product Info.'!$A$1:$A$1001, 0), MATCH('Product Positioning'!H$1, 'Additional Product Info.'!$A$1:$C$1, 0))</f>
        <v>Front of Store</v>
      </c>
      <c r="I27" t="str">
        <f>INDEX('Additional Product Info.'!$A$1:$C$1001, MATCH('Product Positioning'!$A27, 'Additional Product Info.'!$A$1:$A$1001, 0), MATCH('Product Positioning'!I$1, 'Additional Product Info.'!$A$1:$C$1, 0))</f>
        <v>Clothing</v>
      </c>
      <c r="J27" t="str">
        <f>_xlfn.XLOOKUP(A27, $A$1:$A$1001, 'Additional Product Info.'!$D$1:$D$1001)</f>
        <v>No</v>
      </c>
      <c r="K27" s="1">
        <f t="shared" si="0"/>
        <v>45719.64</v>
      </c>
      <c r="L27" s="1">
        <f t="shared" si="1"/>
        <v>4.41</v>
      </c>
      <c r="M27" t="str">
        <f>IF(L27&lt;=Statistics!$E$6,"Low Difference",IF('Product Positioning'!L27&gt;=Statistics!$E$4,"High Difference","Moderate Difference"))</f>
        <v>High Difference</v>
      </c>
    </row>
    <row r="28" spans="1:13" x14ac:dyDescent="0.2">
      <c r="A28">
        <v>191230</v>
      </c>
      <c r="B28" s="1">
        <v>49.95</v>
      </c>
      <c r="C28" s="1">
        <v>45.65</v>
      </c>
      <c r="D28">
        <v>966</v>
      </c>
      <c r="E28" t="str">
        <f>_xlfn.XLOOKUP(A28, 'Customer Information'!$A$1:$A$1001, 'Customer Information'!$B$1:$B$1001)</f>
        <v>High</v>
      </c>
      <c r="F28" t="str">
        <f>_xlfn.XLOOKUP(A28, 'Customer Information'!$A$1:$A$1001, 'Customer Information'!$C$1:$C$1001)</f>
        <v>Young adults</v>
      </c>
      <c r="G28" t="str">
        <f>_xlfn.XLOOKUP('Customer Information'!A28, 'Customer Information'!$A$1:$A$1001, 'Customer Information'!$D$1:$D$1001)</f>
        <v>No</v>
      </c>
      <c r="H28" t="str">
        <f>INDEX('Additional Product Info.'!$A$1:$C$1001, MATCH('Product Positioning'!$A28, 'Additional Product Info.'!$A$1:$A$1001, 0), MATCH('Product Positioning'!H$1, 'Additional Product Info.'!$A$1:$C$1, 0))</f>
        <v>End-cap</v>
      </c>
      <c r="I28" t="str">
        <f>INDEX('Additional Product Info.'!$A$1:$C$1001, MATCH('Product Positioning'!$A28, 'Additional Product Info.'!$A$1:$A$1001, 0), MATCH('Product Positioning'!I$1, 'Additional Product Info.'!$A$1:$C$1, 0))</f>
        <v>Clothing</v>
      </c>
      <c r="J28" t="str">
        <f>_xlfn.XLOOKUP(A28, $A$1:$A$1001, 'Additional Product Info.'!$D$1:$D$1001)</f>
        <v>No</v>
      </c>
      <c r="K28" s="1">
        <f t="shared" si="0"/>
        <v>48251.700000000004</v>
      </c>
      <c r="L28" s="1">
        <f t="shared" si="1"/>
        <v>4.3000000000000043</v>
      </c>
      <c r="M28" t="str">
        <f>IF(L28&lt;=Statistics!$E$6,"Low Difference",IF('Product Positioning'!L28&gt;=Statistics!$E$4,"High Difference","Moderate Difference"))</f>
        <v>High Difference</v>
      </c>
    </row>
    <row r="29" spans="1:13" x14ac:dyDescent="0.2">
      <c r="A29">
        <v>187234</v>
      </c>
      <c r="B29" s="1">
        <v>39.270000000000003</v>
      </c>
      <c r="C29" s="1">
        <v>35.549999999999997</v>
      </c>
      <c r="D29">
        <v>2575</v>
      </c>
      <c r="E29" t="str">
        <f>_xlfn.XLOOKUP(A29, 'Customer Information'!$A$1:$A$1001, 'Customer Information'!$B$1:$B$1001)</f>
        <v>Low</v>
      </c>
      <c r="F29" t="str">
        <f>_xlfn.XLOOKUP(A29, 'Customer Information'!$A$1:$A$1001, 'Customer Information'!$C$1:$C$1001)</f>
        <v>College students</v>
      </c>
      <c r="G29" t="str">
        <f>_xlfn.XLOOKUP('Customer Information'!A29, 'Customer Information'!$A$1:$A$1001, 'Customer Information'!$D$1:$D$1001)</f>
        <v>Yes</v>
      </c>
      <c r="H29" t="str">
        <f>INDEX('Additional Product Info.'!$A$1:$C$1001, MATCH('Product Positioning'!$A29, 'Additional Product Info.'!$A$1:$A$1001, 0), MATCH('Product Positioning'!H$1, 'Additional Product Info.'!$A$1:$C$1, 0))</f>
        <v>Front of Store</v>
      </c>
      <c r="I29" t="str">
        <f>INDEX('Additional Product Info.'!$A$1:$C$1001, MATCH('Product Positioning'!$A29, 'Additional Product Info.'!$A$1:$A$1001, 0), MATCH('Product Positioning'!I$1, 'Additional Product Info.'!$A$1:$C$1, 0))</f>
        <v>Clothing</v>
      </c>
      <c r="J29" t="str">
        <f>_xlfn.XLOOKUP(A29, $A$1:$A$1001, 'Additional Product Info.'!$D$1:$D$1001)</f>
        <v>Yes</v>
      </c>
      <c r="K29" s="1">
        <f t="shared" si="0"/>
        <v>101120.25000000001</v>
      </c>
      <c r="L29" s="1">
        <f t="shared" si="1"/>
        <v>3.720000000000006</v>
      </c>
      <c r="M29" t="str">
        <f>IF(L29&lt;=Statistics!$E$6,"Low Difference",IF('Product Positioning'!L29&gt;=Statistics!$E$4,"High Difference","Moderate Difference"))</f>
        <v>High Difference</v>
      </c>
    </row>
    <row r="30" spans="1:13" x14ac:dyDescent="0.2">
      <c r="A30">
        <v>148888</v>
      </c>
      <c r="B30" s="1">
        <v>16.920000000000002</v>
      </c>
      <c r="C30" s="1">
        <v>14.44</v>
      </c>
      <c r="D30">
        <v>2774</v>
      </c>
      <c r="E30" t="str">
        <f>_xlfn.XLOOKUP(A30, 'Customer Information'!$A$1:$A$1001, 'Customer Information'!$B$1:$B$1001)</f>
        <v>Low</v>
      </c>
      <c r="F30" t="str">
        <f>_xlfn.XLOOKUP(A30, 'Customer Information'!$A$1:$A$1001, 'Customer Information'!$C$1:$C$1001)</f>
        <v>Families</v>
      </c>
      <c r="G30" t="str">
        <f>_xlfn.XLOOKUP('Customer Information'!A30, 'Customer Information'!$A$1:$A$1001, 'Customer Information'!$D$1:$D$1001)</f>
        <v>No</v>
      </c>
      <c r="H30" t="str">
        <f>INDEX('Additional Product Info.'!$A$1:$C$1001, MATCH('Product Positioning'!$A30, 'Additional Product Info.'!$A$1:$A$1001, 0), MATCH('Product Positioning'!H$1, 'Additional Product Info.'!$A$1:$C$1, 0))</f>
        <v>Front of Store</v>
      </c>
      <c r="I30" t="str">
        <f>INDEX('Additional Product Info.'!$A$1:$C$1001, MATCH('Product Positioning'!$A30, 'Additional Product Info.'!$A$1:$A$1001, 0), MATCH('Product Positioning'!I$1, 'Additional Product Info.'!$A$1:$C$1, 0))</f>
        <v>Clothing</v>
      </c>
      <c r="J30" t="str">
        <f>_xlfn.XLOOKUP(A30, $A$1:$A$1001, 'Additional Product Info.'!$D$1:$D$1001)</f>
        <v>No</v>
      </c>
      <c r="K30" s="1">
        <f t="shared" si="0"/>
        <v>46936.08</v>
      </c>
      <c r="L30" s="1">
        <f t="shared" si="1"/>
        <v>2.4800000000000022</v>
      </c>
      <c r="M30" t="str">
        <f>IF(L30&lt;=Statistics!$E$6,"Low Difference",IF('Product Positioning'!L30&gt;=Statistics!$E$4,"High Difference","Moderate Difference"))</f>
        <v>Moderate Difference</v>
      </c>
    </row>
    <row r="31" spans="1:13" x14ac:dyDescent="0.2">
      <c r="A31">
        <v>110805</v>
      </c>
      <c r="B31" s="1">
        <v>35.909999999999997</v>
      </c>
      <c r="C31" s="1">
        <v>34.74</v>
      </c>
      <c r="D31">
        <v>2477</v>
      </c>
      <c r="E31" t="str">
        <f>_xlfn.XLOOKUP(A31, 'Customer Information'!$A$1:$A$1001, 'Customer Information'!$B$1:$B$1001)</f>
        <v>Medium</v>
      </c>
      <c r="F31" t="str">
        <f>_xlfn.XLOOKUP(A31, 'Customer Information'!$A$1:$A$1001, 'Customer Information'!$C$1:$C$1001)</f>
        <v>Young adults</v>
      </c>
      <c r="G31" t="str">
        <f>_xlfn.XLOOKUP('Customer Information'!A31, 'Customer Information'!$A$1:$A$1001, 'Customer Information'!$D$1:$D$1001)</f>
        <v>Yes</v>
      </c>
      <c r="H31" t="str">
        <f>INDEX('Additional Product Info.'!$A$1:$C$1001, MATCH('Product Positioning'!$A31, 'Additional Product Info.'!$A$1:$A$1001, 0), MATCH('Product Positioning'!H$1, 'Additional Product Info.'!$A$1:$C$1, 0))</f>
        <v>Front of Store</v>
      </c>
      <c r="I31" t="str">
        <f>INDEX('Additional Product Info.'!$A$1:$C$1001, MATCH('Product Positioning'!$A31, 'Additional Product Info.'!$A$1:$A$1001, 0), MATCH('Product Positioning'!I$1, 'Additional Product Info.'!$A$1:$C$1, 0))</f>
        <v>Food</v>
      </c>
      <c r="J31" t="str">
        <f>_xlfn.XLOOKUP(A31, $A$1:$A$1001, 'Additional Product Info.'!$D$1:$D$1001)</f>
        <v>No</v>
      </c>
      <c r="K31" s="1">
        <f t="shared" si="0"/>
        <v>88949.069999999992</v>
      </c>
      <c r="L31" s="1">
        <f t="shared" si="1"/>
        <v>1.1699999999999946</v>
      </c>
      <c r="M31" t="str">
        <f>IF(L31&lt;=Statistics!$E$6,"Low Difference",IF('Product Positioning'!L31&gt;=Statistics!$E$4,"High Difference","Moderate Difference"))</f>
        <v>Moderate Difference</v>
      </c>
    </row>
    <row r="32" spans="1:13" x14ac:dyDescent="0.2">
      <c r="A32">
        <v>179801</v>
      </c>
      <c r="B32" s="1">
        <v>46.81</v>
      </c>
      <c r="C32" s="1">
        <v>43.04</v>
      </c>
      <c r="D32">
        <v>2608</v>
      </c>
      <c r="E32" t="str">
        <f>_xlfn.XLOOKUP(A32, 'Customer Information'!$A$1:$A$1001, 'Customer Information'!$B$1:$B$1001)</f>
        <v>Low</v>
      </c>
      <c r="F32" t="str">
        <f>_xlfn.XLOOKUP(A32, 'Customer Information'!$A$1:$A$1001, 'Customer Information'!$C$1:$C$1001)</f>
        <v>College students</v>
      </c>
      <c r="G32" t="str">
        <f>_xlfn.XLOOKUP('Customer Information'!A32, 'Customer Information'!$A$1:$A$1001, 'Customer Information'!$D$1:$D$1001)</f>
        <v>No</v>
      </c>
      <c r="H32" t="str">
        <f>INDEX('Additional Product Info.'!$A$1:$C$1001, MATCH('Product Positioning'!$A32, 'Additional Product Info.'!$A$1:$A$1001, 0), MATCH('Product Positioning'!H$1, 'Additional Product Info.'!$A$1:$C$1, 0))</f>
        <v>Front of Store</v>
      </c>
      <c r="I32" t="str">
        <f>INDEX('Additional Product Info.'!$A$1:$C$1001, MATCH('Product Positioning'!$A32, 'Additional Product Info.'!$A$1:$A$1001, 0), MATCH('Product Positioning'!I$1, 'Additional Product Info.'!$A$1:$C$1, 0))</f>
        <v>Electronics</v>
      </c>
      <c r="J32" t="str">
        <f>_xlfn.XLOOKUP(A32, $A$1:$A$1001, 'Additional Product Info.'!$D$1:$D$1001)</f>
        <v>Yes</v>
      </c>
      <c r="K32" s="1">
        <f t="shared" si="0"/>
        <v>122080.48000000001</v>
      </c>
      <c r="L32" s="1">
        <f t="shared" si="1"/>
        <v>3.7700000000000031</v>
      </c>
      <c r="M32" t="str">
        <f>IF(L32&lt;=Statistics!$E$6,"Low Difference",IF('Product Positioning'!L32&gt;=Statistics!$E$4,"High Difference","Moderate Difference"))</f>
        <v>High Difference</v>
      </c>
    </row>
    <row r="33" spans="1:13" x14ac:dyDescent="0.2">
      <c r="A33">
        <v>134927</v>
      </c>
      <c r="B33" s="1">
        <v>6.1</v>
      </c>
      <c r="C33" s="1">
        <v>5.37</v>
      </c>
      <c r="D33">
        <v>2252</v>
      </c>
      <c r="E33" t="str">
        <f>_xlfn.XLOOKUP(A33, 'Customer Information'!$A$1:$A$1001, 'Customer Information'!$B$1:$B$1001)</f>
        <v>High</v>
      </c>
      <c r="F33" t="str">
        <f>_xlfn.XLOOKUP(A33, 'Customer Information'!$A$1:$A$1001, 'Customer Information'!$C$1:$C$1001)</f>
        <v>Families</v>
      </c>
      <c r="G33" t="str">
        <f>_xlfn.XLOOKUP('Customer Information'!A33, 'Customer Information'!$A$1:$A$1001, 'Customer Information'!$D$1:$D$1001)</f>
        <v>Yes</v>
      </c>
      <c r="H33" t="str">
        <f>INDEX('Additional Product Info.'!$A$1:$C$1001, MATCH('Product Positioning'!$A33, 'Additional Product Info.'!$A$1:$A$1001, 0), MATCH('Product Positioning'!H$1, 'Additional Product Info.'!$A$1:$C$1, 0))</f>
        <v>Aisle</v>
      </c>
      <c r="I33" t="str">
        <f>INDEX('Additional Product Info.'!$A$1:$C$1001, MATCH('Product Positioning'!$A33, 'Additional Product Info.'!$A$1:$A$1001, 0), MATCH('Product Positioning'!I$1, 'Additional Product Info.'!$A$1:$C$1, 0))</f>
        <v>Electronics</v>
      </c>
      <c r="J33" t="str">
        <f>_xlfn.XLOOKUP(A33, $A$1:$A$1001, 'Additional Product Info.'!$D$1:$D$1001)</f>
        <v>Yes</v>
      </c>
      <c r="K33" s="1">
        <f t="shared" si="0"/>
        <v>13737.199999999999</v>
      </c>
      <c r="L33" s="1">
        <f t="shared" si="1"/>
        <v>0.72999999999999954</v>
      </c>
      <c r="M33" t="str">
        <f>IF(L33&lt;=Statistics!$E$6,"Low Difference",IF('Product Positioning'!L33&gt;=Statistics!$E$4,"High Difference","Moderate Difference"))</f>
        <v>Low Difference</v>
      </c>
    </row>
    <row r="34" spans="1:13" x14ac:dyDescent="0.2">
      <c r="A34">
        <v>123150</v>
      </c>
      <c r="B34" s="1">
        <v>37.03</v>
      </c>
      <c r="C34" s="1">
        <v>34.9</v>
      </c>
      <c r="D34">
        <v>2074</v>
      </c>
      <c r="E34" t="str">
        <f>_xlfn.XLOOKUP(A34, 'Customer Information'!$A$1:$A$1001, 'Customer Information'!$B$1:$B$1001)</f>
        <v>Medium</v>
      </c>
      <c r="F34" t="str">
        <f>_xlfn.XLOOKUP(A34, 'Customer Information'!$A$1:$A$1001, 'Customer Information'!$C$1:$C$1001)</f>
        <v>Seniors</v>
      </c>
      <c r="G34" t="str">
        <f>_xlfn.XLOOKUP('Customer Information'!A34, 'Customer Information'!$A$1:$A$1001, 'Customer Information'!$D$1:$D$1001)</f>
        <v>Yes</v>
      </c>
      <c r="H34" t="str">
        <f>INDEX('Additional Product Info.'!$A$1:$C$1001, MATCH('Product Positioning'!$A34, 'Additional Product Info.'!$A$1:$A$1001, 0), MATCH('Product Positioning'!H$1, 'Additional Product Info.'!$A$1:$C$1, 0))</f>
        <v>End-cap</v>
      </c>
      <c r="I34" t="str">
        <f>INDEX('Additional Product Info.'!$A$1:$C$1001, MATCH('Product Positioning'!$A34, 'Additional Product Info.'!$A$1:$A$1001, 0), MATCH('Product Positioning'!I$1, 'Additional Product Info.'!$A$1:$C$1, 0))</f>
        <v>Electronics</v>
      </c>
      <c r="J34" t="str">
        <f>_xlfn.XLOOKUP(A34, $A$1:$A$1001, 'Additional Product Info.'!$D$1:$D$1001)</f>
        <v>No</v>
      </c>
      <c r="K34" s="1">
        <f t="shared" si="0"/>
        <v>76800.22</v>
      </c>
      <c r="L34" s="1">
        <f t="shared" si="1"/>
        <v>2.1300000000000026</v>
      </c>
      <c r="M34" t="str">
        <f>IF(L34&lt;=Statistics!$E$6,"Low Difference",IF('Product Positioning'!L34&gt;=Statistics!$E$4,"High Difference","Moderate Difference"))</f>
        <v>Moderate Difference</v>
      </c>
    </row>
    <row r="35" spans="1:13" x14ac:dyDescent="0.2">
      <c r="A35">
        <v>159145</v>
      </c>
      <c r="B35" s="1">
        <v>19.010000000000002</v>
      </c>
      <c r="C35" s="1">
        <v>18.27</v>
      </c>
      <c r="D35">
        <v>2579</v>
      </c>
      <c r="E35" t="str">
        <f>_xlfn.XLOOKUP(A35, 'Customer Information'!$A$1:$A$1001, 'Customer Information'!$B$1:$B$1001)</f>
        <v>High</v>
      </c>
      <c r="F35" t="str">
        <f>_xlfn.XLOOKUP(A35, 'Customer Information'!$A$1:$A$1001, 'Customer Information'!$C$1:$C$1001)</f>
        <v>Seniors</v>
      </c>
      <c r="G35" t="str">
        <f>_xlfn.XLOOKUP('Customer Information'!A35, 'Customer Information'!$A$1:$A$1001, 'Customer Information'!$D$1:$D$1001)</f>
        <v>Yes</v>
      </c>
      <c r="H35" t="str">
        <f>INDEX('Additional Product Info.'!$A$1:$C$1001, MATCH('Product Positioning'!$A35, 'Additional Product Info.'!$A$1:$A$1001, 0), MATCH('Product Positioning'!H$1, 'Additional Product Info.'!$A$1:$C$1, 0))</f>
        <v>End-cap</v>
      </c>
      <c r="I35" t="str">
        <f>INDEX('Additional Product Info.'!$A$1:$C$1001, MATCH('Product Positioning'!$A35, 'Additional Product Info.'!$A$1:$A$1001, 0), MATCH('Product Positioning'!I$1, 'Additional Product Info.'!$A$1:$C$1, 0))</f>
        <v>Electronics</v>
      </c>
      <c r="J35" t="str">
        <f>_xlfn.XLOOKUP(A35, $A$1:$A$1001, 'Additional Product Info.'!$D$1:$D$1001)</f>
        <v>No</v>
      </c>
      <c r="K35" s="1">
        <f t="shared" si="0"/>
        <v>49026.79</v>
      </c>
      <c r="L35" s="1">
        <f t="shared" si="1"/>
        <v>0.74000000000000199</v>
      </c>
      <c r="M35" t="str">
        <f>IF(L35&lt;=Statistics!$E$6,"Low Difference",IF('Product Positioning'!L35&gt;=Statistics!$E$4,"High Difference","Moderate Difference"))</f>
        <v>Low Difference</v>
      </c>
    </row>
    <row r="36" spans="1:13" x14ac:dyDescent="0.2">
      <c r="A36">
        <v>172364</v>
      </c>
      <c r="B36" s="1">
        <v>12.3</v>
      </c>
      <c r="C36" s="1">
        <v>10.3</v>
      </c>
      <c r="D36">
        <v>2931</v>
      </c>
      <c r="E36" t="str">
        <f>_xlfn.XLOOKUP(A36, 'Customer Information'!$A$1:$A$1001, 'Customer Information'!$B$1:$B$1001)</f>
        <v>High</v>
      </c>
      <c r="F36" t="str">
        <f>_xlfn.XLOOKUP(A36, 'Customer Information'!$A$1:$A$1001, 'Customer Information'!$C$1:$C$1001)</f>
        <v>College students</v>
      </c>
      <c r="G36" t="str">
        <f>_xlfn.XLOOKUP('Customer Information'!A36, 'Customer Information'!$A$1:$A$1001, 'Customer Information'!$D$1:$D$1001)</f>
        <v>Yes</v>
      </c>
      <c r="H36" t="str">
        <f>INDEX('Additional Product Info.'!$A$1:$C$1001, MATCH('Product Positioning'!$A36, 'Additional Product Info.'!$A$1:$A$1001, 0), MATCH('Product Positioning'!H$1, 'Additional Product Info.'!$A$1:$C$1, 0))</f>
        <v>Aisle</v>
      </c>
      <c r="I36" t="str">
        <f>INDEX('Additional Product Info.'!$A$1:$C$1001, MATCH('Product Positioning'!$A36, 'Additional Product Info.'!$A$1:$A$1001, 0), MATCH('Product Positioning'!I$1, 'Additional Product Info.'!$A$1:$C$1, 0))</f>
        <v>Clothing</v>
      </c>
      <c r="J36" t="str">
        <f>_xlfn.XLOOKUP(A36, $A$1:$A$1001, 'Additional Product Info.'!$D$1:$D$1001)</f>
        <v>No</v>
      </c>
      <c r="K36" s="1">
        <f t="shared" si="0"/>
        <v>36051.300000000003</v>
      </c>
      <c r="L36" s="1">
        <f t="shared" si="1"/>
        <v>2</v>
      </c>
      <c r="M36" t="str">
        <f>IF(L36&lt;=Statistics!$E$6,"Low Difference",IF('Product Positioning'!L36&gt;=Statistics!$E$4,"High Difference","Moderate Difference"))</f>
        <v>Moderate Difference</v>
      </c>
    </row>
    <row r="37" spans="1:13" x14ac:dyDescent="0.2">
      <c r="A37">
        <v>178281</v>
      </c>
      <c r="B37" s="1">
        <v>11.64</v>
      </c>
      <c r="C37" s="1">
        <v>7.89</v>
      </c>
      <c r="D37">
        <v>1145</v>
      </c>
      <c r="E37" t="str">
        <f>_xlfn.XLOOKUP(A37, 'Customer Information'!$A$1:$A$1001, 'Customer Information'!$B$1:$B$1001)</f>
        <v>Low</v>
      </c>
      <c r="F37" t="str">
        <f>_xlfn.XLOOKUP(A37, 'Customer Information'!$A$1:$A$1001, 'Customer Information'!$C$1:$C$1001)</f>
        <v>College students</v>
      </c>
      <c r="G37" t="str">
        <f>_xlfn.XLOOKUP('Customer Information'!A37, 'Customer Information'!$A$1:$A$1001, 'Customer Information'!$D$1:$D$1001)</f>
        <v>No</v>
      </c>
      <c r="H37" t="str">
        <f>INDEX('Additional Product Info.'!$A$1:$C$1001, MATCH('Product Positioning'!$A37, 'Additional Product Info.'!$A$1:$A$1001, 0), MATCH('Product Positioning'!H$1, 'Additional Product Info.'!$A$1:$C$1, 0))</f>
        <v>End-cap</v>
      </c>
      <c r="I37" t="str">
        <f>INDEX('Additional Product Info.'!$A$1:$C$1001, MATCH('Product Positioning'!$A37, 'Additional Product Info.'!$A$1:$A$1001, 0), MATCH('Product Positioning'!I$1, 'Additional Product Info.'!$A$1:$C$1, 0))</f>
        <v>Electronics</v>
      </c>
      <c r="J37" t="str">
        <f>_xlfn.XLOOKUP(A37, $A$1:$A$1001, 'Additional Product Info.'!$D$1:$D$1001)</f>
        <v>Yes</v>
      </c>
      <c r="K37" s="1">
        <f t="shared" si="0"/>
        <v>13327.800000000001</v>
      </c>
      <c r="L37" s="1">
        <f t="shared" si="1"/>
        <v>3.7500000000000009</v>
      </c>
      <c r="M37" t="str">
        <f>IF(L37&lt;=Statistics!$E$6,"Low Difference",IF('Product Positioning'!L37&gt;=Statistics!$E$4,"High Difference","Moderate Difference"))</f>
        <v>High Difference</v>
      </c>
    </row>
    <row r="38" spans="1:13" x14ac:dyDescent="0.2">
      <c r="A38">
        <v>194339</v>
      </c>
      <c r="B38" s="1">
        <v>18.2</v>
      </c>
      <c r="C38" s="1">
        <v>16.18</v>
      </c>
      <c r="D38">
        <v>1792</v>
      </c>
      <c r="E38" t="str">
        <f>_xlfn.XLOOKUP(A38, 'Customer Information'!$A$1:$A$1001, 'Customer Information'!$B$1:$B$1001)</f>
        <v>Low</v>
      </c>
      <c r="F38" t="str">
        <f>_xlfn.XLOOKUP(A38, 'Customer Information'!$A$1:$A$1001, 'Customer Information'!$C$1:$C$1001)</f>
        <v>Seniors</v>
      </c>
      <c r="G38" t="str">
        <f>_xlfn.XLOOKUP('Customer Information'!A38, 'Customer Information'!$A$1:$A$1001, 'Customer Information'!$D$1:$D$1001)</f>
        <v>No</v>
      </c>
      <c r="H38" t="str">
        <f>INDEX('Additional Product Info.'!$A$1:$C$1001, MATCH('Product Positioning'!$A38, 'Additional Product Info.'!$A$1:$A$1001, 0), MATCH('Product Positioning'!H$1, 'Additional Product Info.'!$A$1:$C$1, 0))</f>
        <v>End-cap</v>
      </c>
      <c r="I38" t="str">
        <f>INDEX('Additional Product Info.'!$A$1:$C$1001, MATCH('Product Positioning'!$A38, 'Additional Product Info.'!$A$1:$A$1001, 0), MATCH('Product Positioning'!I$1, 'Additional Product Info.'!$A$1:$C$1, 0))</f>
        <v>Clothing</v>
      </c>
      <c r="J38" t="str">
        <f>_xlfn.XLOOKUP(A38, $A$1:$A$1001, 'Additional Product Info.'!$D$1:$D$1001)</f>
        <v>No</v>
      </c>
      <c r="K38" s="1">
        <f t="shared" si="0"/>
        <v>32614.399999999998</v>
      </c>
      <c r="L38" s="1">
        <f t="shared" si="1"/>
        <v>2.0199999999999996</v>
      </c>
      <c r="M38" t="str">
        <f>IF(L38&lt;=Statistics!$E$6,"Low Difference",IF('Product Positioning'!L38&gt;=Statistics!$E$4,"High Difference","Moderate Difference"))</f>
        <v>Moderate Difference</v>
      </c>
    </row>
    <row r="39" spans="1:13" x14ac:dyDescent="0.2">
      <c r="A39">
        <v>174412</v>
      </c>
      <c r="B39" s="1">
        <v>23.93</v>
      </c>
      <c r="C39" s="1">
        <v>19.71</v>
      </c>
      <c r="D39">
        <v>1796</v>
      </c>
      <c r="E39" t="str">
        <f>_xlfn.XLOOKUP(A39, 'Customer Information'!$A$1:$A$1001, 'Customer Information'!$B$1:$B$1001)</f>
        <v>Low</v>
      </c>
      <c r="F39" t="str">
        <f>_xlfn.XLOOKUP(A39, 'Customer Information'!$A$1:$A$1001, 'Customer Information'!$C$1:$C$1001)</f>
        <v>Young adults</v>
      </c>
      <c r="G39" t="str">
        <f>_xlfn.XLOOKUP('Customer Information'!A39, 'Customer Information'!$A$1:$A$1001, 'Customer Information'!$D$1:$D$1001)</f>
        <v>No</v>
      </c>
      <c r="H39" t="str">
        <f>INDEX('Additional Product Info.'!$A$1:$C$1001, MATCH('Product Positioning'!$A39, 'Additional Product Info.'!$A$1:$A$1001, 0), MATCH('Product Positioning'!H$1, 'Additional Product Info.'!$A$1:$C$1, 0))</f>
        <v>Aisle</v>
      </c>
      <c r="I39" t="str">
        <f>INDEX('Additional Product Info.'!$A$1:$C$1001, MATCH('Product Positioning'!$A39, 'Additional Product Info.'!$A$1:$A$1001, 0), MATCH('Product Positioning'!I$1, 'Additional Product Info.'!$A$1:$C$1, 0))</f>
        <v>Electronics</v>
      </c>
      <c r="J39" t="str">
        <f>_xlfn.XLOOKUP(A39, $A$1:$A$1001, 'Additional Product Info.'!$D$1:$D$1001)</f>
        <v>Yes</v>
      </c>
      <c r="K39" s="1">
        <f t="shared" si="0"/>
        <v>42978.28</v>
      </c>
      <c r="L39" s="1">
        <f t="shared" si="1"/>
        <v>4.2199999999999989</v>
      </c>
      <c r="M39" t="str">
        <f>IF(L39&lt;=Statistics!$E$6,"Low Difference",IF('Product Positioning'!L39&gt;=Statistics!$E$4,"High Difference","Moderate Difference"))</f>
        <v>High Difference</v>
      </c>
    </row>
    <row r="40" spans="1:13" x14ac:dyDescent="0.2">
      <c r="A40">
        <v>114877</v>
      </c>
      <c r="B40" s="1">
        <v>21.76</v>
      </c>
      <c r="C40" s="1">
        <v>21.09</v>
      </c>
      <c r="D40">
        <v>1860</v>
      </c>
      <c r="E40" t="str">
        <f>_xlfn.XLOOKUP(A40, 'Customer Information'!$A$1:$A$1001, 'Customer Information'!$B$1:$B$1001)</f>
        <v>Medium</v>
      </c>
      <c r="F40" t="str">
        <f>_xlfn.XLOOKUP(A40, 'Customer Information'!$A$1:$A$1001, 'Customer Information'!$C$1:$C$1001)</f>
        <v>College students</v>
      </c>
      <c r="G40" t="str">
        <f>_xlfn.XLOOKUP('Customer Information'!A40, 'Customer Information'!$A$1:$A$1001, 'Customer Information'!$D$1:$D$1001)</f>
        <v>No</v>
      </c>
      <c r="H40" t="str">
        <f>INDEX('Additional Product Info.'!$A$1:$C$1001, MATCH('Product Positioning'!$A40, 'Additional Product Info.'!$A$1:$A$1001, 0), MATCH('Product Positioning'!H$1, 'Additional Product Info.'!$A$1:$C$1, 0))</f>
        <v>Aisle</v>
      </c>
      <c r="I40" t="str">
        <f>INDEX('Additional Product Info.'!$A$1:$C$1001, MATCH('Product Positioning'!$A40, 'Additional Product Info.'!$A$1:$A$1001, 0), MATCH('Product Positioning'!I$1, 'Additional Product Info.'!$A$1:$C$1, 0))</f>
        <v>Clothing</v>
      </c>
      <c r="J40" t="str">
        <f>_xlfn.XLOOKUP(A40, $A$1:$A$1001, 'Additional Product Info.'!$D$1:$D$1001)</f>
        <v>No</v>
      </c>
      <c r="K40" s="1">
        <f t="shared" si="0"/>
        <v>40473.600000000006</v>
      </c>
      <c r="L40" s="1">
        <f t="shared" si="1"/>
        <v>0.67000000000000171</v>
      </c>
      <c r="M40" t="str">
        <f>IF(L40&lt;=Statistics!$E$6,"Low Difference",IF('Product Positioning'!L40&gt;=Statistics!$E$4,"High Difference","Moderate Difference"))</f>
        <v>Low Difference</v>
      </c>
    </row>
    <row r="41" spans="1:13" x14ac:dyDescent="0.2">
      <c r="A41">
        <v>140727</v>
      </c>
      <c r="B41" s="1">
        <v>15.89</v>
      </c>
      <c r="C41" s="1">
        <v>12.07</v>
      </c>
      <c r="D41">
        <v>1002</v>
      </c>
      <c r="E41" t="str">
        <f>_xlfn.XLOOKUP(A41, 'Customer Information'!$A$1:$A$1001, 'Customer Information'!$B$1:$B$1001)</f>
        <v>High</v>
      </c>
      <c r="F41" t="str">
        <f>_xlfn.XLOOKUP(A41, 'Customer Information'!$A$1:$A$1001, 'Customer Information'!$C$1:$C$1001)</f>
        <v>Families</v>
      </c>
      <c r="G41" t="str">
        <f>_xlfn.XLOOKUP('Customer Information'!A41, 'Customer Information'!$A$1:$A$1001, 'Customer Information'!$D$1:$D$1001)</f>
        <v>Yes</v>
      </c>
      <c r="H41" t="str">
        <f>INDEX('Additional Product Info.'!$A$1:$C$1001, MATCH('Product Positioning'!$A41, 'Additional Product Info.'!$A$1:$A$1001, 0), MATCH('Product Positioning'!H$1, 'Additional Product Info.'!$A$1:$C$1, 0))</f>
        <v>End-cap</v>
      </c>
      <c r="I41" t="str">
        <f>INDEX('Additional Product Info.'!$A$1:$C$1001, MATCH('Product Positioning'!$A41, 'Additional Product Info.'!$A$1:$A$1001, 0), MATCH('Product Positioning'!I$1, 'Additional Product Info.'!$A$1:$C$1, 0))</f>
        <v>Clothing</v>
      </c>
      <c r="J41" t="str">
        <f>_xlfn.XLOOKUP(A41, $A$1:$A$1001, 'Additional Product Info.'!$D$1:$D$1001)</f>
        <v>Yes</v>
      </c>
      <c r="K41" s="1">
        <f t="shared" si="0"/>
        <v>15921.78</v>
      </c>
      <c r="L41" s="1">
        <f t="shared" si="1"/>
        <v>3.8200000000000003</v>
      </c>
      <c r="M41" t="str">
        <f>IF(L41&lt;=Statistics!$E$6,"Low Difference",IF('Product Positioning'!L41&gt;=Statistics!$E$4,"High Difference","Moderate Difference"))</f>
        <v>High Difference</v>
      </c>
    </row>
    <row r="42" spans="1:13" x14ac:dyDescent="0.2">
      <c r="A42">
        <v>133109</v>
      </c>
      <c r="B42" s="1">
        <v>36.130000000000003</v>
      </c>
      <c r="C42" s="1">
        <v>31.33</v>
      </c>
      <c r="D42">
        <v>2063</v>
      </c>
      <c r="E42" t="str">
        <f>_xlfn.XLOOKUP(A42, 'Customer Information'!$A$1:$A$1001, 'Customer Information'!$B$1:$B$1001)</f>
        <v>High</v>
      </c>
      <c r="F42" t="str">
        <f>_xlfn.XLOOKUP(A42, 'Customer Information'!$A$1:$A$1001, 'Customer Information'!$C$1:$C$1001)</f>
        <v>Families</v>
      </c>
      <c r="G42" t="str">
        <f>_xlfn.XLOOKUP('Customer Information'!A42, 'Customer Information'!$A$1:$A$1001, 'Customer Information'!$D$1:$D$1001)</f>
        <v>No</v>
      </c>
      <c r="H42" t="str">
        <f>INDEX('Additional Product Info.'!$A$1:$C$1001, MATCH('Product Positioning'!$A42, 'Additional Product Info.'!$A$1:$A$1001, 0), MATCH('Product Positioning'!H$1, 'Additional Product Info.'!$A$1:$C$1, 0))</f>
        <v>Front of Store</v>
      </c>
      <c r="I42" t="str">
        <f>INDEX('Additional Product Info.'!$A$1:$C$1001, MATCH('Product Positioning'!$A42, 'Additional Product Info.'!$A$1:$A$1001, 0), MATCH('Product Positioning'!I$1, 'Additional Product Info.'!$A$1:$C$1, 0))</f>
        <v>Clothing</v>
      </c>
      <c r="J42" t="str">
        <f>_xlfn.XLOOKUP(A42, $A$1:$A$1001, 'Additional Product Info.'!$D$1:$D$1001)</f>
        <v>Yes</v>
      </c>
      <c r="K42" s="1">
        <f t="shared" si="0"/>
        <v>74536.19</v>
      </c>
      <c r="L42" s="1">
        <f t="shared" si="1"/>
        <v>4.8000000000000043</v>
      </c>
      <c r="M42" t="str">
        <f>IF(L42&lt;=Statistics!$E$6,"Low Difference",IF('Product Positioning'!L42&gt;=Statistics!$E$4,"High Difference","Moderate Difference"))</f>
        <v>High Difference</v>
      </c>
    </row>
    <row r="43" spans="1:13" x14ac:dyDescent="0.2">
      <c r="A43">
        <v>127296</v>
      </c>
      <c r="B43" s="1">
        <v>34.020000000000003</v>
      </c>
      <c r="C43" s="1">
        <v>32.31</v>
      </c>
      <c r="D43">
        <v>1165</v>
      </c>
      <c r="E43" t="str">
        <f>_xlfn.XLOOKUP(A43, 'Customer Information'!$A$1:$A$1001, 'Customer Information'!$B$1:$B$1001)</f>
        <v>Low</v>
      </c>
      <c r="F43" t="str">
        <f>_xlfn.XLOOKUP(A43, 'Customer Information'!$A$1:$A$1001, 'Customer Information'!$C$1:$C$1001)</f>
        <v>Families</v>
      </c>
      <c r="G43" t="str">
        <f>_xlfn.XLOOKUP('Customer Information'!A43, 'Customer Information'!$A$1:$A$1001, 'Customer Information'!$D$1:$D$1001)</f>
        <v>No</v>
      </c>
      <c r="H43" t="str">
        <f>INDEX('Additional Product Info.'!$A$1:$C$1001, MATCH('Product Positioning'!$A43, 'Additional Product Info.'!$A$1:$A$1001, 0), MATCH('Product Positioning'!H$1, 'Additional Product Info.'!$A$1:$C$1, 0))</f>
        <v>Aisle</v>
      </c>
      <c r="I43" t="str">
        <f>INDEX('Additional Product Info.'!$A$1:$C$1001, MATCH('Product Positioning'!$A43, 'Additional Product Info.'!$A$1:$A$1001, 0), MATCH('Product Positioning'!I$1, 'Additional Product Info.'!$A$1:$C$1, 0))</f>
        <v>Food</v>
      </c>
      <c r="J43" t="str">
        <f>_xlfn.XLOOKUP(A43, $A$1:$A$1001, 'Additional Product Info.'!$D$1:$D$1001)</f>
        <v>No</v>
      </c>
      <c r="K43" s="1">
        <f t="shared" si="0"/>
        <v>39633.300000000003</v>
      </c>
      <c r="L43" s="1">
        <f t="shared" si="1"/>
        <v>1.7100000000000009</v>
      </c>
      <c r="M43" t="str">
        <f>IF(L43&lt;=Statistics!$E$6,"Low Difference",IF('Product Positioning'!L43&gt;=Statistics!$E$4,"High Difference","Moderate Difference"))</f>
        <v>Moderate Difference</v>
      </c>
    </row>
    <row r="44" spans="1:13" x14ac:dyDescent="0.2">
      <c r="A44">
        <v>133757</v>
      </c>
      <c r="B44" s="1">
        <v>7.38</v>
      </c>
      <c r="C44" s="1">
        <v>3.97</v>
      </c>
      <c r="D44">
        <v>2071</v>
      </c>
      <c r="E44" t="str">
        <f>_xlfn.XLOOKUP(A44, 'Customer Information'!$A$1:$A$1001, 'Customer Information'!$B$1:$B$1001)</f>
        <v>High</v>
      </c>
      <c r="F44" t="str">
        <f>_xlfn.XLOOKUP(A44, 'Customer Information'!$A$1:$A$1001, 'Customer Information'!$C$1:$C$1001)</f>
        <v>Families</v>
      </c>
      <c r="G44" t="str">
        <f>_xlfn.XLOOKUP('Customer Information'!A44, 'Customer Information'!$A$1:$A$1001, 'Customer Information'!$D$1:$D$1001)</f>
        <v>Yes</v>
      </c>
      <c r="H44" t="str">
        <f>INDEX('Additional Product Info.'!$A$1:$C$1001, MATCH('Product Positioning'!$A44, 'Additional Product Info.'!$A$1:$A$1001, 0), MATCH('Product Positioning'!H$1, 'Additional Product Info.'!$A$1:$C$1, 0))</f>
        <v>Aisle</v>
      </c>
      <c r="I44" t="str">
        <f>INDEX('Additional Product Info.'!$A$1:$C$1001, MATCH('Product Positioning'!$A44, 'Additional Product Info.'!$A$1:$A$1001, 0), MATCH('Product Positioning'!I$1, 'Additional Product Info.'!$A$1:$C$1, 0))</f>
        <v>Electronics</v>
      </c>
      <c r="J44" t="str">
        <f>_xlfn.XLOOKUP(A44, $A$1:$A$1001, 'Additional Product Info.'!$D$1:$D$1001)</f>
        <v>No</v>
      </c>
      <c r="K44" s="1">
        <f t="shared" si="0"/>
        <v>15283.98</v>
      </c>
      <c r="L44" s="1">
        <f t="shared" si="1"/>
        <v>3.4099999999999997</v>
      </c>
      <c r="M44" t="str">
        <f>IF(L44&lt;=Statistics!$E$6,"Low Difference",IF('Product Positioning'!L44&gt;=Statistics!$E$4,"High Difference","Moderate Difference"))</f>
        <v>Moderate Difference</v>
      </c>
    </row>
    <row r="45" spans="1:13" x14ac:dyDescent="0.2">
      <c r="A45">
        <v>111760</v>
      </c>
      <c r="B45" s="1">
        <v>19.3</v>
      </c>
      <c r="C45" s="1">
        <v>17.41</v>
      </c>
      <c r="D45">
        <v>1474</v>
      </c>
      <c r="E45" t="str">
        <f>_xlfn.XLOOKUP(A45, 'Customer Information'!$A$1:$A$1001, 'Customer Information'!$B$1:$B$1001)</f>
        <v>Low</v>
      </c>
      <c r="F45" t="str">
        <f>_xlfn.XLOOKUP(A45, 'Customer Information'!$A$1:$A$1001, 'Customer Information'!$C$1:$C$1001)</f>
        <v>College students</v>
      </c>
      <c r="G45" t="str">
        <f>_xlfn.XLOOKUP('Customer Information'!A45, 'Customer Information'!$A$1:$A$1001, 'Customer Information'!$D$1:$D$1001)</f>
        <v>No</v>
      </c>
      <c r="H45" t="str">
        <f>INDEX('Additional Product Info.'!$A$1:$C$1001, MATCH('Product Positioning'!$A45, 'Additional Product Info.'!$A$1:$A$1001, 0), MATCH('Product Positioning'!H$1, 'Additional Product Info.'!$A$1:$C$1, 0))</f>
        <v>End-cap</v>
      </c>
      <c r="I45" t="str">
        <f>INDEX('Additional Product Info.'!$A$1:$C$1001, MATCH('Product Positioning'!$A45, 'Additional Product Info.'!$A$1:$A$1001, 0), MATCH('Product Positioning'!I$1, 'Additional Product Info.'!$A$1:$C$1, 0))</f>
        <v>Clothing</v>
      </c>
      <c r="J45" t="str">
        <f>_xlfn.XLOOKUP(A45, $A$1:$A$1001, 'Additional Product Info.'!$D$1:$D$1001)</f>
        <v>No</v>
      </c>
      <c r="K45" s="1">
        <f t="shared" si="0"/>
        <v>28448.2</v>
      </c>
      <c r="L45" s="1">
        <f t="shared" si="1"/>
        <v>1.8900000000000006</v>
      </c>
      <c r="M45" t="str">
        <f>IF(L45&lt;=Statistics!$E$6,"Low Difference",IF('Product Positioning'!L45&gt;=Statistics!$E$4,"High Difference","Moderate Difference"))</f>
        <v>Moderate Difference</v>
      </c>
    </row>
    <row r="46" spans="1:13" x14ac:dyDescent="0.2">
      <c r="A46">
        <v>198375</v>
      </c>
      <c r="B46" s="1">
        <v>7.1</v>
      </c>
      <c r="C46" s="1">
        <v>6.84</v>
      </c>
      <c r="D46">
        <v>2202</v>
      </c>
      <c r="E46" t="str">
        <f>_xlfn.XLOOKUP(A46, 'Customer Information'!$A$1:$A$1001, 'Customer Information'!$B$1:$B$1001)</f>
        <v>Low</v>
      </c>
      <c r="F46" t="str">
        <f>_xlfn.XLOOKUP(A46, 'Customer Information'!$A$1:$A$1001, 'Customer Information'!$C$1:$C$1001)</f>
        <v>Seniors</v>
      </c>
      <c r="G46" t="str">
        <f>_xlfn.XLOOKUP('Customer Information'!A46, 'Customer Information'!$A$1:$A$1001, 'Customer Information'!$D$1:$D$1001)</f>
        <v>No</v>
      </c>
      <c r="H46" t="str">
        <f>INDEX('Additional Product Info.'!$A$1:$C$1001, MATCH('Product Positioning'!$A46, 'Additional Product Info.'!$A$1:$A$1001, 0), MATCH('Product Positioning'!H$1, 'Additional Product Info.'!$A$1:$C$1, 0))</f>
        <v>End-cap</v>
      </c>
      <c r="I46" t="str">
        <f>INDEX('Additional Product Info.'!$A$1:$C$1001, MATCH('Product Positioning'!$A46, 'Additional Product Info.'!$A$1:$A$1001, 0), MATCH('Product Positioning'!I$1, 'Additional Product Info.'!$A$1:$C$1, 0))</f>
        <v>Clothing</v>
      </c>
      <c r="J46" t="str">
        <f>_xlfn.XLOOKUP(A46, $A$1:$A$1001, 'Additional Product Info.'!$D$1:$D$1001)</f>
        <v>No</v>
      </c>
      <c r="K46" s="1">
        <f t="shared" si="0"/>
        <v>15634.199999999999</v>
      </c>
      <c r="L46" s="1">
        <f t="shared" si="1"/>
        <v>0.25999999999999979</v>
      </c>
      <c r="M46" t="str">
        <f>IF(L46&lt;=Statistics!$E$6,"Low Difference",IF('Product Positioning'!L46&gt;=Statistics!$E$4,"High Difference","Moderate Difference"))</f>
        <v>Low Difference</v>
      </c>
    </row>
    <row r="47" spans="1:13" x14ac:dyDescent="0.2">
      <c r="A47">
        <v>168837</v>
      </c>
      <c r="B47" s="1">
        <v>43.43</v>
      </c>
      <c r="C47" s="1">
        <v>38.54</v>
      </c>
      <c r="D47">
        <v>665</v>
      </c>
      <c r="E47" t="str">
        <f>_xlfn.XLOOKUP(A47, 'Customer Information'!$A$1:$A$1001, 'Customer Information'!$B$1:$B$1001)</f>
        <v>Low</v>
      </c>
      <c r="F47" t="str">
        <f>_xlfn.XLOOKUP(A47, 'Customer Information'!$A$1:$A$1001, 'Customer Information'!$C$1:$C$1001)</f>
        <v>Families</v>
      </c>
      <c r="G47" t="str">
        <f>_xlfn.XLOOKUP('Customer Information'!A47, 'Customer Information'!$A$1:$A$1001, 'Customer Information'!$D$1:$D$1001)</f>
        <v>No</v>
      </c>
      <c r="H47" t="str">
        <f>INDEX('Additional Product Info.'!$A$1:$C$1001, MATCH('Product Positioning'!$A47, 'Additional Product Info.'!$A$1:$A$1001, 0), MATCH('Product Positioning'!H$1, 'Additional Product Info.'!$A$1:$C$1, 0))</f>
        <v>Aisle</v>
      </c>
      <c r="I47" t="str">
        <f>INDEX('Additional Product Info.'!$A$1:$C$1001, MATCH('Product Positioning'!$A47, 'Additional Product Info.'!$A$1:$A$1001, 0), MATCH('Product Positioning'!I$1, 'Additional Product Info.'!$A$1:$C$1, 0))</f>
        <v>Electronics</v>
      </c>
      <c r="J47" t="str">
        <f>_xlfn.XLOOKUP(A47, $A$1:$A$1001, 'Additional Product Info.'!$D$1:$D$1001)</f>
        <v>No</v>
      </c>
      <c r="K47" s="1">
        <f t="shared" si="0"/>
        <v>28880.95</v>
      </c>
      <c r="L47" s="1">
        <f t="shared" si="1"/>
        <v>4.8900000000000006</v>
      </c>
      <c r="M47" t="str">
        <f>IF(L47&lt;=Statistics!$E$6,"Low Difference",IF('Product Positioning'!L47&gt;=Statistics!$E$4,"High Difference","Moderate Difference"))</f>
        <v>High Difference</v>
      </c>
    </row>
    <row r="48" spans="1:13" x14ac:dyDescent="0.2">
      <c r="A48">
        <v>138505</v>
      </c>
      <c r="B48" s="1">
        <v>46.72</v>
      </c>
      <c r="C48" s="1">
        <v>42.48</v>
      </c>
      <c r="D48">
        <v>2478</v>
      </c>
      <c r="E48" t="str">
        <f>_xlfn.XLOOKUP(A48, 'Customer Information'!$A$1:$A$1001, 'Customer Information'!$B$1:$B$1001)</f>
        <v>Low</v>
      </c>
      <c r="F48" t="str">
        <f>_xlfn.XLOOKUP(A48, 'Customer Information'!$A$1:$A$1001, 'Customer Information'!$C$1:$C$1001)</f>
        <v>Seniors</v>
      </c>
      <c r="G48" t="str">
        <f>_xlfn.XLOOKUP('Customer Information'!A48, 'Customer Information'!$A$1:$A$1001, 'Customer Information'!$D$1:$D$1001)</f>
        <v>No</v>
      </c>
      <c r="H48" t="str">
        <f>INDEX('Additional Product Info.'!$A$1:$C$1001, MATCH('Product Positioning'!$A48, 'Additional Product Info.'!$A$1:$A$1001, 0), MATCH('Product Positioning'!H$1, 'Additional Product Info.'!$A$1:$C$1, 0))</f>
        <v>Front of Store</v>
      </c>
      <c r="I48" t="str">
        <f>INDEX('Additional Product Info.'!$A$1:$C$1001, MATCH('Product Positioning'!$A48, 'Additional Product Info.'!$A$1:$A$1001, 0), MATCH('Product Positioning'!I$1, 'Additional Product Info.'!$A$1:$C$1, 0))</f>
        <v>Food</v>
      </c>
      <c r="J48" t="str">
        <f>_xlfn.XLOOKUP(A48, $A$1:$A$1001, 'Additional Product Info.'!$D$1:$D$1001)</f>
        <v>No</v>
      </c>
      <c r="K48" s="1">
        <f t="shared" si="0"/>
        <v>115772.16</v>
      </c>
      <c r="L48" s="1">
        <f t="shared" si="1"/>
        <v>4.240000000000002</v>
      </c>
      <c r="M48" t="str">
        <f>IF(L48&lt;=Statistics!$E$6,"Low Difference",IF('Product Positioning'!L48&gt;=Statistics!$E$4,"High Difference","Moderate Difference"))</f>
        <v>High Difference</v>
      </c>
    </row>
    <row r="49" spans="1:13" x14ac:dyDescent="0.2">
      <c r="A49">
        <v>116228</v>
      </c>
      <c r="B49" s="1">
        <v>36.32</v>
      </c>
      <c r="C49" s="1">
        <v>32.950000000000003</v>
      </c>
      <c r="D49">
        <v>647</v>
      </c>
      <c r="E49" t="str">
        <f>_xlfn.XLOOKUP(A49, 'Customer Information'!$A$1:$A$1001, 'Customer Information'!$B$1:$B$1001)</f>
        <v>Medium</v>
      </c>
      <c r="F49" t="str">
        <f>_xlfn.XLOOKUP(A49, 'Customer Information'!$A$1:$A$1001, 'Customer Information'!$C$1:$C$1001)</f>
        <v>Families</v>
      </c>
      <c r="G49" t="str">
        <f>_xlfn.XLOOKUP('Customer Information'!A49, 'Customer Information'!$A$1:$A$1001, 'Customer Information'!$D$1:$D$1001)</f>
        <v>Yes</v>
      </c>
      <c r="H49" t="str">
        <f>INDEX('Additional Product Info.'!$A$1:$C$1001, MATCH('Product Positioning'!$A49, 'Additional Product Info.'!$A$1:$A$1001, 0), MATCH('Product Positioning'!H$1, 'Additional Product Info.'!$A$1:$C$1, 0))</f>
        <v>End-cap</v>
      </c>
      <c r="I49" t="str">
        <f>INDEX('Additional Product Info.'!$A$1:$C$1001, MATCH('Product Positioning'!$A49, 'Additional Product Info.'!$A$1:$A$1001, 0), MATCH('Product Positioning'!I$1, 'Additional Product Info.'!$A$1:$C$1, 0))</f>
        <v>Clothing</v>
      </c>
      <c r="J49" t="str">
        <f>_xlfn.XLOOKUP(A49, $A$1:$A$1001, 'Additional Product Info.'!$D$1:$D$1001)</f>
        <v>No</v>
      </c>
      <c r="K49" s="1">
        <f t="shared" si="0"/>
        <v>23499.040000000001</v>
      </c>
      <c r="L49" s="1">
        <f t="shared" si="1"/>
        <v>3.3699999999999974</v>
      </c>
      <c r="M49" t="str">
        <f>IF(L49&lt;=Statistics!$E$6,"Low Difference",IF('Product Positioning'!L49&gt;=Statistics!$E$4,"High Difference","Moderate Difference"))</f>
        <v>Moderate Difference</v>
      </c>
    </row>
    <row r="50" spans="1:13" x14ac:dyDescent="0.2">
      <c r="A50">
        <v>167592</v>
      </c>
      <c r="B50" s="1">
        <v>17.760000000000002</v>
      </c>
      <c r="C50" s="1">
        <v>16.84</v>
      </c>
      <c r="D50">
        <v>707</v>
      </c>
      <c r="E50" t="str">
        <f>_xlfn.XLOOKUP(A50, 'Customer Information'!$A$1:$A$1001, 'Customer Information'!$B$1:$B$1001)</f>
        <v>Medium</v>
      </c>
      <c r="F50" t="str">
        <f>_xlfn.XLOOKUP(A50, 'Customer Information'!$A$1:$A$1001, 'Customer Information'!$C$1:$C$1001)</f>
        <v>Seniors</v>
      </c>
      <c r="G50" t="str">
        <f>_xlfn.XLOOKUP('Customer Information'!A50, 'Customer Information'!$A$1:$A$1001, 'Customer Information'!$D$1:$D$1001)</f>
        <v>Yes</v>
      </c>
      <c r="H50" t="str">
        <f>INDEX('Additional Product Info.'!$A$1:$C$1001, MATCH('Product Positioning'!$A50, 'Additional Product Info.'!$A$1:$A$1001, 0), MATCH('Product Positioning'!H$1, 'Additional Product Info.'!$A$1:$C$1, 0))</f>
        <v>Front of Store</v>
      </c>
      <c r="I50" t="str">
        <f>INDEX('Additional Product Info.'!$A$1:$C$1001, MATCH('Product Positioning'!$A50, 'Additional Product Info.'!$A$1:$A$1001, 0), MATCH('Product Positioning'!I$1, 'Additional Product Info.'!$A$1:$C$1, 0))</f>
        <v>Food</v>
      </c>
      <c r="J50" t="str">
        <f>_xlfn.XLOOKUP(A50, $A$1:$A$1001, 'Additional Product Info.'!$D$1:$D$1001)</f>
        <v>No</v>
      </c>
      <c r="K50" s="1">
        <f t="shared" si="0"/>
        <v>12556.320000000002</v>
      </c>
      <c r="L50" s="1">
        <f t="shared" si="1"/>
        <v>0.92000000000000171</v>
      </c>
      <c r="M50" t="str">
        <f>IF(L50&lt;=Statistics!$E$6,"Low Difference",IF('Product Positioning'!L50&gt;=Statistics!$E$4,"High Difference","Moderate Difference"))</f>
        <v>Low Difference</v>
      </c>
    </row>
    <row r="51" spans="1:13" x14ac:dyDescent="0.2">
      <c r="A51">
        <v>133100</v>
      </c>
      <c r="B51" s="1">
        <v>47.78</v>
      </c>
      <c r="C51" s="1">
        <v>43.18</v>
      </c>
      <c r="D51">
        <v>2729</v>
      </c>
      <c r="E51" t="str">
        <f>_xlfn.XLOOKUP(A51, 'Customer Information'!$A$1:$A$1001, 'Customer Information'!$B$1:$B$1001)</f>
        <v>Medium</v>
      </c>
      <c r="F51" t="str">
        <f>_xlfn.XLOOKUP(A51, 'Customer Information'!$A$1:$A$1001, 'Customer Information'!$C$1:$C$1001)</f>
        <v>Families</v>
      </c>
      <c r="G51" t="str">
        <f>_xlfn.XLOOKUP('Customer Information'!A51, 'Customer Information'!$A$1:$A$1001, 'Customer Information'!$D$1:$D$1001)</f>
        <v>Yes</v>
      </c>
      <c r="H51" t="str">
        <f>INDEX('Additional Product Info.'!$A$1:$C$1001, MATCH('Product Positioning'!$A51, 'Additional Product Info.'!$A$1:$A$1001, 0), MATCH('Product Positioning'!H$1, 'Additional Product Info.'!$A$1:$C$1, 0))</f>
        <v>End-cap</v>
      </c>
      <c r="I51" t="str">
        <f>INDEX('Additional Product Info.'!$A$1:$C$1001, MATCH('Product Positioning'!$A51, 'Additional Product Info.'!$A$1:$A$1001, 0), MATCH('Product Positioning'!I$1, 'Additional Product Info.'!$A$1:$C$1, 0))</f>
        <v>Clothing</v>
      </c>
      <c r="J51" t="str">
        <f>_xlfn.XLOOKUP(A51, $A$1:$A$1001, 'Additional Product Info.'!$D$1:$D$1001)</f>
        <v>No</v>
      </c>
      <c r="K51" s="1">
        <f t="shared" si="0"/>
        <v>130391.62000000001</v>
      </c>
      <c r="L51" s="1">
        <f t="shared" si="1"/>
        <v>4.6000000000000014</v>
      </c>
      <c r="M51" t="str">
        <f>IF(L51&lt;=Statistics!$E$6,"Low Difference",IF('Product Positioning'!L51&gt;=Statistics!$E$4,"High Difference","Moderate Difference"))</f>
        <v>High Difference</v>
      </c>
    </row>
    <row r="52" spans="1:13" x14ac:dyDescent="0.2">
      <c r="A52">
        <v>119955</v>
      </c>
      <c r="B52" s="1">
        <v>34.119999999999997</v>
      </c>
      <c r="C52" s="1">
        <v>32.94</v>
      </c>
      <c r="D52">
        <v>1590</v>
      </c>
      <c r="E52" t="str">
        <f>_xlfn.XLOOKUP(A52, 'Customer Information'!$A$1:$A$1001, 'Customer Information'!$B$1:$B$1001)</f>
        <v>High</v>
      </c>
      <c r="F52" t="str">
        <f>_xlfn.XLOOKUP(A52, 'Customer Information'!$A$1:$A$1001, 'Customer Information'!$C$1:$C$1001)</f>
        <v>Young adults</v>
      </c>
      <c r="G52" t="str">
        <f>_xlfn.XLOOKUP('Customer Information'!A52, 'Customer Information'!$A$1:$A$1001, 'Customer Information'!$D$1:$D$1001)</f>
        <v>No</v>
      </c>
      <c r="H52" t="str">
        <f>INDEX('Additional Product Info.'!$A$1:$C$1001, MATCH('Product Positioning'!$A52, 'Additional Product Info.'!$A$1:$A$1001, 0), MATCH('Product Positioning'!H$1, 'Additional Product Info.'!$A$1:$C$1, 0))</f>
        <v>Front of Store</v>
      </c>
      <c r="I52" t="str">
        <f>INDEX('Additional Product Info.'!$A$1:$C$1001, MATCH('Product Positioning'!$A52, 'Additional Product Info.'!$A$1:$A$1001, 0), MATCH('Product Positioning'!I$1, 'Additional Product Info.'!$A$1:$C$1, 0))</f>
        <v>Electronics</v>
      </c>
      <c r="J52" t="str">
        <f>_xlfn.XLOOKUP(A52, $A$1:$A$1001, 'Additional Product Info.'!$D$1:$D$1001)</f>
        <v>No</v>
      </c>
      <c r="K52" s="1">
        <f t="shared" si="0"/>
        <v>54250.799999999996</v>
      </c>
      <c r="L52" s="1">
        <f t="shared" si="1"/>
        <v>1.1799999999999997</v>
      </c>
      <c r="M52" t="str">
        <f>IF(L52&lt;=Statistics!$E$6,"Low Difference",IF('Product Positioning'!L52&gt;=Statistics!$E$4,"High Difference","Moderate Difference"))</f>
        <v>Moderate Difference</v>
      </c>
    </row>
    <row r="53" spans="1:13" x14ac:dyDescent="0.2">
      <c r="A53">
        <v>189349</v>
      </c>
      <c r="B53" s="1">
        <v>45.91</v>
      </c>
      <c r="C53" s="1">
        <v>42.91</v>
      </c>
      <c r="D53">
        <v>1245</v>
      </c>
      <c r="E53" t="str">
        <f>_xlfn.XLOOKUP(A53, 'Customer Information'!$A$1:$A$1001, 'Customer Information'!$B$1:$B$1001)</f>
        <v>Medium</v>
      </c>
      <c r="F53" t="str">
        <f>_xlfn.XLOOKUP(A53, 'Customer Information'!$A$1:$A$1001, 'Customer Information'!$C$1:$C$1001)</f>
        <v>Seniors</v>
      </c>
      <c r="G53" t="str">
        <f>_xlfn.XLOOKUP('Customer Information'!A53, 'Customer Information'!$A$1:$A$1001, 'Customer Information'!$D$1:$D$1001)</f>
        <v>Yes</v>
      </c>
      <c r="H53" t="str">
        <f>INDEX('Additional Product Info.'!$A$1:$C$1001, MATCH('Product Positioning'!$A53, 'Additional Product Info.'!$A$1:$A$1001, 0), MATCH('Product Positioning'!H$1, 'Additional Product Info.'!$A$1:$C$1, 0))</f>
        <v>End-cap</v>
      </c>
      <c r="I53" t="str">
        <f>INDEX('Additional Product Info.'!$A$1:$C$1001, MATCH('Product Positioning'!$A53, 'Additional Product Info.'!$A$1:$A$1001, 0), MATCH('Product Positioning'!I$1, 'Additional Product Info.'!$A$1:$C$1, 0))</f>
        <v>Electronics</v>
      </c>
      <c r="J53" t="str">
        <f>_xlfn.XLOOKUP(A53, $A$1:$A$1001, 'Additional Product Info.'!$D$1:$D$1001)</f>
        <v>No</v>
      </c>
      <c r="K53" s="1">
        <f t="shared" si="0"/>
        <v>57157.95</v>
      </c>
      <c r="L53" s="1">
        <f t="shared" si="1"/>
        <v>3</v>
      </c>
      <c r="M53" t="str">
        <f>IF(L53&lt;=Statistics!$E$6,"Low Difference",IF('Product Positioning'!L53&gt;=Statistics!$E$4,"High Difference","Moderate Difference"))</f>
        <v>Moderate Difference</v>
      </c>
    </row>
    <row r="54" spans="1:13" x14ac:dyDescent="0.2">
      <c r="A54">
        <v>127478</v>
      </c>
      <c r="B54" s="1">
        <v>29.3</v>
      </c>
      <c r="C54" s="1">
        <v>26.06</v>
      </c>
      <c r="D54">
        <v>2498</v>
      </c>
      <c r="E54" t="str">
        <f>_xlfn.XLOOKUP(A54, 'Customer Information'!$A$1:$A$1001, 'Customer Information'!$B$1:$B$1001)</f>
        <v>Low</v>
      </c>
      <c r="F54" t="str">
        <f>_xlfn.XLOOKUP(A54, 'Customer Information'!$A$1:$A$1001, 'Customer Information'!$C$1:$C$1001)</f>
        <v>Young adults</v>
      </c>
      <c r="G54" t="str">
        <f>_xlfn.XLOOKUP('Customer Information'!A54, 'Customer Information'!$A$1:$A$1001, 'Customer Information'!$D$1:$D$1001)</f>
        <v>No</v>
      </c>
      <c r="H54" t="str">
        <f>INDEX('Additional Product Info.'!$A$1:$C$1001, MATCH('Product Positioning'!$A54, 'Additional Product Info.'!$A$1:$A$1001, 0), MATCH('Product Positioning'!H$1, 'Additional Product Info.'!$A$1:$C$1, 0))</f>
        <v>Front of Store</v>
      </c>
      <c r="I54" t="str">
        <f>INDEX('Additional Product Info.'!$A$1:$C$1001, MATCH('Product Positioning'!$A54, 'Additional Product Info.'!$A$1:$A$1001, 0), MATCH('Product Positioning'!I$1, 'Additional Product Info.'!$A$1:$C$1, 0))</f>
        <v>Clothing</v>
      </c>
      <c r="J54" t="str">
        <f>_xlfn.XLOOKUP(A54, $A$1:$A$1001, 'Additional Product Info.'!$D$1:$D$1001)</f>
        <v>Yes</v>
      </c>
      <c r="K54" s="1">
        <f t="shared" si="0"/>
        <v>73191.400000000009</v>
      </c>
      <c r="L54" s="1">
        <f t="shared" si="1"/>
        <v>3.240000000000002</v>
      </c>
      <c r="M54" t="str">
        <f>IF(L54&lt;=Statistics!$E$6,"Low Difference",IF('Product Positioning'!L54&gt;=Statistics!$E$4,"High Difference","Moderate Difference"))</f>
        <v>Moderate Difference</v>
      </c>
    </row>
    <row r="55" spans="1:13" x14ac:dyDescent="0.2">
      <c r="A55">
        <v>180661</v>
      </c>
      <c r="B55" s="1">
        <v>39.96</v>
      </c>
      <c r="C55" s="1">
        <v>36.049999999999997</v>
      </c>
      <c r="D55">
        <v>1041</v>
      </c>
      <c r="E55" t="str">
        <f>_xlfn.XLOOKUP(A55, 'Customer Information'!$A$1:$A$1001, 'Customer Information'!$B$1:$B$1001)</f>
        <v>High</v>
      </c>
      <c r="F55" t="str">
        <f>_xlfn.XLOOKUP(A55, 'Customer Information'!$A$1:$A$1001, 'Customer Information'!$C$1:$C$1001)</f>
        <v>Young adults</v>
      </c>
      <c r="G55" t="str">
        <f>_xlfn.XLOOKUP('Customer Information'!A55, 'Customer Information'!$A$1:$A$1001, 'Customer Information'!$D$1:$D$1001)</f>
        <v>No</v>
      </c>
      <c r="H55" t="str">
        <f>INDEX('Additional Product Info.'!$A$1:$C$1001, MATCH('Product Positioning'!$A55, 'Additional Product Info.'!$A$1:$A$1001, 0), MATCH('Product Positioning'!H$1, 'Additional Product Info.'!$A$1:$C$1, 0))</f>
        <v>Front of Store</v>
      </c>
      <c r="I55" t="str">
        <f>INDEX('Additional Product Info.'!$A$1:$C$1001, MATCH('Product Positioning'!$A55, 'Additional Product Info.'!$A$1:$A$1001, 0), MATCH('Product Positioning'!I$1, 'Additional Product Info.'!$A$1:$C$1, 0))</f>
        <v>Food</v>
      </c>
      <c r="J55" t="str">
        <f>_xlfn.XLOOKUP(A55, $A$1:$A$1001, 'Additional Product Info.'!$D$1:$D$1001)</f>
        <v>Yes</v>
      </c>
      <c r="K55" s="1">
        <f t="shared" si="0"/>
        <v>41598.36</v>
      </c>
      <c r="L55" s="1">
        <f t="shared" si="1"/>
        <v>3.9100000000000037</v>
      </c>
      <c r="M55" t="str">
        <f>IF(L55&lt;=Statistics!$E$6,"Low Difference",IF('Product Positioning'!L55&gt;=Statistics!$E$4,"High Difference","Moderate Difference"))</f>
        <v>High Difference</v>
      </c>
    </row>
    <row r="56" spans="1:13" x14ac:dyDescent="0.2">
      <c r="A56">
        <v>186681</v>
      </c>
      <c r="B56" s="1">
        <v>39.46</v>
      </c>
      <c r="C56" s="1">
        <v>35.1</v>
      </c>
      <c r="D56">
        <v>1717</v>
      </c>
      <c r="E56" t="str">
        <f>_xlfn.XLOOKUP(A56, 'Customer Information'!$A$1:$A$1001, 'Customer Information'!$B$1:$B$1001)</f>
        <v>Low</v>
      </c>
      <c r="F56" t="str">
        <f>_xlfn.XLOOKUP(A56, 'Customer Information'!$A$1:$A$1001, 'Customer Information'!$C$1:$C$1001)</f>
        <v>Young adults</v>
      </c>
      <c r="G56" t="str">
        <f>_xlfn.XLOOKUP('Customer Information'!A56, 'Customer Information'!$A$1:$A$1001, 'Customer Information'!$D$1:$D$1001)</f>
        <v>No</v>
      </c>
      <c r="H56" t="str">
        <f>INDEX('Additional Product Info.'!$A$1:$C$1001, MATCH('Product Positioning'!$A56, 'Additional Product Info.'!$A$1:$A$1001, 0), MATCH('Product Positioning'!H$1, 'Additional Product Info.'!$A$1:$C$1, 0))</f>
        <v>End-cap</v>
      </c>
      <c r="I56" t="str">
        <f>INDEX('Additional Product Info.'!$A$1:$C$1001, MATCH('Product Positioning'!$A56, 'Additional Product Info.'!$A$1:$A$1001, 0), MATCH('Product Positioning'!I$1, 'Additional Product Info.'!$A$1:$C$1, 0))</f>
        <v>Food</v>
      </c>
      <c r="J56" t="str">
        <f>_xlfn.XLOOKUP(A56, $A$1:$A$1001, 'Additional Product Info.'!$D$1:$D$1001)</f>
        <v>Yes</v>
      </c>
      <c r="K56" s="1">
        <f t="shared" si="0"/>
        <v>67752.820000000007</v>
      </c>
      <c r="L56" s="1">
        <f t="shared" si="1"/>
        <v>4.3599999999999994</v>
      </c>
      <c r="M56" t="str">
        <f>IF(L56&lt;=Statistics!$E$6,"Low Difference",IF('Product Positioning'!L56&gt;=Statistics!$E$4,"High Difference","Moderate Difference"))</f>
        <v>High Difference</v>
      </c>
    </row>
    <row r="57" spans="1:13" x14ac:dyDescent="0.2">
      <c r="A57">
        <v>133183</v>
      </c>
      <c r="B57" s="1">
        <v>45.07</v>
      </c>
      <c r="C57" s="1">
        <v>44.26</v>
      </c>
      <c r="D57">
        <v>2859</v>
      </c>
      <c r="E57" t="str">
        <f>_xlfn.XLOOKUP(A57, 'Customer Information'!$A$1:$A$1001, 'Customer Information'!$B$1:$B$1001)</f>
        <v>Low</v>
      </c>
      <c r="F57" t="str">
        <f>_xlfn.XLOOKUP(A57, 'Customer Information'!$A$1:$A$1001, 'Customer Information'!$C$1:$C$1001)</f>
        <v>Families</v>
      </c>
      <c r="G57" t="str">
        <f>_xlfn.XLOOKUP('Customer Information'!A57, 'Customer Information'!$A$1:$A$1001, 'Customer Information'!$D$1:$D$1001)</f>
        <v>Yes</v>
      </c>
      <c r="H57" t="str">
        <f>INDEX('Additional Product Info.'!$A$1:$C$1001, MATCH('Product Positioning'!$A57, 'Additional Product Info.'!$A$1:$A$1001, 0), MATCH('Product Positioning'!H$1, 'Additional Product Info.'!$A$1:$C$1, 0))</f>
        <v>Front of Store</v>
      </c>
      <c r="I57" t="str">
        <f>INDEX('Additional Product Info.'!$A$1:$C$1001, MATCH('Product Positioning'!$A57, 'Additional Product Info.'!$A$1:$A$1001, 0), MATCH('Product Positioning'!I$1, 'Additional Product Info.'!$A$1:$C$1, 0))</f>
        <v>Electronics</v>
      </c>
      <c r="J57" t="str">
        <f>_xlfn.XLOOKUP(A57, $A$1:$A$1001, 'Additional Product Info.'!$D$1:$D$1001)</f>
        <v>Yes</v>
      </c>
      <c r="K57" s="1">
        <f t="shared" si="0"/>
        <v>128855.13</v>
      </c>
      <c r="L57" s="1">
        <f t="shared" si="1"/>
        <v>0.81000000000000227</v>
      </c>
      <c r="M57" t="str">
        <f>IF(L57&lt;=Statistics!$E$6,"Low Difference",IF('Product Positioning'!L57&gt;=Statistics!$E$4,"High Difference","Moderate Difference"))</f>
        <v>Low Difference</v>
      </c>
    </row>
    <row r="58" spans="1:13" x14ac:dyDescent="0.2">
      <c r="A58">
        <v>173508</v>
      </c>
      <c r="B58" s="1">
        <v>13.67</v>
      </c>
      <c r="C58" s="1">
        <v>13.18</v>
      </c>
      <c r="D58">
        <v>1658</v>
      </c>
      <c r="E58" t="str">
        <f>_xlfn.XLOOKUP(A58, 'Customer Information'!$A$1:$A$1001, 'Customer Information'!$B$1:$B$1001)</f>
        <v>High</v>
      </c>
      <c r="F58" t="str">
        <f>_xlfn.XLOOKUP(A58, 'Customer Information'!$A$1:$A$1001, 'Customer Information'!$C$1:$C$1001)</f>
        <v>Families</v>
      </c>
      <c r="G58" t="str">
        <f>_xlfn.XLOOKUP('Customer Information'!A58, 'Customer Information'!$A$1:$A$1001, 'Customer Information'!$D$1:$D$1001)</f>
        <v>Yes</v>
      </c>
      <c r="H58" t="str">
        <f>INDEX('Additional Product Info.'!$A$1:$C$1001, MATCH('Product Positioning'!$A58, 'Additional Product Info.'!$A$1:$A$1001, 0), MATCH('Product Positioning'!H$1, 'Additional Product Info.'!$A$1:$C$1, 0))</f>
        <v>Aisle</v>
      </c>
      <c r="I58" t="str">
        <f>INDEX('Additional Product Info.'!$A$1:$C$1001, MATCH('Product Positioning'!$A58, 'Additional Product Info.'!$A$1:$A$1001, 0), MATCH('Product Positioning'!I$1, 'Additional Product Info.'!$A$1:$C$1, 0))</f>
        <v>Food</v>
      </c>
      <c r="J58" t="str">
        <f>_xlfn.XLOOKUP(A58, $A$1:$A$1001, 'Additional Product Info.'!$D$1:$D$1001)</f>
        <v>No</v>
      </c>
      <c r="K58" s="1">
        <f t="shared" si="0"/>
        <v>22664.86</v>
      </c>
      <c r="L58" s="1">
        <f t="shared" si="1"/>
        <v>0.49000000000000021</v>
      </c>
      <c r="M58" t="str">
        <f>IF(L58&lt;=Statistics!$E$6,"Low Difference",IF('Product Positioning'!L58&gt;=Statistics!$E$4,"High Difference","Moderate Difference"))</f>
        <v>Low Difference</v>
      </c>
    </row>
    <row r="59" spans="1:13" x14ac:dyDescent="0.2">
      <c r="A59">
        <v>187930</v>
      </c>
      <c r="B59" s="1">
        <v>19.95</v>
      </c>
      <c r="C59" s="1">
        <v>19.190000000000001</v>
      </c>
      <c r="D59">
        <v>706</v>
      </c>
      <c r="E59" t="str">
        <f>_xlfn.XLOOKUP(A59, 'Customer Information'!$A$1:$A$1001, 'Customer Information'!$B$1:$B$1001)</f>
        <v>Medium</v>
      </c>
      <c r="F59" t="str">
        <f>_xlfn.XLOOKUP(A59, 'Customer Information'!$A$1:$A$1001, 'Customer Information'!$C$1:$C$1001)</f>
        <v>College students</v>
      </c>
      <c r="G59" t="str">
        <f>_xlfn.XLOOKUP('Customer Information'!A59, 'Customer Information'!$A$1:$A$1001, 'Customer Information'!$D$1:$D$1001)</f>
        <v>No</v>
      </c>
      <c r="H59" t="str">
        <f>INDEX('Additional Product Info.'!$A$1:$C$1001, MATCH('Product Positioning'!$A59, 'Additional Product Info.'!$A$1:$A$1001, 0), MATCH('Product Positioning'!H$1, 'Additional Product Info.'!$A$1:$C$1, 0))</f>
        <v>End-cap</v>
      </c>
      <c r="I59" t="str">
        <f>INDEX('Additional Product Info.'!$A$1:$C$1001, MATCH('Product Positioning'!$A59, 'Additional Product Info.'!$A$1:$A$1001, 0), MATCH('Product Positioning'!I$1, 'Additional Product Info.'!$A$1:$C$1, 0))</f>
        <v>Electronics</v>
      </c>
      <c r="J59" t="str">
        <f>_xlfn.XLOOKUP(A59, $A$1:$A$1001, 'Additional Product Info.'!$D$1:$D$1001)</f>
        <v>Yes</v>
      </c>
      <c r="K59" s="1">
        <f t="shared" si="0"/>
        <v>14084.699999999999</v>
      </c>
      <c r="L59" s="1">
        <f t="shared" si="1"/>
        <v>0.75999999999999801</v>
      </c>
      <c r="M59" t="str">
        <f>IF(L59&lt;=Statistics!$E$6,"Low Difference",IF('Product Positioning'!L59&gt;=Statistics!$E$4,"High Difference","Moderate Difference"))</f>
        <v>Low Difference</v>
      </c>
    </row>
    <row r="60" spans="1:13" x14ac:dyDescent="0.2">
      <c r="A60">
        <v>124088</v>
      </c>
      <c r="B60" s="1">
        <v>48.71</v>
      </c>
      <c r="C60" s="1">
        <v>46.44</v>
      </c>
      <c r="D60">
        <v>2065</v>
      </c>
      <c r="E60" t="str">
        <f>_xlfn.XLOOKUP(A60, 'Customer Information'!$A$1:$A$1001, 'Customer Information'!$B$1:$B$1001)</f>
        <v>High</v>
      </c>
      <c r="F60" t="str">
        <f>_xlfn.XLOOKUP(A60, 'Customer Information'!$A$1:$A$1001, 'Customer Information'!$C$1:$C$1001)</f>
        <v>Young adults</v>
      </c>
      <c r="G60" t="str">
        <f>_xlfn.XLOOKUP('Customer Information'!A60, 'Customer Information'!$A$1:$A$1001, 'Customer Information'!$D$1:$D$1001)</f>
        <v>Yes</v>
      </c>
      <c r="H60" t="str">
        <f>INDEX('Additional Product Info.'!$A$1:$C$1001, MATCH('Product Positioning'!$A60, 'Additional Product Info.'!$A$1:$A$1001, 0), MATCH('Product Positioning'!H$1, 'Additional Product Info.'!$A$1:$C$1, 0))</f>
        <v>End-cap</v>
      </c>
      <c r="I60" t="str">
        <f>INDEX('Additional Product Info.'!$A$1:$C$1001, MATCH('Product Positioning'!$A60, 'Additional Product Info.'!$A$1:$A$1001, 0), MATCH('Product Positioning'!I$1, 'Additional Product Info.'!$A$1:$C$1, 0))</f>
        <v>Electronics</v>
      </c>
      <c r="J60" t="str">
        <f>_xlfn.XLOOKUP(A60, $A$1:$A$1001, 'Additional Product Info.'!$D$1:$D$1001)</f>
        <v>Yes</v>
      </c>
      <c r="K60" s="1">
        <f t="shared" si="0"/>
        <v>100586.15000000001</v>
      </c>
      <c r="L60" s="1">
        <f t="shared" si="1"/>
        <v>2.2700000000000031</v>
      </c>
      <c r="M60" t="str">
        <f>IF(L60&lt;=Statistics!$E$6,"Low Difference",IF('Product Positioning'!L60&gt;=Statistics!$E$4,"High Difference","Moderate Difference"))</f>
        <v>Moderate Difference</v>
      </c>
    </row>
    <row r="61" spans="1:13" x14ac:dyDescent="0.2">
      <c r="A61">
        <v>190238</v>
      </c>
      <c r="B61" s="1">
        <v>34.67</v>
      </c>
      <c r="C61" s="1">
        <v>32.6</v>
      </c>
      <c r="D61">
        <v>1917</v>
      </c>
      <c r="E61" t="str">
        <f>_xlfn.XLOOKUP(A61, 'Customer Information'!$A$1:$A$1001, 'Customer Information'!$B$1:$B$1001)</f>
        <v>High</v>
      </c>
      <c r="F61" t="str">
        <f>_xlfn.XLOOKUP(A61, 'Customer Information'!$A$1:$A$1001, 'Customer Information'!$C$1:$C$1001)</f>
        <v>Seniors</v>
      </c>
      <c r="G61" t="str">
        <f>_xlfn.XLOOKUP('Customer Information'!A61, 'Customer Information'!$A$1:$A$1001, 'Customer Information'!$D$1:$D$1001)</f>
        <v>No</v>
      </c>
      <c r="H61" t="str">
        <f>INDEX('Additional Product Info.'!$A$1:$C$1001, MATCH('Product Positioning'!$A61, 'Additional Product Info.'!$A$1:$A$1001, 0), MATCH('Product Positioning'!H$1, 'Additional Product Info.'!$A$1:$C$1, 0))</f>
        <v>Front of Store</v>
      </c>
      <c r="I61" t="str">
        <f>INDEX('Additional Product Info.'!$A$1:$C$1001, MATCH('Product Positioning'!$A61, 'Additional Product Info.'!$A$1:$A$1001, 0), MATCH('Product Positioning'!I$1, 'Additional Product Info.'!$A$1:$C$1, 0))</f>
        <v>Clothing</v>
      </c>
      <c r="J61" t="str">
        <f>_xlfn.XLOOKUP(A61, $A$1:$A$1001, 'Additional Product Info.'!$D$1:$D$1001)</f>
        <v>Yes</v>
      </c>
      <c r="K61" s="1">
        <f t="shared" si="0"/>
        <v>66462.39</v>
      </c>
      <c r="L61" s="1">
        <f t="shared" si="1"/>
        <v>2.0700000000000003</v>
      </c>
      <c r="M61" t="str">
        <f>IF(L61&lt;=Statistics!$E$6,"Low Difference",IF('Product Positioning'!L61&gt;=Statistics!$E$4,"High Difference","Moderate Difference"))</f>
        <v>Moderate Difference</v>
      </c>
    </row>
    <row r="62" spans="1:13" x14ac:dyDescent="0.2">
      <c r="A62">
        <v>151925</v>
      </c>
      <c r="B62" s="1">
        <v>47.63</v>
      </c>
      <c r="C62" s="1">
        <v>42.99</v>
      </c>
      <c r="D62">
        <v>2179</v>
      </c>
      <c r="E62" t="str">
        <f>_xlfn.XLOOKUP(A62, 'Customer Information'!$A$1:$A$1001, 'Customer Information'!$B$1:$B$1001)</f>
        <v>Medium</v>
      </c>
      <c r="F62" t="str">
        <f>_xlfn.XLOOKUP(A62, 'Customer Information'!$A$1:$A$1001, 'Customer Information'!$C$1:$C$1001)</f>
        <v>Seniors</v>
      </c>
      <c r="G62" t="str">
        <f>_xlfn.XLOOKUP('Customer Information'!A62, 'Customer Information'!$A$1:$A$1001, 'Customer Information'!$D$1:$D$1001)</f>
        <v>Yes</v>
      </c>
      <c r="H62" t="str">
        <f>INDEX('Additional Product Info.'!$A$1:$C$1001, MATCH('Product Positioning'!$A62, 'Additional Product Info.'!$A$1:$A$1001, 0), MATCH('Product Positioning'!H$1, 'Additional Product Info.'!$A$1:$C$1, 0))</f>
        <v>End-cap</v>
      </c>
      <c r="I62" t="str">
        <f>INDEX('Additional Product Info.'!$A$1:$C$1001, MATCH('Product Positioning'!$A62, 'Additional Product Info.'!$A$1:$A$1001, 0), MATCH('Product Positioning'!I$1, 'Additional Product Info.'!$A$1:$C$1, 0))</f>
        <v>Food</v>
      </c>
      <c r="J62" t="str">
        <f>_xlfn.XLOOKUP(A62, $A$1:$A$1001, 'Additional Product Info.'!$D$1:$D$1001)</f>
        <v>Yes</v>
      </c>
      <c r="K62" s="1">
        <f t="shared" si="0"/>
        <v>103785.77</v>
      </c>
      <c r="L62" s="1">
        <f t="shared" si="1"/>
        <v>4.6400000000000006</v>
      </c>
      <c r="M62" t="str">
        <f>IF(L62&lt;=Statistics!$E$6,"Low Difference",IF('Product Positioning'!L62&gt;=Statistics!$E$4,"High Difference","Moderate Difference"))</f>
        <v>High Difference</v>
      </c>
    </row>
    <row r="63" spans="1:13" x14ac:dyDescent="0.2">
      <c r="A63">
        <v>163234</v>
      </c>
      <c r="B63" s="1">
        <v>12.03</v>
      </c>
      <c r="C63" s="1">
        <v>7.97</v>
      </c>
      <c r="D63">
        <v>1633</v>
      </c>
      <c r="E63" t="str">
        <f>_xlfn.XLOOKUP(A63, 'Customer Information'!$A$1:$A$1001, 'Customer Information'!$B$1:$B$1001)</f>
        <v>Medium</v>
      </c>
      <c r="F63" t="str">
        <f>_xlfn.XLOOKUP(A63, 'Customer Information'!$A$1:$A$1001, 'Customer Information'!$C$1:$C$1001)</f>
        <v>Young adults</v>
      </c>
      <c r="G63" t="str">
        <f>_xlfn.XLOOKUP('Customer Information'!A63, 'Customer Information'!$A$1:$A$1001, 'Customer Information'!$D$1:$D$1001)</f>
        <v>No</v>
      </c>
      <c r="H63" t="str">
        <f>INDEX('Additional Product Info.'!$A$1:$C$1001, MATCH('Product Positioning'!$A63, 'Additional Product Info.'!$A$1:$A$1001, 0), MATCH('Product Positioning'!H$1, 'Additional Product Info.'!$A$1:$C$1, 0))</f>
        <v>Front of Store</v>
      </c>
      <c r="I63" t="str">
        <f>INDEX('Additional Product Info.'!$A$1:$C$1001, MATCH('Product Positioning'!$A63, 'Additional Product Info.'!$A$1:$A$1001, 0), MATCH('Product Positioning'!I$1, 'Additional Product Info.'!$A$1:$C$1, 0))</f>
        <v>Clothing</v>
      </c>
      <c r="J63" t="str">
        <f>_xlfn.XLOOKUP(A63, $A$1:$A$1001, 'Additional Product Info.'!$D$1:$D$1001)</f>
        <v>No</v>
      </c>
      <c r="K63" s="1">
        <f t="shared" si="0"/>
        <v>19644.989999999998</v>
      </c>
      <c r="L63" s="1">
        <f t="shared" si="1"/>
        <v>4.0599999999999996</v>
      </c>
      <c r="M63" t="str">
        <f>IF(L63&lt;=Statistics!$E$6,"Low Difference",IF('Product Positioning'!L63&gt;=Statistics!$E$4,"High Difference","Moderate Difference"))</f>
        <v>High Difference</v>
      </c>
    </row>
    <row r="64" spans="1:13" x14ac:dyDescent="0.2">
      <c r="A64">
        <v>135610</v>
      </c>
      <c r="B64" s="1">
        <v>36.04</v>
      </c>
      <c r="C64" s="1">
        <v>35.590000000000003</v>
      </c>
      <c r="D64">
        <v>1513</v>
      </c>
      <c r="E64" t="str">
        <f>_xlfn.XLOOKUP(A64, 'Customer Information'!$A$1:$A$1001, 'Customer Information'!$B$1:$B$1001)</f>
        <v>High</v>
      </c>
      <c r="F64" t="str">
        <f>_xlfn.XLOOKUP(A64, 'Customer Information'!$A$1:$A$1001, 'Customer Information'!$C$1:$C$1001)</f>
        <v>College students</v>
      </c>
      <c r="G64" t="str">
        <f>_xlfn.XLOOKUP('Customer Information'!A64, 'Customer Information'!$A$1:$A$1001, 'Customer Information'!$D$1:$D$1001)</f>
        <v>Yes</v>
      </c>
      <c r="H64" t="str">
        <f>INDEX('Additional Product Info.'!$A$1:$C$1001, MATCH('Product Positioning'!$A64, 'Additional Product Info.'!$A$1:$A$1001, 0), MATCH('Product Positioning'!H$1, 'Additional Product Info.'!$A$1:$C$1, 0))</f>
        <v>Aisle</v>
      </c>
      <c r="I64" t="str">
        <f>INDEX('Additional Product Info.'!$A$1:$C$1001, MATCH('Product Positioning'!$A64, 'Additional Product Info.'!$A$1:$A$1001, 0), MATCH('Product Positioning'!I$1, 'Additional Product Info.'!$A$1:$C$1, 0))</f>
        <v>Electronics</v>
      </c>
      <c r="J64" t="str">
        <f>_xlfn.XLOOKUP(A64, $A$1:$A$1001, 'Additional Product Info.'!$D$1:$D$1001)</f>
        <v>Yes</v>
      </c>
      <c r="K64" s="1">
        <f t="shared" si="0"/>
        <v>54528.52</v>
      </c>
      <c r="L64" s="1">
        <f t="shared" si="1"/>
        <v>0.44999999999999574</v>
      </c>
      <c r="M64" t="str">
        <f>IF(L64&lt;=Statistics!$E$6,"Low Difference",IF('Product Positioning'!L64&gt;=Statistics!$E$4,"High Difference","Moderate Difference"))</f>
        <v>Low Difference</v>
      </c>
    </row>
    <row r="65" spans="1:13" x14ac:dyDescent="0.2">
      <c r="A65">
        <v>117065</v>
      </c>
      <c r="B65" s="1">
        <v>47.39</v>
      </c>
      <c r="C65" s="1">
        <v>47.31</v>
      </c>
      <c r="D65">
        <v>758</v>
      </c>
      <c r="E65" t="str">
        <f>_xlfn.XLOOKUP(A65, 'Customer Information'!$A$1:$A$1001, 'Customer Information'!$B$1:$B$1001)</f>
        <v>High</v>
      </c>
      <c r="F65" t="str">
        <f>_xlfn.XLOOKUP(A65, 'Customer Information'!$A$1:$A$1001, 'Customer Information'!$C$1:$C$1001)</f>
        <v>Seniors</v>
      </c>
      <c r="G65" t="str">
        <f>_xlfn.XLOOKUP('Customer Information'!A65, 'Customer Information'!$A$1:$A$1001, 'Customer Information'!$D$1:$D$1001)</f>
        <v>Yes</v>
      </c>
      <c r="H65" t="str">
        <f>INDEX('Additional Product Info.'!$A$1:$C$1001, MATCH('Product Positioning'!$A65, 'Additional Product Info.'!$A$1:$A$1001, 0), MATCH('Product Positioning'!H$1, 'Additional Product Info.'!$A$1:$C$1, 0))</f>
        <v>Aisle</v>
      </c>
      <c r="I65" t="str">
        <f>INDEX('Additional Product Info.'!$A$1:$C$1001, MATCH('Product Positioning'!$A65, 'Additional Product Info.'!$A$1:$A$1001, 0), MATCH('Product Positioning'!I$1, 'Additional Product Info.'!$A$1:$C$1, 0))</f>
        <v>Electronics</v>
      </c>
      <c r="J65" t="str">
        <f>_xlfn.XLOOKUP(A65, $A$1:$A$1001, 'Additional Product Info.'!$D$1:$D$1001)</f>
        <v>Yes</v>
      </c>
      <c r="K65" s="1">
        <f t="shared" si="0"/>
        <v>35921.620000000003</v>
      </c>
      <c r="L65" s="1">
        <f t="shared" si="1"/>
        <v>7.9999999999998295E-2</v>
      </c>
      <c r="M65" t="str">
        <f>IF(L65&lt;=Statistics!$E$6,"Low Difference",IF('Product Positioning'!L65&gt;=Statistics!$E$4,"High Difference","Moderate Difference"))</f>
        <v>Low Difference</v>
      </c>
    </row>
    <row r="66" spans="1:13" x14ac:dyDescent="0.2">
      <c r="A66">
        <v>149315</v>
      </c>
      <c r="B66" s="1">
        <v>24.71</v>
      </c>
      <c r="C66" s="1">
        <v>24.08</v>
      </c>
      <c r="D66">
        <v>718</v>
      </c>
      <c r="E66" t="str">
        <f>_xlfn.XLOOKUP(A66, 'Customer Information'!$A$1:$A$1001, 'Customer Information'!$B$1:$B$1001)</f>
        <v>Low</v>
      </c>
      <c r="F66" t="str">
        <f>_xlfn.XLOOKUP(A66, 'Customer Information'!$A$1:$A$1001, 'Customer Information'!$C$1:$C$1001)</f>
        <v>Families</v>
      </c>
      <c r="G66" t="str">
        <f>_xlfn.XLOOKUP('Customer Information'!A66, 'Customer Information'!$A$1:$A$1001, 'Customer Information'!$D$1:$D$1001)</f>
        <v>Yes</v>
      </c>
      <c r="H66" t="str">
        <f>INDEX('Additional Product Info.'!$A$1:$C$1001, MATCH('Product Positioning'!$A66, 'Additional Product Info.'!$A$1:$A$1001, 0), MATCH('Product Positioning'!H$1, 'Additional Product Info.'!$A$1:$C$1, 0))</f>
        <v>End-cap</v>
      </c>
      <c r="I66" t="str">
        <f>INDEX('Additional Product Info.'!$A$1:$C$1001, MATCH('Product Positioning'!$A66, 'Additional Product Info.'!$A$1:$A$1001, 0), MATCH('Product Positioning'!I$1, 'Additional Product Info.'!$A$1:$C$1, 0))</f>
        <v>Electronics</v>
      </c>
      <c r="J66" t="str">
        <f>_xlfn.XLOOKUP(A66, $A$1:$A$1001, 'Additional Product Info.'!$D$1:$D$1001)</f>
        <v>No</v>
      </c>
      <c r="K66" s="1">
        <f t="shared" ref="K66:K129" si="2">B66*D66</f>
        <v>17741.78</v>
      </c>
      <c r="L66" s="1">
        <f t="shared" ref="L66:L129" si="3">ABS(B66-C66)</f>
        <v>0.63000000000000256</v>
      </c>
      <c r="M66" t="str">
        <f>IF(L66&lt;=Statistics!$E$6,"Low Difference",IF('Product Positioning'!L66&gt;=Statistics!$E$4,"High Difference","Moderate Difference"))</f>
        <v>Low Difference</v>
      </c>
    </row>
    <row r="67" spans="1:13" x14ac:dyDescent="0.2">
      <c r="A67">
        <v>149510</v>
      </c>
      <c r="B67" s="1">
        <v>36.18</v>
      </c>
      <c r="C67" s="1">
        <v>34.020000000000003</v>
      </c>
      <c r="D67">
        <v>1412</v>
      </c>
      <c r="E67" t="str">
        <f>_xlfn.XLOOKUP(A67, 'Customer Information'!$A$1:$A$1001, 'Customer Information'!$B$1:$B$1001)</f>
        <v>High</v>
      </c>
      <c r="F67" t="str">
        <f>_xlfn.XLOOKUP(A67, 'Customer Information'!$A$1:$A$1001, 'Customer Information'!$C$1:$C$1001)</f>
        <v>Young adults</v>
      </c>
      <c r="G67" t="str">
        <f>_xlfn.XLOOKUP('Customer Information'!A67, 'Customer Information'!$A$1:$A$1001, 'Customer Information'!$D$1:$D$1001)</f>
        <v>No</v>
      </c>
      <c r="H67" t="str">
        <f>INDEX('Additional Product Info.'!$A$1:$C$1001, MATCH('Product Positioning'!$A67, 'Additional Product Info.'!$A$1:$A$1001, 0), MATCH('Product Positioning'!H$1, 'Additional Product Info.'!$A$1:$C$1, 0))</f>
        <v>Aisle</v>
      </c>
      <c r="I67" t="str">
        <f>INDEX('Additional Product Info.'!$A$1:$C$1001, MATCH('Product Positioning'!$A67, 'Additional Product Info.'!$A$1:$A$1001, 0), MATCH('Product Positioning'!I$1, 'Additional Product Info.'!$A$1:$C$1, 0))</f>
        <v>Clothing</v>
      </c>
      <c r="J67" t="str">
        <f>_xlfn.XLOOKUP(A67, $A$1:$A$1001, 'Additional Product Info.'!$D$1:$D$1001)</f>
        <v>Yes</v>
      </c>
      <c r="K67" s="1">
        <f t="shared" si="2"/>
        <v>51086.159999999996</v>
      </c>
      <c r="L67" s="1">
        <f t="shared" si="3"/>
        <v>2.1599999999999966</v>
      </c>
      <c r="M67" t="str">
        <f>IF(L67&lt;=Statistics!$E$6,"Low Difference",IF('Product Positioning'!L67&gt;=Statistics!$E$4,"High Difference","Moderate Difference"))</f>
        <v>Moderate Difference</v>
      </c>
    </row>
    <row r="68" spans="1:13" x14ac:dyDescent="0.2">
      <c r="A68">
        <v>137990</v>
      </c>
      <c r="B68" s="1">
        <v>12.01</v>
      </c>
      <c r="C68" s="1">
        <v>10.23</v>
      </c>
      <c r="D68">
        <v>2929</v>
      </c>
      <c r="E68" t="str">
        <f>_xlfn.XLOOKUP(A68, 'Customer Information'!$A$1:$A$1001, 'Customer Information'!$B$1:$B$1001)</f>
        <v>High</v>
      </c>
      <c r="F68" t="str">
        <f>_xlfn.XLOOKUP(A68, 'Customer Information'!$A$1:$A$1001, 'Customer Information'!$C$1:$C$1001)</f>
        <v>Seniors</v>
      </c>
      <c r="G68" t="str">
        <f>_xlfn.XLOOKUP('Customer Information'!A68, 'Customer Information'!$A$1:$A$1001, 'Customer Information'!$D$1:$D$1001)</f>
        <v>No</v>
      </c>
      <c r="H68" t="str">
        <f>INDEX('Additional Product Info.'!$A$1:$C$1001, MATCH('Product Positioning'!$A68, 'Additional Product Info.'!$A$1:$A$1001, 0), MATCH('Product Positioning'!H$1, 'Additional Product Info.'!$A$1:$C$1, 0))</f>
        <v>Aisle</v>
      </c>
      <c r="I68" t="str">
        <f>INDEX('Additional Product Info.'!$A$1:$C$1001, MATCH('Product Positioning'!$A68, 'Additional Product Info.'!$A$1:$A$1001, 0), MATCH('Product Positioning'!I$1, 'Additional Product Info.'!$A$1:$C$1, 0))</f>
        <v>Clothing</v>
      </c>
      <c r="J68" t="str">
        <f>_xlfn.XLOOKUP(A68, $A$1:$A$1001, 'Additional Product Info.'!$D$1:$D$1001)</f>
        <v>No</v>
      </c>
      <c r="K68" s="1">
        <f t="shared" si="2"/>
        <v>35177.29</v>
      </c>
      <c r="L68" s="1">
        <f t="shared" si="3"/>
        <v>1.7799999999999994</v>
      </c>
      <c r="M68" t="str">
        <f>IF(L68&lt;=Statistics!$E$6,"Low Difference",IF('Product Positioning'!L68&gt;=Statistics!$E$4,"High Difference","Moderate Difference"))</f>
        <v>Moderate Difference</v>
      </c>
    </row>
    <row r="69" spans="1:13" x14ac:dyDescent="0.2">
      <c r="A69">
        <v>154016</v>
      </c>
      <c r="B69" s="1">
        <v>46.04</v>
      </c>
      <c r="C69" s="1">
        <v>42.05</v>
      </c>
      <c r="D69">
        <v>2366</v>
      </c>
      <c r="E69" t="str">
        <f>_xlfn.XLOOKUP(A69, 'Customer Information'!$A$1:$A$1001, 'Customer Information'!$B$1:$B$1001)</f>
        <v>High</v>
      </c>
      <c r="F69" t="str">
        <f>_xlfn.XLOOKUP(A69, 'Customer Information'!$A$1:$A$1001, 'Customer Information'!$C$1:$C$1001)</f>
        <v>Seniors</v>
      </c>
      <c r="G69" t="str">
        <f>_xlfn.XLOOKUP('Customer Information'!A69, 'Customer Information'!$A$1:$A$1001, 'Customer Information'!$D$1:$D$1001)</f>
        <v>Yes</v>
      </c>
      <c r="H69" t="str">
        <f>INDEX('Additional Product Info.'!$A$1:$C$1001, MATCH('Product Positioning'!$A69, 'Additional Product Info.'!$A$1:$A$1001, 0), MATCH('Product Positioning'!H$1, 'Additional Product Info.'!$A$1:$C$1, 0))</f>
        <v>End-cap</v>
      </c>
      <c r="I69" t="str">
        <f>INDEX('Additional Product Info.'!$A$1:$C$1001, MATCH('Product Positioning'!$A69, 'Additional Product Info.'!$A$1:$A$1001, 0), MATCH('Product Positioning'!I$1, 'Additional Product Info.'!$A$1:$C$1, 0))</f>
        <v>Food</v>
      </c>
      <c r="J69" t="str">
        <f>_xlfn.XLOOKUP(A69, $A$1:$A$1001, 'Additional Product Info.'!$D$1:$D$1001)</f>
        <v>Yes</v>
      </c>
      <c r="K69" s="1">
        <f t="shared" si="2"/>
        <v>108930.64</v>
      </c>
      <c r="L69" s="1">
        <f t="shared" si="3"/>
        <v>3.990000000000002</v>
      </c>
      <c r="M69" t="str">
        <f>IF(L69&lt;=Statistics!$E$6,"Low Difference",IF('Product Positioning'!L69&gt;=Statistics!$E$4,"High Difference","Moderate Difference"))</f>
        <v>High Difference</v>
      </c>
    </row>
    <row r="70" spans="1:13" x14ac:dyDescent="0.2">
      <c r="A70">
        <v>117751</v>
      </c>
      <c r="B70" s="1">
        <v>10</v>
      </c>
      <c r="C70" s="1">
        <v>5.63</v>
      </c>
      <c r="D70">
        <v>2749</v>
      </c>
      <c r="E70" t="str">
        <f>_xlfn.XLOOKUP(A70, 'Customer Information'!$A$1:$A$1001, 'Customer Information'!$B$1:$B$1001)</f>
        <v>Medium</v>
      </c>
      <c r="F70" t="str">
        <f>_xlfn.XLOOKUP(A70, 'Customer Information'!$A$1:$A$1001, 'Customer Information'!$C$1:$C$1001)</f>
        <v>Seniors</v>
      </c>
      <c r="G70" t="str">
        <f>_xlfn.XLOOKUP('Customer Information'!A70, 'Customer Information'!$A$1:$A$1001, 'Customer Information'!$D$1:$D$1001)</f>
        <v>No</v>
      </c>
      <c r="H70" t="str">
        <f>INDEX('Additional Product Info.'!$A$1:$C$1001, MATCH('Product Positioning'!$A70, 'Additional Product Info.'!$A$1:$A$1001, 0), MATCH('Product Positioning'!H$1, 'Additional Product Info.'!$A$1:$C$1, 0))</f>
        <v>Aisle</v>
      </c>
      <c r="I70" t="str">
        <f>INDEX('Additional Product Info.'!$A$1:$C$1001, MATCH('Product Positioning'!$A70, 'Additional Product Info.'!$A$1:$A$1001, 0), MATCH('Product Positioning'!I$1, 'Additional Product Info.'!$A$1:$C$1, 0))</f>
        <v>Electronics</v>
      </c>
      <c r="J70" t="str">
        <f>_xlfn.XLOOKUP(A70, $A$1:$A$1001, 'Additional Product Info.'!$D$1:$D$1001)</f>
        <v>No</v>
      </c>
      <c r="K70" s="1">
        <f t="shared" si="2"/>
        <v>27490</v>
      </c>
      <c r="L70" s="1">
        <f t="shared" si="3"/>
        <v>4.37</v>
      </c>
      <c r="M70" t="str">
        <f>IF(L70&lt;=Statistics!$E$6,"Low Difference",IF('Product Positioning'!L70&gt;=Statistics!$E$4,"High Difference","Moderate Difference"))</f>
        <v>High Difference</v>
      </c>
    </row>
    <row r="71" spans="1:13" x14ac:dyDescent="0.2">
      <c r="A71">
        <v>182362</v>
      </c>
      <c r="B71" s="1">
        <v>14.1</v>
      </c>
      <c r="C71" s="1">
        <v>13.51</v>
      </c>
      <c r="D71">
        <v>2019</v>
      </c>
      <c r="E71" t="str">
        <f>_xlfn.XLOOKUP(A71, 'Customer Information'!$A$1:$A$1001, 'Customer Information'!$B$1:$B$1001)</f>
        <v>Low</v>
      </c>
      <c r="F71" t="str">
        <f>_xlfn.XLOOKUP(A71, 'Customer Information'!$A$1:$A$1001, 'Customer Information'!$C$1:$C$1001)</f>
        <v>Families</v>
      </c>
      <c r="G71" t="str">
        <f>_xlfn.XLOOKUP('Customer Information'!A71, 'Customer Information'!$A$1:$A$1001, 'Customer Information'!$D$1:$D$1001)</f>
        <v>No</v>
      </c>
      <c r="H71" t="str">
        <f>INDEX('Additional Product Info.'!$A$1:$C$1001, MATCH('Product Positioning'!$A71, 'Additional Product Info.'!$A$1:$A$1001, 0), MATCH('Product Positioning'!H$1, 'Additional Product Info.'!$A$1:$C$1, 0))</f>
        <v>Front of Store</v>
      </c>
      <c r="I71" t="str">
        <f>INDEX('Additional Product Info.'!$A$1:$C$1001, MATCH('Product Positioning'!$A71, 'Additional Product Info.'!$A$1:$A$1001, 0), MATCH('Product Positioning'!I$1, 'Additional Product Info.'!$A$1:$C$1, 0))</f>
        <v>Electronics</v>
      </c>
      <c r="J71" t="str">
        <f>_xlfn.XLOOKUP(A71, $A$1:$A$1001, 'Additional Product Info.'!$D$1:$D$1001)</f>
        <v>No</v>
      </c>
      <c r="K71" s="1">
        <f t="shared" si="2"/>
        <v>28467.899999999998</v>
      </c>
      <c r="L71" s="1">
        <f t="shared" si="3"/>
        <v>0.58999999999999986</v>
      </c>
      <c r="M71" t="str">
        <f>IF(L71&lt;=Statistics!$E$6,"Low Difference",IF('Product Positioning'!L71&gt;=Statistics!$E$4,"High Difference","Moderate Difference"))</f>
        <v>Low Difference</v>
      </c>
    </row>
    <row r="72" spans="1:13" x14ac:dyDescent="0.2">
      <c r="A72">
        <v>117725</v>
      </c>
      <c r="B72" s="1">
        <v>40.15</v>
      </c>
      <c r="C72" s="1">
        <v>35.86</v>
      </c>
      <c r="D72">
        <v>1506</v>
      </c>
      <c r="E72" t="str">
        <f>_xlfn.XLOOKUP(A72, 'Customer Information'!$A$1:$A$1001, 'Customer Information'!$B$1:$B$1001)</f>
        <v>Low</v>
      </c>
      <c r="F72" t="str">
        <f>_xlfn.XLOOKUP(A72, 'Customer Information'!$A$1:$A$1001, 'Customer Information'!$C$1:$C$1001)</f>
        <v>Seniors</v>
      </c>
      <c r="G72" t="str">
        <f>_xlfn.XLOOKUP('Customer Information'!A72, 'Customer Information'!$A$1:$A$1001, 'Customer Information'!$D$1:$D$1001)</f>
        <v>No</v>
      </c>
      <c r="H72" t="str">
        <f>INDEX('Additional Product Info.'!$A$1:$C$1001, MATCH('Product Positioning'!$A72, 'Additional Product Info.'!$A$1:$A$1001, 0), MATCH('Product Positioning'!H$1, 'Additional Product Info.'!$A$1:$C$1, 0))</f>
        <v>Aisle</v>
      </c>
      <c r="I72" t="str">
        <f>INDEX('Additional Product Info.'!$A$1:$C$1001, MATCH('Product Positioning'!$A72, 'Additional Product Info.'!$A$1:$A$1001, 0), MATCH('Product Positioning'!I$1, 'Additional Product Info.'!$A$1:$C$1, 0))</f>
        <v>Food</v>
      </c>
      <c r="J72" t="str">
        <f>_xlfn.XLOOKUP(A72, $A$1:$A$1001, 'Additional Product Info.'!$D$1:$D$1001)</f>
        <v>Yes</v>
      </c>
      <c r="K72" s="1">
        <f t="shared" si="2"/>
        <v>60465.9</v>
      </c>
      <c r="L72" s="1">
        <f t="shared" si="3"/>
        <v>4.2899999999999991</v>
      </c>
      <c r="M72" t="str">
        <f>IF(L72&lt;=Statistics!$E$6,"Low Difference",IF('Product Positioning'!L72&gt;=Statistics!$E$4,"High Difference","Moderate Difference"))</f>
        <v>High Difference</v>
      </c>
    </row>
    <row r="73" spans="1:13" x14ac:dyDescent="0.2">
      <c r="A73">
        <v>145289</v>
      </c>
      <c r="B73" s="1">
        <v>30.65</v>
      </c>
      <c r="C73" s="1">
        <v>30.08</v>
      </c>
      <c r="D73">
        <v>1012</v>
      </c>
      <c r="E73" t="str">
        <f>_xlfn.XLOOKUP(A73, 'Customer Information'!$A$1:$A$1001, 'Customer Information'!$B$1:$B$1001)</f>
        <v>High</v>
      </c>
      <c r="F73" t="str">
        <f>_xlfn.XLOOKUP(A73, 'Customer Information'!$A$1:$A$1001, 'Customer Information'!$C$1:$C$1001)</f>
        <v>Families</v>
      </c>
      <c r="G73" t="str">
        <f>_xlfn.XLOOKUP('Customer Information'!A73, 'Customer Information'!$A$1:$A$1001, 'Customer Information'!$D$1:$D$1001)</f>
        <v>No</v>
      </c>
      <c r="H73" t="str">
        <f>INDEX('Additional Product Info.'!$A$1:$C$1001, MATCH('Product Positioning'!$A73, 'Additional Product Info.'!$A$1:$A$1001, 0), MATCH('Product Positioning'!H$1, 'Additional Product Info.'!$A$1:$C$1, 0))</f>
        <v>End-cap</v>
      </c>
      <c r="I73" t="str">
        <f>INDEX('Additional Product Info.'!$A$1:$C$1001, MATCH('Product Positioning'!$A73, 'Additional Product Info.'!$A$1:$A$1001, 0), MATCH('Product Positioning'!I$1, 'Additional Product Info.'!$A$1:$C$1, 0))</f>
        <v>Clothing</v>
      </c>
      <c r="J73" t="str">
        <f>_xlfn.XLOOKUP(A73, $A$1:$A$1001, 'Additional Product Info.'!$D$1:$D$1001)</f>
        <v>No</v>
      </c>
      <c r="K73" s="1">
        <f t="shared" si="2"/>
        <v>31017.8</v>
      </c>
      <c r="L73" s="1">
        <f t="shared" si="3"/>
        <v>0.57000000000000028</v>
      </c>
      <c r="M73" t="str">
        <f>IF(L73&lt;=Statistics!$E$6,"Low Difference",IF('Product Positioning'!L73&gt;=Statistics!$E$4,"High Difference","Moderate Difference"))</f>
        <v>Low Difference</v>
      </c>
    </row>
    <row r="74" spans="1:13" x14ac:dyDescent="0.2">
      <c r="A74">
        <v>173576</v>
      </c>
      <c r="B74" s="1">
        <v>46.74</v>
      </c>
      <c r="C74" s="1">
        <v>46.32</v>
      </c>
      <c r="D74">
        <v>1838</v>
      </c>
      <c r="E74" t="str">
        <f>_xlfn.XLOOKUP(A74, 'Customer Information'!$A$1:$A$1001, 'Customer Information'!$B$1:$B$1001)</f>
        <v>Medium</v>
      </c>
      <c r="F74" t="str">
        <f>_xlfn.XLOOKUP(A74, 'Customer Information'!$A$1:$A$1001, 'Customer Information'!$C$1:$C$1001)</f>
        <v>College students</v>
      </c>
      <c r="G74" t="str">
        <f>_xlfn.XLOOKUP('Customer Information'!A74, 'Customer Information'!$A$1:$A$1001, 'Customer Information'!$D$1:$D$1001)</f>
        <v>Yes</v>
      </c>
      <c r="H74" t="str">
        <f>INDEX('Additional Product Info.'!$A$1:$C$1001, MATCH('Product Positioning'!$A74, 'Additional Product Info.'!$A$1:$A$1001, 0), MATCH('Product Positioning'!H$1, 'Additional Product Info.'!$A$1:$C$1, 0))</f>
        <v>End-cap</v>
      </c>
      <c r="I74" t="str">
        <f>INDEX('Additional Product Info.'!$A$1:$C$1001, MATCH('Product Positioning'!$A74, 'Additional Product Info.'!$A$1:$A$1001, 0), MATCH('Product Positioning'!I$1, 'Additional Product Info.'!$A$1:$C$1, 0))</f>
        <v>Electronics</v>
      </c>
      <c r="J74" t="str">
        <f>_xlfn.XLOOKUP(A74, $A$1:$A$1001, 'Additional Product Info.'!$D$1:$D$1001)</f>
        <v>No</v>
      </c>
      <c r="K74" s="1">
        <f t="shared" si="2"/>
        <v>85908.12000000001</v>
      </c>
      <c r="L74" s="1">
        <f t="shared" si="3"/>
        <v>0.42000000000000171</v>
      </c>
      <c r="M74" t="str">
        <f>IF(L74&lt;=Statistics!$E$6,"Low Difference",IF('Product Positioning'!L74&gt;=Statistics!$E$4,"High Difference","Moderate Difference"))</f>
        <v>Low Difference</v>
      </c>
    </row>
    <row r="75" spans="1:13" x14ac:dyDescent="0.2">
      <c r="A75">
        <v>175059</v>
      </c>
      <c r="B75" s="1">
        <v>19.16</v>
      </c>
      <c r="C75" s="1">
        <v>18.62</v>
      </c>
      <c r="D75">
        <v>2170</v>
      </c>
      <c r="E75" t="str">
        <f>_xlfn.XLOOKUP(A75, 'Customer Information'!$A$1:$A$1001, 'Customer Information'!$B$1:$B$1001)</f>
        <v>High</v>
      </c>
      <c r="F75" t="str">
        <f>_xlfn.XLOOKUP(A75, 'Customer Information'!$A$1:$A$1001, 'Customer Information'!$C$1:$C$1001)</f>
        <v>Seniors</v>
      </c>
      <c r="G75" t="str">
        <f>_xlfn.XLOOKUP('Customer Information'!A75, 'Customer Information'!$A$1:$A$1001, 'Customer Information'!$D$1:$D$1001)</f>
        <v>Yes</v>
      </c>
      <c r="H75" t="str">
        <f>INDEX('Additional Product Info.'!$A$1:$C$1001, MATCH('Product Positioning'!$A75, 'Additional Product Info.'!$A$1:$A$1001, 0), MATCH('Product Positioning'!H$1, 'Additional Product Info.'!$A$1:$C$1, 0))</f>
        <v>Aisle</v>
      </c>
      <c r="I75" t="str">
        <f>INDEX('Additional Product Info.'!$A$1:$C$1001, MATCH('Product Positioning'!$A75, 'Additional Product Info.'!$A$1:$A$1001, 0), MATCH('Product Positioning'!I$1, 'Additional Product Info.'!$A$1:$C$1, 0))</f>
        <v>Food</v>
      </c>
      <c r="J75" t="str">
        <f>_xlfn.XLOOKUP(A75, $A$1:$A$1001, 'Additional Product Info.'!$D$1:$D$1001)</f>
        <v>No</v>
      </c>
      <c r="K75" s="1">
        <f t="shared" si="2"/>
        <v>41577.199999999997</v>
      </c>
      <c r="L75" s="1">
        <f t="shared" si="3"/>
        <v>0.53999999999999915</v>
      </c>
      <c r="M75" t="str">
        <f>IF(L75&lt;=Statistics!$E$6,"Low Difference",IF('Product Positioning'!L75&gt;=Statistics!$E$4,"High Difference","Moderate Difference"))</f>
        <v>Low Difference</v>
      </c>
    </row>
    <row r="76" spans="1:13" x14ac:dyDescent="0.2">
      <c r="A76">
        <v>199368</v>
      </c>
      <c r="B76" s="1">
        <v>31.93</v>
      </c>
      <c r="C76" s="1">
        <v>27.22</v>
      </c>
      <c r="D76">
        <v>1061</v>
      </c>
      <c r="E76" t="str">
        <f>_xlfn.XLOOKUP(A76, 'Customer Information'!$A$1:$A$1001, 'Customer Information'!$B$1:$B$1001)</f>
        <v>Low</v>
      </c>
      <c r="F76" t="str">
        <f>_xlfn.XLOOKUP(A76, 'Customer Information'!$A$1:$A$1001, 'Customer Information'!$C$1:$C$1001)</f>
        <v>Families</v>
      </c>
      <c r="G76" t="str">
        <f>_xlfn.XLOOKUP('Customer Information'!A76, 'Customer Information'!$A$1:$A$1001, 'Customer Information'!$D$1:$D$1001)</f>
        <v>No</v>
      </c>
      <c r="H76" t="str">
        <f>INDEX('Additional Product Info.'!$A$1:$C$1001, MATCH('Product Positioning'!$A76, 'Additional Product Info.'!$A$1:$A$1001, 0), MATCH('Product Positioning'!H$1, 'Additional Product Info.'!$A$1:$C$1, 0))</f>
        <v>Front of Store</v>
      </c>
      <c r="I76" t="str">
        <f>INDEX('Additional Product Info.'!$A$1:$C$1001, MATCH('Product Positioning'!$A76, 'Additional Product Info.'!$A$1:$A$1001, 0), MATCH('Product Positioning'!I$1, 'Additional Product Info.'!$A$1:$C$1, 0))</f>
        <v>Clothing</v>
      </c>
      <c r="J76" t="str">
        <f>_xlfn.XLOOKUP(A76, $A$1:$A$1001, 'Additional Product Info.'!$D$1:$D$1001)</f>
        <v>Yes</v>
      </c>
      <c r="K76" s="1">
        <f t="shared" si="2"/>
        <v>33877.730000000003</v>
      </c>
      <c r="L76" s="1">
        <f t="shared" si="3"/>
        <v>4.7100000000000009</v>
      </c>
      <c r="M76" t="str">
        <f>IF(L76&lt;=Statistics!$E$6,"Low Difference",IF('Product Positioning'!L76&gt;=Statistics!$E$4,"High Difference","Moderate Difference"))</f>
        <v>High Difference</v>
      </c>
    </row>
    <row r="77" spans="1:13" x14ac:dyDescent="0.2">
      <c r="A77">
        <v>162883</v>
      </c>
      <c r="B77" s="1">
        <v>18.3</v>
      </c>
      <c r="C77" s="1">
        <v>14.19</v>
      </c>
      <c r="D77">
        <v>786</v>
      </c>
      <c r="E77" t="str">
        <f>_xlfn.XLOOKUP(A77, 'Customer Information'!$A$1:$A$1001, 'Customer Information'!$B$1:$B$1001)</f>
        <v>Low</v>
      </c>
      <c r="F77" t="str">
        <f>_xlfn.XLOOKUP(A77, 'Customer Information'!$A$1:$A$1001, 'Customer Information'!$C$1:$C$1001)</f>
        <v>Seniors</v>
      </c>
      <c r="G77" t="str">
        <f>_xlfn.XLOOKUP('Customer Information'!A77, 'Customer Information'!$A$1:$A$1001, 'Customer Information'!$D$1:$D$1001)</f>
        <v>Yes</v>
      </c>
      <c r="H77" t="str">
        <f>INDEX('Additional Product Info.'!$A$1:$C$1001, MATCH('Product Positioning'!$A77, 'Additional Product Info.'!$A$1:$A$1001, 0), MATCH('Product Positioning'!H$1, 'Additional Product Info.'!$A$1:$C$1, 0))</f>
        <v>Front of Store</v>
      </c>
      <c r="I77" t="str">
        <f>INDEX('Additional Product Info.'!$A$1:$C$1001, MATCH('Product Positioning'!$A77, 'Additional Product Info.'!$A$1:$A$1001, 0), MATCH('Product Positioning'!I$1, 'Additional Product Info.'!$A$1:$C$1, 0))</f>
        <v>Food</v>
      </c>
      <c r="J77" t="str">
        <f>_xlfn.XLOOKUP(A77, $A$1:$A$1001, 'Additional Product Info.'!$D$1:$D$1001)</f>
        <v>No</v>
      </c>
      <c r="K77" s="1">
        <f t="shared" si="2"/>
        <v>14383.800000000001</v>
      </c>
      <c r="L77" s="1">
        <f t="shared" si="3"/>
        <v>4.1100000000000012</v>
      </c>
      <c r="M77" t="str">
        <f>IF(L77&lt;=Statistics!$E$6,"Low Difference",IF('Product Positioning'!L77&gt;=Statistics!$E$4,"High Difference","Moderate Difference"))</f>
        <v>High Difference</v>
      </c>
    </row>
    <row r="78" spans="1:13" x14ac:dyDescent="0.2">
      <c r="A78">
        <v>135490</v>
      </c>
      <c r="B78" s="1">
        <v>18.72</v>
      </c>
      <c r="C78" s="1">
        <v>17.29</v>
      </c>
      <c r="D78">
        <v>1094</v>
      </c>
      <c r="E78" t="str">
        <f>_xlfn.XLOOKUP(A78, 'Customer Information'!$A$1:$A$1001, 'Customer Information'!$B$1:$B$1001)</f>
        <v>Medium</v>
      </c>
      <c r="F78" t="str">
        <f>_xlfn.XLOOKUP(A78, 'Customer Information'!$A$1:$A$1001, 'Customer Information'!$C$1:$C$1001)</f>
        <v>Families</v>
      </c>
      <c r="G78" t="str">
        <f>_xlfn.XLOOKUP('Customer Information'!A78, 'Customer Information'!$A$1:$A$1001, 'Customer Information'!$D$1:$D$1001)</f>
        <v>No</v>
      </c>
      <c r="H78" t="str">
        <f>INDEX('Additional Product Info.'!$A$1:$C$1001, MATCH('Product Positioning'!$A78, 'Additional Product Info.'!$A$1:$A$1001, 0), MATCH('Product Positioning'!H$1, 'Additional Product Info.'!$A$1:$C$1, 0))</f>
        <v>Front of Store</v>
      </c>
      <c r="I78" t="str">
        <f>INDEX('Additional Product Info.'!$A$1:$C$1001, MATCH('Product Positioning'!$A78, 'Additional Product Info.'!$A$1:$A$1001, 0), MATCH('Product Positioning'!I$1, 'Additional Product Info.'!$A$1:$C$1, 0))</f>
        <v>Clothing</v>
      </c>
      <c r="J78" t="str">
        <f>_xlfn.XLOOKUP(A78, $A$1:$A$1001, 'Additional Product Info.'!$D$1:$D$1001)</f>
        <v>No</v>
      </c>
      <c r="K78" s="1">
        <f t="shared" si="2"/>
        <v>20479.68</v>
      </c>
      <c r="L78" s="1">
        <f t="shared" si="3"/>
        <v>1.4299999999999997</v>
      </c>
      <c r="M78" t="str">
        <f>IF(L78&lt;=Statistics!$E$6,"Low Difference",IF('Product Positioning'!L78&gt;=Statistics!$E$4,"High Difference","Moderate Difference"))</f>
        <v>Moderate Difference</v>
      </c>
    </row>
    <row r="79" spans="1:13" x14ac:dyDescent="0.2">
      <c r="A79">
        <v>125408</v>
      </c>
      <c r="B79" s="1">
        <v>21.79</v>
      </c>
      <c r="C79" s="1">
        <v>18.920000000000002</v>
      </c>
      <c r="D79">
        <v>2220</v>
      </c>
      <c r="E79" t="str">
        <f>_xlfn.XLOOKUP(A79, 'Customer Information'!$A$1:$A$1001, 'Customer Information'!$B$1:$B$1001)</f>
        <v>High</v>
      </c>
      <c r="F79" t="str">
        <f>_xlfn.XLOOKUP(A79, 'Customer Information'!$A$1:$A$1001, 'Customer Information'!$C$1:$C$1001)</f>
        <v>College students</v>
      </c>
      <c r="G79" t="str">
        <f>_xlfn.XLOOKUP('Customer Information'!A79, 'Customer Information'!$A$1:$A$1001, 'Customer Information'!$D$1:$D$1001)</f>
        <v>Yes</v>
      </c>
      <c r="H79" t="str">
        <f>INDEX('Additional Product Info.'!$A$1:$C$1001, MATCH('Product Positioning'!$A79, 'Additional Product Info.'!$A$1:$A$1001, 0), MATCH('Product Positioning'!H$1, 'Additional Product Info.'!$A$1:$C$1, 0))</f>
        <v>End-cap</v>
      </c>
      <c r="I79" t="str">
        <f>INDEX('Additional Product Info.'!$A$1:$C$1001, MATCH('Product Positioning'!$A79, 'Additional Product Info.'!$A$1:$A$1001, 0), MATCH('Product Positioning'!I$1, 'Additional Product Info.'!$A$1:$C$1, 0))</f>
        <v>Clothing</v>
      </c>
      <c r="J79" t="str">
        <f>_xlfn.XLOOKUP(A79, $A$1:$A$1001, 'Additional Product Info.'!$D$1:$D$1001)</f>
        <v>Yes</v>
      </c>
      <c r="K79" s="1">
        <f t="shared" si="2"/>
        <v>48373.799999999996</v>
      </c>
      <c r="L79" s="1">
        <f t="shared" si="3"/>
        <v>2.8699999999999974</v>
      </c>
      <c r="M79" t="str">
        <f>IF(L79&lt;=Statistics!$E$6,"Low Difference",IF('Product Positioning'!L79&gt;=Statistics!$E$4,"High Difference","Moderate Difference"))</f>
        <v>Moderate Difference</v>
      </c>
    </row>
    <row r="80" spans="1:13" x14ac:dyDescent="0.2">
      <c r="A80">
        <v>134763</v>
      </c>
      <c r="B80" s="1">
        <v>18.75</v>
      </c>
      <c r="C80" s="1">
        <v>17.420000000000002</v>
      </c>
      <c r="D80">
        <v>2048</v>
      </c>
      <c r="E80" t="str">
        <f>_xlfn.XLOOKUP(A80, 'Customer Information'!$A$1:$A$1001, 'Customer Information'!$B$1:$B$1001)</f>
        <v>Low</v>
      </c>
      <c r="F80" t="str">
        <f>_xlfn.XLOOKUP(A80, 'Customer Information'!$A$1:$A$1001, 'Customer Information'!$C$1:$C$1001)</f>
        <v>College students</v>
      </c>
      <c r="G80" t="str">
        <f>_xlfn.XLOOKUP('Customer Information'!A80, 'Customer Information'!$A$1:$A$1001, 'Customer Information'!$D$1:$D$1001)</f>
        <v>No</v>
      </c>
      <c r="H80" t="str">
        <f>INDEX('Additional Product Info.'!$A$1:$C$1001, MATCH('Product Positioning'!$A80, 'Additional Product Info.'!$A$1:$A$1001, 0), MATCH('Product Positioning'!H$1, 'Additional Product Info.'!$A$1:$C$1, 0))</f>
        <v>Front of Store</v>
      </c>
      <c r="I80" t="str">
        <f>INDEX('Additional Product Info.'!$A$1:$C$1001, MATCH('Product Positioning'!$A80, 'Additional Product Info.'!$A$1:$A$1001, 0), MATCH('Product Positioning'!I$1, 'Additional Product Info.'!$A$1:$C$1, 0))</f>
        <v>Clothing</v>
      </c>
      <c r="J80" t="str">
        <f>_xlfn.XLOOKUP(A80, $A$1:$A$1001, 'Additional Product Info.'!$D$1:$D$1001)</f>
        <v>Yes</v>
      </c>
      <c r="K80" s="1">
        <f t="shared" si="2"/>
        <v>38400</v>
      </c>
      <c r="L80" s="1">
        <f t="shared" si="3"/>
        <v>1.3299999999999983</v>
      </c>
      <c r="M80" t="str">
        <f>IF(L80&lt;=Statistics!$E$6,"Low Difference",IF('Product Positioning'!L80&gt;=Statistics!$E$4,"High Difference","Moderate Difference"))</f>
        <v>Moderate Difference</v>
      </c>
    </row>
    <row r="81" spans="1:13" x14ac:dyDescent="0.2">
      <c r="A81">
        <v>143231</v>
      </c>
      <c r="B81" s="1">
        <v>44.2</v>
      </c>
      <c r="C81" s="1">
        <v>42.72</v>
      </c>
      <c r="D81">
        <v>2578</v>
      </c>
      <c r="E81" t="str">
        <f>_xlfn.XLOOKUP(A81, 'Customer Information'!$A$1:$A$1001, 'Customer Information'!$B$1:$B$1001)</f>
        <v>Low</v>
      </c>
      <c r="F81" t="str">
        <f>_xlfn.XLOOKUP(A81, 'Customer Information'!$A$1:$A$1001, 'Customer Information'!$C$1:$C$1001)</f>
        <v>Families</v>
      </c>
      <c r="G81" t="str">
        <f>_xlfn.XLOOKUP('Customer Information'!A81, 'Customer Information'!$A$1:$A$1001, 'Customer Information'!$D$1:$D$1001)</f>
        <v>No</v>
      </c>
      <c r="H81" t="str">
        <f>INDEX('Additional Product Info.'!$A$1:$C$1001, MATCH('Product Positioning'!$A81, 'Additional Product Info.'!$A$1:$A$1001, 0), MATCH('Product Positioning'!H$1, 'Additional Product Info.'!$A$1:$C$1, 0))</f>
        <v>Aisle</v>
      </c>
      <c r="I81" t="str">
        <f>INDEX('Additional Product Info.'!$A$1:$C$1001, MATCH('Product Positioning'!$A81, 'Additional Product Info.'!$A$1:$A$1001, 0), MATCH('Product Positioning'!I$1, 'Additional Product Info.'!$A$1:$C$1, 0))</f>
        <v>Food</v>
      </c>
      <c r="J81" t="str">
        <f>_xlfn.XLOOKUP(A81, $A$1:$A$1001, 'Additional Product Info.'!$D$1:$D$1001)</f>
        <v>No</v>
      </c>
      <c r="K81" s="1">
        <f t="shared" si="2"/>
        <v>113947.6</v>
      </c>
      <c r="L81" s="1">
        <f t="shared" si="3"/>
        <v>1.480000000000004</v>
      </c>
      <c r="M81" t="str">
        <f>IF(L81&lt;=Statistics!$E$6,"Low Difference",IF('Product Positioning'!L81&gt;=Statistics!$E$4,"High Difference","Moderate Difference"))</f>
        <v>Moderate Difference</v>
      </c>
    </row>
    <row r="82" spans="1:13" x14ac:dyDescent="0.2">
      <c r="A82">
        <v>125409</v>
      </c>
      <c r="B82" s="1">
        <v>42.55</v>
      </c>
      <c r="C82" s="1">
        <v>40.35</v>
      </c>
      <c r="D82">
        <v>2040</v>
      </c>
      <c r="E82" t="str">
        <f>_xlfn.XLOOKUP(A82, 'Customer Information'!$A$1:$A$1001, 'Customer Information'!$B$1:$B$1001)</f>
        <v>High</v>
      </c>
      <c r="F82" t="str">
        <f>_xlfn.XLOOKUP(A82, 'Customer Information'!$A$1:$A$1001, 'Customer Information'!$C$1:$C$1001)</f>
        <v>College students</v>
      </c>
      <c r="G82" t="str">
        <f>_xlfn.XLOOKUP('Customer Information'!A82, 'Customer Information'!$A$1:$A$1001, 'Customer Information'!$D$1:$D$1001)</f>
        <v>Yes</v>
      </c>
      <c r="H82" t="str">
        <f>INDEX('Additional Product Info.'!$A$1:$C$1001, MATCH('Product Positioning'!$A82, 'Additional Product Info.'!$A$1:$A$1001, 0), MATCH('Product Positioning'!H$1, 'Additional Product Info.'!$A$1:$C$1, 0))</f>
        <v>End-cap</v>
      </c>
      <c r="I82" t="str">
        <f>INDEX('Additional Product Info.'!$A$1:$C$1001, MATCH('Product Positioning'!$A82, 'Additional Product Info.'!$A$1:$A$1001, 0), MATCH('Product Positioning'!I$1, 'Additional Product Info.'!$A$1:$C$1, 0))</f>
        <v>Clothing</v>
      </c>
      <c r="J82" t="str">
        <f>_xlfn.XLOOKUP(A82, $A$1:$A$1001, 'Additional Product Info.'!$D$1:$D$1001)</f>
        <v>No</v>
      </c>
      <c r="K82" s="1">
        <f t="shared" si="2"/>
        <v>86802</v>
      </c>
      <c r="L82" s="1">
        <f t="shared" si="3"/>
        <v>2.1999999999999957</v>
      </c>
      <c r="M82" t="str">
        <f>IF(L82&lt;=Statistics!$E$6,"Low Difference",IF('Product Positioning'!L82&gt;=Statistics!$E$4,"High Difference","Moderate Difference"))</f>
        <v>Moderate Difference</v>
      </c>
    </row>
    <row r="83" spans="1:13" x14ac:dyDescent="0.2">
      <c r="A83">
        <v>183074</v>
      </c>
      <c r="B83" s="1">
        <v>34.15</v>
      </c>
      <c r="C83" s="1">
        <v>30.46</v>
      </c>
      <c r="D83">
        <v>2791</v>
      </c>
      <c r="E83" t="str">
        <f>_xlfn.XLOOKUP(A83, 'Customer Information'!$A$1:$A$1001, 'Customer Information'!$B$1:$B$1001)</f>
        <v>Low</v>
      </c>
      <c r="F83" t="str">
        <f>_xlfn.XLOOKUP(A83, 'Customer Information'!$A$1:$A$1001, 'Customer Information'!$C$1:$C$1001)</f>
        <v>College students</v>
      </c>
      <c r="G83" t="str">
        <f>_xlfn.XLOOKUP('Customer Information'!A83, 'Customer Information'!$A$1:$A$1001, 'Customer Information'!$D$1:$D$1001)</f>
        <v>No</v>
      </c>
      <c r="H83" t="str">
        <f>INDEX('Additional Product Info.'!$A$1:$C$1001, MATCH('Product Positioning'!$A83, 'Additional Product Info.'!$A$1:$A$1001, 0), MATCH('Product Positioning'!H$1, 'Additional Product Info.'!$A$1:$C$1, 0))</f>
        <v>Aisle</v>
      </c>
      <c r="I83" t="str">
        <f>INDEX('Additional Product Info.'!$A$1:$C$1001, MATCH('Product Positioning'!$A83, 'Additional Product Info.'!$A$1:$A$1001, 0), MATCH('Product Positioning'!I$1, 'Additional Product Info.'!$A$1:$C$1, 0))</f>
        <v>Clothing</v>
      </c>
      <c r="J83" t="str">
        <f>_xlfn.XLOOKUP(A83, $A$1:$A$1001, 'Additional Product Info.'!$D$1:$D$1001)</f>
        <v>No</v>
      </c>
      <c r="K83" s="1">
        <f t="shared" si="2"/>
        <v>95312.65</v>
      </c>
      <c r="L83" s="1">
        <f t="shared" si="3"/>
        <v>3.6899999999999977</v>
      </c>
      <c r="M83" t="str">
        <f>IF(L83&lt;=Statistics!$E$6,"Low Difference",IF('Product Positioning'!L83&gt;=Statistics!$E$4,"High Difference","Moderate Difference"))</f>
        <v>Moderate Difference</v>
      </c>
    </row>
    <row r="84" spans="1:13" x14ac:dyDescent="0.2">
      <c r="A84">
        <v>147947</v>
      </c>
      <c r="B84" s="1">
        <v>19.239999999999998</v>
      </c>
      <c r="C84" s="1">
        <v>15.64</v>
      </c>
      <c r="D84">
        <v>1249</v>
      </c>
      <c r="E84" t="str">
        <f>_xlfn.XLOOKUP(A84, 'Customer Information'!$A$1:$A$1001, 'Customer Information'!$B$1:$B$1001)</f>
        <v>High</v>
      </c>
      <c r="F84" t="str">
        <f>_xlfn.XLOOKUP(A84, 'Customer Information'!$A$1:$A$1001, 'Customer Information'!$C$1:$C$1001)</f>
        <v>Young adults</v>
      </c>
      <c r="G84" t="str">
        <f>_xlfn.XLOOKUP('Customer Information'!A84, 'Customer Information'!$A$1:$A$1001, 'Customer Information'!$D$1:$D$1001)</f>
        <v>Yes</v>
      </c>
      <c r="H84" t="str">
        <f>INDEX('Additional Product Info.'!$A$1:$C$1001, MATCH('Product Positioning'!$A84, 'Additional Product Info.'!$A$1:$A$1001, 0), MATCH('Product Positioning'!H$1, 'Additional Product Info.'!$A$1:$C$1, 0))</f>
        <v>Aisle</v>
      </c>
      <c r="I84" t="str">
        <f>INDEX('Additional Product Info.'!$A$1:$C$1001, MATCH('Product Positioning'!$A84, 'Additional Product Info.'!$A$1:$A$1001, 0), MATCH('Product Positioning'!I$1, 'Additional Product Info.'!$A$1:$C$1, 0))</f>
        <v>Clothing</v>
      </c>
      <c r="J84" t="str">
        <f>_xlfn.XLOOKUP(A84, $A$1:$A$1001, 'Additional Product Info.'!$D$1:$D$1001)</f>
        <v>Yes</v>
      </c>
      <c r="K84" s="1">
        <f t="shared" si="2"/>
        <v>24030.76</v>
      </c>
      <c r="L84" s="1">
        <f t="shared" si="3"/>
        <v>3.5999999999999979</v>
      </c>
      <c r="M84" t="str">
        <f>IF(L84&lt;=Statistics!$E$6,"Low Difference",IF('Product Positioning'!L84&gt;=Statistics!$E$4,"High Difference","Moderate Difference"))</f>
        <v>Moderate Difference</v>
      </c>
    </row>
    <row r="85" spans="1:13" x14ac:dyDescent="0.2">
      <c r="A85">
        <v>174171</v>
      </c>
      <c r="B85" s="1">
        <v>8.01</v>
      </c>
      <c r="C85" s="1">
        <v>5.34</v>
      </c>
      <c r="D85">
        <v>2273</v>
      </c>
      <c r="E85" t="str">
        <f>_xlfn.XLOOKUP(A85, 'Customer Information'!$A$1:$A$1001, 'Customer Information'!$B$1:$B$1001)</f>
        <v>Medium</v>
      </c>
      <c r="F85" t="str">
        <f>_xlfn.XLOOKUP(A85, 'Customer Information'!$A$1:$A$1001, 'Customer Information'!$C$1:$C$1001)</f>
        <v>Seniors</v>
      </c>
      <c r="G85" t="str">
        <f>_xlfn.XLOOKUP('Customer Information'!A85, 'Customer Information'!$A$1:$A$1001, 'Customer Information'!$D$1:$D$1001)</f>
        <v>Yes</v>
      </c>
      <c r="H85" t="str">
        <f>INDEX('Additional Product Info.'!$A$1:$C$1001, MATCH('Product Positioning'!$A85, 'Additional Product Info.'!$A$1:$A$1001, 0), MATCH('Product Positioning'!H$1, 'Additional Product Info.'!$A$1:$C$1, 0))</f>
        <v>Front of Store</v>
      </c>
      <c r="I85" t="str">
        <f>INDEX('Additional Product Info.'!$A$1:$C$1001, MATCH('Product Positioning'!$A85, 'Additional Product Info.'!$A$1:$A$1001, 0), MATCH('Product Positioning'!I$1, 'Additional Product Info.'!$A$1:$C$1, 0))</f>
        <v>Food</v>
      </c>
      <c r="J85" t="str">
        <f>_xlfn.XLOOKUP(A85, $A$1:$A$1001, 'Additional Product Info.'!$D$1:$D$1001)</f>
        <v>Yes</v>
      </c>
      <c r="K85" s="1">
        <f t="shared" si="2"/>
        <v>18206.73</v>
      </c>
      <c r="L85" s="1">
        <f t="shared" si="3"/>
        <v>2.67</v>
      </c>
      <c r="M85" t="str">
        <f>IF(L85&lt;=Statistics!$E$6,"Low Difference",IF('Product Positioning'!L85&gt;=Statistics!$E$4,"High Difference","Moderate Difference"))</f>
        <v>Moderate Difference</v>
      </c>
    </row>
    <row r="86" spans="1:13" x14ac:dyDescent="0.2">
      <c r="A86">
        <v>183064</v>
      </c>
      <c r="B86" s="1">
        <v>19.25</v>
      </c>
      <c r="C86" s="1">
        <v>17.13</v>
      </c>
      <c r="D86">
        <v>1773</v>
      </c>
      <c r="E86" t="str">
        <f>_xlfn.XLOOKUP(A86, 'Customer Information'!$A$1:$A$1001, 'Customer Information'!$B$1:$B$1001)</f>
        <v>Low</v>
      </c>
      <c r="F86" t="str">
        <f>_xlfn.XLOOKUP(A86, 'Customer Information'!$A$1:$A$1001, 'Customer Information'!$C$1:$C$1001)</f>
        <v>Young adults</v>
      </c>
      <c r="G86" t="str">
        <f>_xlfn.XLOOKUP('Customer Information'!A86, 'Customer Information'!$A$1:$A$1001, 'Customer Information'!$D$1:$D$1001)</f>
        <v>Yes</v>
      </c>
      <c r="H86" t="str">
        <f>INDEX('Additional Product Info.'!$A$1:$C$1001, MATCH('Product Positioning'!$A86, 'Additional Product Info.'!$A$1:$A$1001, 0), MATCH('Product Positioning'!H$1, 'Additional Product Info.'!$A$1:$C$1, 0))</f>
        <v>Front of Store</v>
      </c>
      <c r="I86" t="str">
        <f>INDEX('Additional Product Info.'!$A$1:$C$1001, MATCH('Product Positioning'!$A86, 'Additional Product Info.'!$A$1:$A$1001, 0), MATCH('Product Positioning'!I$1, 'Additional Product Info.'!$A$1:$C$1, 0))</f>
        <v>Electronics</v>
      </c>
      <c r="J86" t="str">
        <f>_xlfn.XLOOKUP(A86, $A$1:$A$1001, 'Additional Product Info.'!$D$1:$D$1001)</f>
        <v>No</v>
      </c>
      <c r="K86" s="1">
        <f t="shared" si="2"/>
        <v>34130.25</v>
      </c>
      <c r="L86" s="1">
        <f t="shared" si="3"/>
        <v>2.120000000000001</v>
      </c>
      <c r="M86" t="str">
        <f>IF(L86&lt;=Statistics!$E$6,"Low Difference",IF('Product Positioning'!L86&gt;=Statistics!$E$4,"High Difference","Moderate Difference"))</f>
        <v>Moderate Difference</v>
      </c>
    </row>
    <row r="87" spans="1:13" x14ac:dyDescent="0.2">
      <c r="A87">
        <v>177131</v>
      </c>
      <c r="B87" s="1">
        <v>47.16</v>
      </c>
      <c r="C87" s="1">
        <v>43.78</v>
      </c>
      <c r="D87">
        <v>1733</v>
      </c>
      <c r="E87" t="str">
        <f>_xlfn.XLOOKUP(A87, 'Customer Information'!$A$1:$A$1001, 'Customer Information'!$B$1:$B$1001)</f>
        <v>High</v>
      </c>
      <c r="F87" t="str">
        <f>_xlfn.XLOOKUP(A87, 'Customer Information'!$A$1:$A$1001, 'Customer Information'!$C$1:$C$1001)</f>
        <v>Families</v>
      </c>
      <c r="G87" t="str">
        <f>_xlfn.XLOOKUP('Customer Information'!A87, 'Customer Information'!$A$1:$A$1001, 'Customer Information'!$D$1:$D$1001)</f>
        <v>Yes</v>
      </c>
      <c r="H87" t="str">
        <f>INDEX('Additional Product Info.'!$A$1:$C$1001, MATCH('Product Positioning'!$A87, 'Additional Product Info.'!$A$1:$A$1001, 0), MATCH('Product Positioning'!H$1, 'Additional Product Info.'!$A$1:$C$1, 0))</f>
        <v>Aisle</v>
      </c>
      <c r="I87" t="str">
        <f>INDEX('Additional Product Info.'!$A$1:$C$1001, MATCH('Product Positioning'!$A87, 'Additional Product Info.'!$A$1:$A$1001, 0), MATCH('Product Positioning'!I$1, 'Additional Product Info.'!$A$1:$C$1, 0))</f>
        <v>Food</v>
      </c>
      <c r="J87" t="str">
        <f>_xlfn.XLOOKUP(A87, $A$1:$A$1001, 'Additional Product Info.'!$D$1:$D$1001)</f>
        <v>Yes</v>
      </c>
      <c r="K87" s="1">
        <f t="shared" si="2"/>
        <v>81728.28</v>
      </c>
      <c r="L87" s="1">
        <f t="shared" si="3"/>
        <v>3.3799999999999955</v>
      </c>
      <c r="M87" t="str">
        <f>IF(L87&lt;=Statistics!$E$6,"Low Difference",IF('Product Positioning'!L87&gt;=Statistics!$E$4,"High Difference","Moderate Difference"))</f>
        <v>Moderate Difference</v>
      </c>
    </row>
    <row r="88" spans="1:13" x14ac:dyDescent="0.2">
      <c r="A88">
        <v>128179</v>
      </c>
      <c r="B88" s="1">
        <v>38.75</v>
      </c>
      <c r="C88" s="1">
        <v>35.22</v>
      </c>
      <c r="D88">
        <v>2060</v>
      </c>
      <c r="E88" t="str">
        <f>_xlfn.XLOOKUP(A88, 'Customer Information'!$A$1:$A$1001, 'Customer Information'!$B$1:$B$1001)</f>
        <v>High</v>
      </c>
      <c r="F88" t="str">
        <f>_xlfn.XLOOKUP(A88, 'Customer Information'!$A$1:$A$1001, 'Customer Information'!$C$1:$C$1001)</f>
        <v>Seniors</v>
      </c>
      <c r="G88" t="str">
        <f>_xlfn.XLOOKUP('Customer Information'!A88, 'Customer Information'!$A$1:$A$1001, 'Customer Information'!$D$1:$D$1001)</f>
        <v>Yes</v>
      </c>
      <c r="H88" t="str">
        <f>INDEX('Additional Product Info.'!$A$1:$C$1001, MATCH('Product Positioning'!$A88, 'Additional Product Info.'!$A$1:$A$1001, 0), MATCH('Product Positioning'!H$1, 'Additional Product Info.'!$A$1:$C$1, 0))</f>
        <v>End-cap</v>
      </c>
      <c r="I88" t="str">
        <f>INDEX('Additional Product Info.'!$A$1:$C$1001, MATCH('Product Positioning'!$A88, 'Additional Product Info.'!$A$1:$A$1001, 0), MATCH('Product Positioning'!I$1, 'Additional Product Info.'!$A$1:$C$1, 0))</f>
        <v>Electronics</v>
      </c>
      <c r="J88" t="str">
        <f>_xlfn.XLOOKUP(A88, $A$1:$A$1001, 'Additional Product Info.'!$D$1:$D$1001)</f>
        <v>No</v>
      </c>
      <c r="K88" s="1">
        <f t="shared" si="2"/>
        <v>79825</v>
      </c>
      <c r="L88" s="1">
        <f t="shared" si="3"/>
        <v>3.5300000000000011</v>
      </c>
      <c r="M88" t="str">
        <f>IF(L88&lt;=Statistics!$E$6,"Low Difference",IF('Product Positioning'!L88&gt;=Statistics!$E$4,"High Difference","Moderate Difference"))</f>
        <v>Moderate Difference</v>
      </c>
    </row>
    <row r="89" spans="1:13" x14ac:dyDescent="0.2">
      <c r="A89">
        <v>152723</v>
      </c>
      <c r="B89" s="1">
        <v>44.16</v>
      </c>
      <c r="C89" s="1">
        <v>42.34</v>
      </c>
      <c r="D89">
        <v>2849</v>
      </c>
      <c r="E89" t="str">
        <f>_xlfn.XLOOKUP(A89, 'Customer Information'!$A$1:$A$1001, 'Customer Information'!$B$1:$B$1001)</f>
        <v>High</v>
      </c>
      <c r="F89" t="str">
        <f>_xlfn.XLOOKUP(A89, 'Customer Information'!$A$1:$A$1001, 'Customer Information'!$C$1:$C$1001)</f>
        <v>Seniors</v>
      </c>
      <c r="G89" t="str">
        <f>_xlfn.XLOOKUP('Customer Information'!A89, 'Customer Information'!$A$1:$A$1001, 'Customer Information'!$D$1:$D$1001)</f>
        <v>No</v>
      </c>
      <c r="H89" t="str">
        <f>INDEX('Additional Product Info.'!$A$1:$C$1001, MATCH('Product Positioning'!$A89, 'Additional Product Info.'!$A$1:$A$1001, 0), MATCH('Product Positioning'!H$1, 'Additional Product Info.'!$A$1:$C$1, 0))</f>
        <v>Aisle</v>
      </c>
      <c r="I89" t="str">
        <f>INDEX('Additional Product Info.'!$A$1:$C$1001, MATCH('Product Positioning'!$A89, 'Additional Product Info.'!$A$1:$A$1001, 0), MATCH('Product Positioning'!I$1, 'Additional Product Info.'!$A$1:$C$1, 0))</f>
        <v>Food</v>
      </c>
      <c r="J89" t="str">
        <f>_xlfn.XLOOKUP(A89, $A$1:$A$1001, 'Additional Product Info.'!$D$1:$D$1001)</f>
        <v>Yes</v>
      </c>
      <c r="K89" s="1">
        <f t="shared" si="2"/>
        <v>125811.84</v>
      </c>
      <c r="L89" s="1">
        <f t="shared" si="3"/>
        <v>1.8199999999999932</v>
      </c>
      <c r="M89" t="str">
        <f>IF(L89&lt;=Statistics!$E$6,"Low Difference",IF('Product Positioning'!L89&gt;=Statistics!$E$4,"High Difference","Moderate Difference"))</f>
        <v>Moderate Difference</v>
      </c>
    </row>
    <row r="90" spans="1:13" x14ac:dyDescent="0.2">
      <c r="A90">
        <v>123824</v>
      </c>
      <c r="B90" s="1">
        <v>32.35</v>
      </c>
      <c r="C90" s="1">
        <v>28.97</v>
      </c>
      <c r="D90">
        <v>2277</v>
      </c>
      <c r="E90" t="str">
        <f>_xlfn.XLOOKUP(A90, 'Customer Information'!$A$1:$A$1001, 'Customer Information'!$B$1:$B$1001)</f>
        <v>Low</v>
      </c>
      <c r="F90" t="str">
        <f>_xlfn.XLOOKUP(A90, 'Customer Information'!$A$1:$A$1001, 'Customer Information'!$C$1:$C$1001)</f>
        <v>Families</v>
      </c>
      <c r="G90" t="str">
        <f>_xlfn.XLOOKUP('Customer Information'!A90, 'Customer Information'!$A$1:$A$1001, 'Customer Information'!$D$1:$D$1001)</f>
        <v>Yes</v>
      </c>
      <c r="H90" t="str">
        <f>INDEX('Additional Product Info.'!$A$1:$C$1001, MATCH('Product Positioning'!$A90, 'Additional Product Info.'!$A$1:$A$1001, 0), MATCH('Product Positioning'!H$1, 'Additional Product Info.'!$A$1:$C$1, 0))</f>
        <v>Aisle</v>
      </c>
      <c r="I90" t="str">
        <f>INDEX('Additional Product Info.'!$A$1:$C$1001, MATCH('Product Positioning'!$A90, 'Additional Product Info.'!$A$1:$A$1001, 0), MATCH('Product Positioning'!I$1, 'Additional Product Info.'!$A$1:$C$1, 0))</f>
        <v>Electronics</v>
      </c>
      <c r="J90" t="str">
        <f>_xlfn.XLOOKUP(A90, $A$1:$A$1001, 'Additional Product Info.'!$D$1:$D$1001)</f>
        <v>No</v>
      </c>
      <c r="K90" s="1">
        <f t="shared" si="2"/>
        <v>73660.95</v>
      </c>
      <c r="L90" s="1">
        <f t="shared" si="3"/>
        <v>3.3800000000000026</v>
      </c>
      <c r="M90" t="str">
        <f>IF(L90&lt;=Statistics!$E$6,"Low Difference",IF('Product Positioning'!L90&gt;=Statistics!$E$4,"High Difference","Moderate Difference"))</f>
        <v>Moderate Difference</v>
      </c>
    </row>
    <row r="91" spans="1:13" x14ac:dyDescent="0.2">
      <c r="A91">
        <v>166345</v>
      </c>
      <c r="B91" s="1">
        <v>40.770000000000003</v>
      </c>
      <c r="C91" s="1">
        <v>39.729999999999997</v>
      </c>
      <c r="D91">
        <v>1135</v>
      </c>
      <c r="E91" t="str">
        <f>_xlfn.XLOOKUP(A91, 'Customer Information'!$A$1:$A$1001, 'Customer Information'!$B$1:$B$1001)</f>
        <v>Low</v>
      </c>
      <c r="F91" t="str">
        <f>_xlfn.XLOOKUP(A91, 'Customer Information'!$A$1:$A$1001, 'Customer Information'!$C$1:$C$1001)</f>
        <v>Seniors</v>
      </c>
      <c r="G91" t="str">
        <f>_xlfn.XLOOKUP('Customer Information'!A91, 'Customer Information'!$A$1:$A$1001, 'Customer Information'!$D$1:$D$1001)</f>
        <v>No</v>
      </c>
      <c r="H91" t="str">
        <f>INDEX('Additional Product Info.'!$A$1:$C$1001, MATCH('Product Positioning'!$A91, 'Additional Product Info.'!$A$1:$A$1001, 0), MATCH('Product Positioning'!H$1, 'Additional Product Info.'!$A$1:$C$1, 0))</f>
        <v>Aisle</v>
      </c>
      <c r="I91" t="str">
        <f>INDEX('Additional Product Info.'!$A$1:$C$1001, MATCH('Product Positioning'!$A91, 'Additional Product Info.'!$A$1:$A$1001, 0), MATCH('Product Positioning'!I$1, 'Additional Product Info.'!$A$1:$C$1, 0))</f>
        <v>Electronics</v>
      </c>
      <c r="J91" t="str">
        <f>_xlfn.XLOOKUP(A91, $A$1:$A$1001, 'Additional Product Info.'!$D$1:$D$1001)</f>
        <v>Yes</v>
      </c>
      <c r="K91" s="1">
        <f t="shared" si="2"/>
        <v>46273.950000000004</v>
      </c>
      <c r="L91" s="1">
        <f t="shared" si="3"/>
        <v>1.0400000000000063</v>
      </c>
      <c r="M91" t="str">
        <f>IF(L91&lt;=Statistics!$E$6,"Low Difference",IF('Product Positioning'!L91&gt;=Statistics!$E$4,"High Difference","Moderate Difference"))</f>
        <v>Low Difference</v>
      </c>
    </row>
    <row r="92" spans="1:13" x14ac:dyDescent="0.2">
      <c r="A92">
        <v>199279</v>
      </c>
      <c r="B92" s="1">
        <v>18.36</v>
      </c>
      <c r="C92" s="1">
        <v>15.23</v>
      </c>
      <c r="D92">
        <v>1770</v>
      </c>
      <c r="E92" t="str">
        <f>_xlfn.XLOOKUP(A92, 'Customer Information'!$A$1:$A$1001, 'Customer Information'!$B$1:$B$1001)</f>
        <v>Low</v>
      </c>
      <c r="F92" t="str">
        <f>_xlfn.XLOOKUP(A92, 'Customer Information'!$A$1:$A$1001, 'Customer Information'!$C$1:$C$1001)</f>
        <v>Seniors</v>
      </c>
      <c r="G92" t="str">
        <f>_xlfn.XLOOKUP('Customer Information'!A92, 'Customer Information'!$A$1:$A$1001, 'Customer Information'!$D$1:$D$1001)</f>
        <v>No</v>
      </c>
      <c r="H92" t="str">
        <f>INDEX('Additional Product Info.'!$A$1:$C$1001, MATCH('Product Positioning'!$A92, 'Additional Product Info.'!$A$1:$A$1001, 0), MATCH('Product Positioning'!H$1, 'Additional Product Info.'!$A$1:$C$1, 0))</f>
        <v>Aisle</v>
      </c>
      <c r="I92" t="str">
        <f>INDEX('Additional Product Info.'!$A$1:$C$1001, MATCH('Product Positioning'!$A92, 'Additional Product Info.'!$A$1:$A$1001, 0), MATCH('Product Positioning'!I$1, 'Additional Product Info.'!$A$1:$C$1, 0))</f>
        <v>Electronics</v>
      </c>
      <c r="J92" t="str">
        <f>_xlfn.XLOOKUP(A92, $A$1:$A$1001, 'Additional Product Info.'!$D$1:$D$1001)</f>
        <v>No</v>
      </c>
      <c r="K92" s="1">
        <f t="shared" si="2"/>
        <v>32497.200000000001</v>
      </c>
      <c r="L92" s="1">
        <f t="shared" si="3"/>
        <v>3.129999999999999</v>
      </c>
      <c r="M92" t="str">
        <f>IF(L92&lt;=Statistics!$E$6,"Low Difference",IF('Product Positioning'!L92&gt;=Statistics!$E$4,"High Difference","Moderate Difference"))</f>
        <v>Moderate Difference</v>
      </c>
    </row>
    <row r="93" spans="1:13" x14ac:dyDescent="0.2">
      <c r="A93">
        <v>167981</v>
      </c>
      <c r="B93" s="1">
        <v>37.4</v>
      </c>
      <c r="C93" s="1">
        <v>37.29</v>
      </c>
      <c r="D93">
        <v>730</v>
      </c>
      <c r="E93" t="str">
        <f>_xlfn.XLOOKUP(A93, 'Customer Information'!$A$1:$A$1001, 'Customer Information'!$B$1:$B$1001)</f>
        <v>High</v>
      </c>
      <c r="F93" t="str">
        <f>_xlfn.XLOOKUP(A93, 'Customer Information'!$A$1:$A$1001, 'Customer Information'!$C$1:$C$1001)</f>
        <v>College students</v>
      </c>
      <c r="G93" t="str">
        <f>_xlfn.XLOOKUP('Customer Information'!A93, 'Customer Information'!$A$1:$A$1001, 'Customer Information'!$D$1:$D$1001)</f>
        <v>No</v>
      </c>
      <c r="H93" t="str">
        <f>INDEX('Additional Product Info.'!$A$1:$C$1001, MATCH('Product Positioning'!$A93, 'Additional Product Info.'!$A$1:$A$1001, 0), MATCH('Product Positioning'!H$1, 'Additional Product Info.'!$A$1:$C$1, 0))</f>
        <v>End-cap</v>
      </c>
      <c r="I93" t="str">
        <f>INDEX('Additional Product Info.'!$A$1:$C$1001, MATCH('Product Positioning'!$A93, 'Additional Product Info.'!$A$1:$A$1001, 0), MATCH('Product Positioning'!I$1, 'Additional Product Info.'!$A$1:$C$1, 0))</f>
        <v>Clothing</v>
      </c>
      <c r="J93" t="str">
        <f>_xlfn.XLOOKUP(A93, $A$1:$A$1001, 'Additional Product Info.'!$D$1:$D$1001)</f>
        <v>No</v>
      </c>
      <c r="K93" s="1">
        <f t="shared" si="2"/>
        <v>27302</v>
      </c>
      <c r="L93" s="1">
        <f t="shared" si="3"/>
        <v>0.10999999999999943</v>
      </c>
      <c r="M93" t="str">
        <f>IF(L93&lt;=Statistics!$E$6,"Low Difference",IF('Product Positioning'!L93&gt;=Statistics!$E$4,"High Difference","Moderate Difference"))</f>
        <v>Low Difference</v>
      </c>
    </row>
    <row r="94" spans="1:13" x14ac:dyDescent="0.2">
      <c r="A94">
        <v>146839</v>
      </c>
      <c r="B94" s="1">
        <v>10.039999999999999</v>
      </c>
      <c r="C94" s="1">
        <v>7.54</v>
      </c>
      <c r="D94">
        <v>1525</v>
      </c>
      <c r="E94" t="str">
        <f>_xlfn.XLOOKUP(A94, 'Customer Information'!$A$1:$A$1001, 'Customer Information'!$B$1:$B$1001)</f>
        <v>Medium</v>
      </c>
      <c r="F94" t="str">
        <f>_xlfn.XLOOKUP(A94, 'Customer Information'!$A$1:$A$1001, 'Customer Information'!$C$1:$C$1001)</f>
        <v>College students</v>
      </c>
      <c r="G94" t="str">
        <f>_xlfn.XLOOKUP('Customer Information'!A94, 'Customer Information'!$A$1:$A$1001, 'Customer Information'!$D$1:$D$1001)</f>
        <v>No</v>
      </c>
      <c r="H94" t="str">
        <f>INDEX('Additional Product Info.'!$A$1:$C$1001, MATCH('Product Positioning'!$A94, 'Additional Product Info.'!$A$1:$A$1001, 0), MATCH('Product Positioning'!H$1, 'Additional Product Info.'!$A$1:$C$1, 0))</f>
        <v>Aisle</v>
      </c>
      <c r="I94" t="str">
        <f>INDEX('Additional Product Info.'!$A$1:$C$1001, MATCH('Product Positioning'!$A94, 'Additional Product Info.'!$A$1:$A$1001, 0), MATCH('Product Positioning'!I$1, 'Additional Product Info.'!$A$1:$C$1, 0))</f>
        <v>Food</v>
      </c>
      <c r="J94" t="str">
        <f>_xlfn.XLOOKUP(A94, $A$1:$A$1001, 'Additional Product Info.'!$D$1:$D$1001)</f>
        <v>No</v>
      </c>
      <c r="K94" s="1">
        <f t="shared" si="2"/>
        <v>15310.999999999998</v>
      </c>
      <c r="L94" s="1">
        <f t="shared" si="3"/>
        <v>2.4999999999999991</v>
      </c>
      <c r="M94" t="str">
        <f>IF(L94&lt;=Statistics!$E$6,"Low Difference",IF('Product Positioning'!L94&gt;=Statistics!$E$4,"High Difference","Moderate Difference"))</f>
        <v>Moderate Difference</v>
      </c>
    </row>
    <row r="95" spans="1:13" x14ac:dyDescent="0.2">
      <c r="A95">
        <v>187180</v>
      </c>
      <c r="B95" s="1">
        <v>47.5</v>
      </c>
      <c r="C95" s="1">
        <v>46.74</v>
      </c>
      <c r="D95">
        <v>647</v>
      </c>
      <c r="E95" t="str">
        <f>_xlfn.XLOOKUP(A95, 'Customer Information'!$A$1:$A$1001, 'Customer Information'!$B$1:$B$1001)</f>
        <v>High</v>
      </c>
      <c r="F95" t="str">
        <f>_xlfn.XLOOKUP(A95, 'Customer Information'!$A$1:$A$1001, 'Customer Information'!$C$1:$C$1001)</f>
        <v>Families</v>
      </c>
      <c r="G95" t="str">
        <f>_xlfn.XLOOKUP('Customer Information'!A95, 'Customer Information'!$A$1:$A$1001, 'Customer Information'!$D$1:$D$1001)</f>
        <v>No</v>
      </c>
      <c r="H95" t="str">
        <f>INDEX('Additional Product Info.'!$A$1:$C$1001, MATCH('Product Positioning'!$A95, 'Additional Product Info.'!$A$1:$A$1001, 0), MATCH('Product Positioning'!H$1, 'Additional Product Info.'!$A$1:$C$1, 0))</f>
        <v>Front of Store</v>
      </c>
      <c r="I95" t="str">
        <f>INDEX('Additional Product Info.'!$A$1:$C$1001, MATCH('Product Positioning'!$A95, 'Additional Product Info.'!$A$1:$A$1001, 0), MATCH('Product Positioning'!I$1, 'Additional Product Info.'!$A$1:$C$1, 0))</f>
        <v>Electronics</v>
      </c>
      <c r="J95" t="str">
        <f>_xlfn.XLOOKUP(A95, $A$1:$A$1001, 'Additional Product Info.'!$D$1:$D$1001)</f>
        <v>Yes</v>
      </c>
      <c r="K95" s="1">
        <f t="shared" si="2"/>
        <v>30732.5</v>
      </c>
      <c r="L95" s="1">
        <f t="shared" si="3"/>
        <v>0.75999999999999801</v>
      </c>
      <c r="M95" t="str">
        <f>IF(L95&lt;=Statistics!$E$6,"Low Difference",IF('Product Positioning'!L95&gt;=Statistics!$E$4,"High Difference","Moderate Difference"))</f>
        <v>Low Difference</v>
      </c>
    </row>
    <row r="96" spans="1:13" x14ac:dyDescent="0.2">
      <c r="A96">
        <v>167640</v>
      </c>
      <c r="B96" s="1">
        <v>46.56</v>
      </c>
      <c r="C96" s="1">
        <v>43.71</v>
      </c>
      <c r="D96">
        <v>1017</v>
      </c>
      <c r="E96" t="str">
        <f>_xlfn.XLOOKUP(A96, 'Customer Information'!$A$1:$A$1001, 'Customer Information'!$B$1:$B$1001)</f>
        <v>High</v>
      </c>
      <c r="F96" t="str">
        <f>_xlfn.XLOOKUP(A96, 'Customer Information'!$A$1:$A$1001, 'Customer Information'!$C$1:$C$1001)</f>
        <v>Families</v>
      </c>
      <c r="G96" t="str">
        <f>_xlfn.XLOOKUP('Customer Information'!A96, 'Customer Information'!$A$1:$A$1001, 'Customer Information'!$D$1:$D$1001)</f>
        <v>Yes</v>
      </c>
      <c r="H96" t="str">
        <f>INDEX('Additional Product Info.'!$A$1:$C$1001, MATCH('Product Positioning'!$A96, 'Additional Product Info.'!$A$1:$A$1001, 0), MATCH('Product Positioning'!H$1, 'Additional Product Info.'!$A$1:$C$1, 0))</f>
        <v>End-cap</v>
      </c>
      <c r="I96" t="str">
        <f>INDEX('Additional Product Info.'!$A$1:$C$1001, MATCH('Product Positioning'!$A96, 'Additional Product Info.'!$A$1:$A$1001, 0), MATCH('Product Positioning'!I$1, 'Additional Product Info.'!$A$1:$C$1, 0))</f>
        <v>Electronics</v>
      </c>
      <c r="J96" t="str">
        <f>_xlfn.XLOOKUP(A96, $A$1:$A$1001, 'Additional Product Info.'!$D$1:$D$1001)</f>
        <v>Yes</v>
      </c>
      <c r="K96" s="1">
        <f t="shared" si="2"/>
        <v>47351.520000000004</v>
      </c>
      <c r="L96" s="1">
        <f t="shared" si="3"/>
        <v>2.8500000000000014</v>
      </c>
      <c r="M96" t="str">
        <f>IF(L96&lt;=Statistics!$E$6,"Low Difference",IF('Product Positioning'!L96&gt;=Statistics!$E$4,"High Difference","Moderate Difference"))</f>
        <v>Moderate Difference</v>
      </c>
    </row>
    <row r="97" spans="1:13" x14ac:dyDescent="0.2">
      <c r="A97">
        <v>165158</v>
      </c>
      <c r="B97" s="1">
        <v>40.44</v>
      </c>
      <c r="C97" s="1">
        <v>37.89</v>
      </c>
      <c r="D97">
        <v>1622</v>
      </c>
      <c r="E97" t="str">
        <f>_xlfn.XLOOKUP(A97, 'Customer Information'!$A$1:$A$1001, 'Customer Information'!$B$1:$B$1001)</f>
        <v>Low</v>
      </c>
      <c r="F97" t="str">
        <f>_xlfn.XLOOKUP(A97, 'Customer Information'!$A$1:$A$1001, 'Customer Information'!$C$1:$C$1001)</f>
        <v>College students</v>
      </c>
      <c r="G97" t="str">
        <f>_xlfn.XLOOKUP('Customer Information'!A97, 'Customer Information'!$A$1:$A$1001, 'Customer Information'!$D$1:$D$1001)</f>
        <v>No</v>
      </c>
      <c r="H97" t="str">
        <f>INDEX('Additional Product Info.'!$A$1:$C$1001, MATCH('Product Positioning'!$A97, 'Additional Product Info.'!$A$1:$A$1001, 0), MATCH('Product Positioning'!H$1, 'Additional Product Info.'!$A$1:$C$1, 0))</f>
        <v>Front of Store</v>
      </c>
      <c r="I97" t="str">
        <f>INDEX('Additional Product Info.'!$A$1:$C$1001, MATCH('Product Positioning'!$A97, 'Additional Product Info.'!$A$1:$A$1001, 0), MATCH('Product Positioning'!I$1, 'Additional Product Info.'!$A$1:$C$1, 0))</f>
        <v>Food</v>
      </c>
      <c r="J97" t="str">
        <f>_xlfn.XLOOKUP(A97, $A$1:$A$1001, 'Additional Product Info.'!$D$1:$D$1001)</f>
        <v>No</v>
      </c>
      <c r="K97" s="1">
        <f t="shared" si="2"/>
        <v>65593.679999999993</v>
      </c>
      <c r="L97" s="1">
        <f t="shared" si="3"/>
        <v>2.5499999999999972</v>
      </c>
      <c r="M97" t="str">
        <f>IF(L97&lt;=Statistics!$E$6,"Low Difference",IF('Product Positioning'!L97&gt;=Statistics!$E$4,"High Difference","Moderate Difference"))</f>
        <v>Moderate Difference</v>
      </c>
    </row>
    <row r="98" spans="1:13" x14ac:dyDescent="0.2">
      <c r="A98">
        <v>111521</v>
      </c>
      <c r="B98" s="1">
        <v>31.98</v>
      </c>
      <c r="C98" s="1">
        <v>27.82</v>
      </c>
      <c r="D98">
        <v>2553</v>
      </c>
      <c r="E98" t="str">
        <f>_xlfn.XLOOKUP(A98, 'Customer Information'!$A$1:$A$1001, 'Customer Information'!$B$1:$B$1001)</f>
        <v>High</v>
      </c>
      <c r="F98" t="str">
        <f>_xlfn.XLOOKUP(A98, 'Customer Information'!$A$1:$A$1001, 'Customer Information'!$C$1:$C$1001)</f>
        <v>Seniors</v>
      </c>
      <c r="G98" t="str">
        <f>_xlfn.XLOOKUP('Customer Information'!A98, 'Customer Information'!$A$1:$A$1001, 'Customer Information'!$D$1:$D$1001)</f>
        <v>Yes</v>
      </c>
      <c r="H98" t="str">
        <f>INDEX('Additional Product Info.'!$A$1:$C$1001, MATCH('Product Positioning'!$A98, 'Additional Product Info.'!$A$1:$A$1001, 0), MATCH('Product Positioning'!H$1, 'Additional Product Info.'!$A$1:$C$1, 0))</f>
        <v>Front of Store</v>
      </c>
      <c r="I98" t="str">
        <f>INDEX('Additional Product Info.'!$A$1:$C$1001, MATCH('Product Positioning'!$A98, 'Additional Product Info.'!$A$1:$A$1001, 0), MATCH('Product Positioning'!I$1, 'Additional Product Info.'!$A$1:$C$1, 0))</f>
        <v>Food</v>
      </c>
      <c r="J98" t="str">
        <f>_xlfn.XLOOKUP(A98, $A$1:$A$1001, 'Additional Product Info.'!$D$1:$D$1001)</f>
        <v>Yes</v>
      </c>
      <c r="K98" s="1">
        <f t="shared" si="2"/>
        <v>81644.94</v>
      </c>
      <c r="L98" s="1">
        <f t="shared" si="3"/>
        <v>4.16</v>
      </c>
      <c r="M98" t="str">
        <f>IF(L98&lt;=Statistics!$E$6,"Low Difference",IF('Product Positioning'!L98&gt;=Statistics!$E$4,"High Difference","Moderate Difference"))</f>
        <v>High Difference</v>
      </c>
    </row>
    <row r="99" spans="1:13" x14ac:dyDescent="0.2">
      <c r="A99">
        <v>120228</v>
      </c>
      <c r="B99" s="1">
        <v>15.92</v>
      </c>
      <c r="C99" s="1">
        <v>13.41</v>
      </c>
      <c r="D99">
        <v>2347</v>
      </c>
      <c r="E99" t="str">
        <f>_xlfn.XLOOKUP(A99, 'Customer Information'!$A$1:$A$1001, 'Customer Information'!$B$1:$B$1001)</f>
        <v>High</v>
      </c>
      <c r="F99" t="str">
        <f>_xlfn.XLOOKUP(A99, 'Customer Information'!$A$1:$A$1001, 'Customer Information'!$C$1:$C$1001)</f>
        <v>Seniors</v>
      </c>
      <c r="G99" t="str">
        <f>_xlfn.XLOOKUP('Customer Information'!A99, 'Customer Information'!$A$1:$A$1001, 'Customer Information'!$D$1:$D$1001)</f>
        <v>No</v>
      </c>
      <c r="H99" t="str">
        <f>INDEX('Additional Product Info.'!$A$1:$C$1001, MATCH('Product Positioning'!$A99, 'Additional Product Info.'!$A$1:$A$1001, 0), MATCH('Product Positioning'!H$1, 'Additional Product Info.'!$A$1:$C$1, 0))</f>
        <v>End-cap</v>
      </c>
      <c r="I99" t="str">
        <f>INDEX('Additional Product Info.'!$A$1:$C$1001, MATCH('Product Positioning'!$A99, 'Additional Product Info.'!$A$1:$A$1001, 0), MATCH('Product Positioning'!I$1, 'Additional Product Info.'!$A$1:$C$1, 0))</f>
        <v>Food</v>
      </c>
      <c r="J99" t="str">
        <f>_xlfn.XLOOKUP(A99, $A$1:$A$1001, 'Additional Product Info.'!$D$1:$D$1001)</f>
        <v>No</v>
      </c>
      <c r="K99" s="1">
        <f t="shared" si="2"/>
        <v>37364.239999999998</v>
      </c>
      <c r="L99" s="1">
        <f t="shared" si="3"/>
        <v>2.5099999999999998</v>
      </c>
      <c r="M99" t="str">
        <f>IF(L99&lt;=Statistics!$E$6,"Low Difference",IF('Product Positioning'!L99&gt;=Statistics!$E$4,"High Difference","Moderate Difference"))</f>
        <v>Moderate Difference</v>
      </c>
    </row>
    <row r="100" spans="1:13" x14ac:dyDescent="0.2">
      <c r="A100">
        <v>133078</v>
      </c>
      <c r="B100" s="1">
        <v>48.34</v>
      </c>
      <c r="C100" s="1">
        <v>45.21</v>
      </c>
      <c r="D100">
        <v>2535</v>
      </c>
      <c r="E100" t="str">
        <f>_xlfn.XLOOKUP(A100, 'Customer Information'!$A$1:$A$1001, 'Customer Information'!$B$1:$B$1001)</f>
        <v>Low</v>
      </c>
      <c r="F100" t="str">
        <f>_xlfn.XLOOKUP(A100, 'Customer Information'!$A$1:$A$1001, 'Customer Information'!$C$1:$C$1001)</f>
        <v>Families</v>
      </c>
      <c r="G100" t="str">
        <f>_xlfn.XLOOKUP('Customer Information'!A100, 'Customer Information'!$A$1:$A$1001, 'Customer Information'!$D$1:$D$1001)</f>
        <v>No</v>
      </c>
      <c r="H100" t="str">
        <f>INDEX('Additional Product Info.'!$A$1:$C$1001, MATCH('Product Positioning'!$A100, 'Additional Product Info.'!$A$1:$A$1001, 0), MATCH('Product Positioning'!H$1, 'Additional Product Info.'!$A$1:$C$1, 0))</f>
        <v>Aisle</v>
      </c>
      <c r="I100" t="str">
        <f>INDEX('Additional Product Info.'!$A$1:$C$1001, MATCH('Product Positioning'!$A100, 'Additional Product Info.'!$A$1:$A$1001, 0), MATCH('Product Positioning'!I$1, 'Additional Product Info.'!$A$1:$C$1, 0))</f>
        <v>Clothing</v>
      </c>
      <c r="J100" t="str">
        <f>_xlfn.XLOOKUP(A100, $A$1:$A$1001, 'Additional Product Info.'!$D$1:$D$1001)</f>
        <v>Yes</v>
      </c>
      <c r="K100" s="1">
        <f t="shared" si="2"/>
        <v>122541.90000000001</v>
      </c>
      <c r="L100" s="1">
        <f t="shared" si="3"/>
        <v>3.1300000000000026</v>
      </c>
      <c r="M100" t="str">
        <f>IF(L100&lt;=Statistics!$E$6,"Low Difference",IF('Product Positioning'!L100&gt;=Statistics!$E$4,"High Difference","Moderate Difference"))</f>
        <v>Moderate Difference</v>
      </c>
    </row>
    <row r="101" spans="1:13" x14ac:dyDescent="0.2">
      <c r="A101">
        <v>137598</v>
      </c>
      <c r="B101" s="1">
        <v>38.21</v>
      </c>
      <c r="C101" s="1">
        <v>37.69</v>
      </c>
      <c r="D101">
        <v>2839</v>
      </c>
      <c r="E101" t="str">
        <f>_xlfn.XLOOKUP(A101, 'Customer Information'!$A$1:$A$1001, 'Customer Information'!$B$1:$B$1001)</f>
        <v>Medium</v>
      </c>
      <c r="F101" t="str">
        <f>_xlfn.XLOOKUP(A101, 'Customer Information'!$A$1:$A$1001, 'Customer Information'!$C$1:$C$1001)</f>
        <v>Families</v>
      </c>
      <c r="G101" t="str">
        <f>_xlfn.XLOOKUP('Customer Information'!A101, 'Customer Information'!$A$1:$A$1001, 'Customer Information'!$D$1:$D$1001)</f>
        <v>No</v>
      </c>
      <c r="H101" t="str">
        <f>INDEX('Additional Product Info.'!$A$1:$C$1001, MATCH('Product Positioning'!$A101, 'Additional Product Info.'!$A$1:$A$1001, 0), MATCH('Product Positioning'!H$1, 'Additional Product Info.'!$A$1:$C$1, 0))</f>
        <v>Aisle</v>
      </c>
      <c r="I101" t="str">
        <f>INDEX('Additional Product Info.'!$A$1:$C$1001, MATCH('Product Positioning'!$A101, 'Additional Product Info.'!$A$1:$A$1001, 0), MATCH('Product Positioning'!I$1, 'Additional Product Info.'!$A$1:$C$1, 0))</f>
        <v>Electronics</v>
      </c>
      <c r="J101" t="str">
        <f>_xlfn.XLOOKUP(A101, $A$1:$A$1001, 'Additional Product Info.'!$D$1:$D$1001)</f>
        <v>Yes</v>
      </c>
      <c r="K101" s="1">
        <f t="shared" si="2"/>
        <v>108478.19</v>
      </c>
      <c r="L101" s="1">
        <f t="shared" si="3"/>
        <v>0.52000000000000313</v>
      </c>
      <c r="M101" t="str">
        <f>IF(L101&lt;=Statistics!$E$6,"Low Difference",IF('Product Positioning'!L101&gt;=Statistics!$E$4,"High Difference","Moderate Difference"))</f>
        <v>Low Difference</v>
      </c>
    </row>
    <row r="102" spans="1:13" x14ac:dyDescent="0.2">
      <c r="A102">
        <v>138779</v>
      </c>
      <c r="B102" s="1">
        <v>44.97</v>
      </c>
      <c r="C102" s="1">
        <v>42.24</v>
      </c>
      <c r="D102">
        <v>2801</v>
      </c>
      <c r="E102" t="str">
        <f>_xlfn.XLOOKUP(A102, 'Customer Information'!$A$1:$A$1001, 'Customer Information'!$B$1:$B$1001)</f>
        <v>Low</v>
      </c>
      <c r="F102" t="str">
        <f>_xlfn.XLOOKUP(A102, 'Customer Information'!$A$1:$A$1001, 'Customer Information'!$C$1:$C$1001)</f>
        <v>Families</v>
      </c>
      <c r="G102" t="str">
        <f>_xlfn.XLOOKUP('Customer Information'!A102, 'Customer Information'!$A$1:$A$1001, 'Customer Information'!$D$1:$D$1001)</f>
        <v>Yes</v>
      </c>
      <c r="H102" t="str">
        <f>INDEX('Additional Product Info.'!$A$1:$C$1001, MATCH('Product Positioning'!$A102, 'Additional Product Info.'!$A$1:$A$1001, 0), MATCH('Product Positioning'!H$1, 'Additional Product Info.'!$A$1:$C$1, 0))</f>
        <v>Front of Store</v>
      </c>
      <c r="I102" t="str">
        <f>INDEX('Additional Product Info.'!$A$1:$C$1001, MATCH('Product Positioning'!$A102, 'Additional Product Info.'!$A$1:$A$1001, 0), MATCH('Product Positioning'!I$1, 'Additional Product Info.'!$A$1:$C$1, 0))</f>
        <v>Clothing</v>
      </c>
      <c r="J102" t="str">
        <f>_xlfn.XLOOKUP(A102, $A$1:$A$1001, 'Additional Product Info.'!$D$1:$D$1001)</f>
        <v>Yes</v>
      </c>
      <c r="K102" s="1">
        <f t="shared" si="2"/>
        <v>125960.97</v>
      </c>
      <c r="L102" s="1">
        <f t="shared" si="3"/>
        <v>2.7299999999999969</v>
      </c>
      <c r="M102" t="str">
        <f>IF(L102&lt;=Statistics!$E$6,"Low Difference",IF('Product Positioning'!L102&gt;=Statistics!$E$4,"High Difference","Moderate Difference"))</f>
        <v>Moderate Difference</v>
      </c>
    </row>
    <row r="103" spans="1:13" x14ac:dyDescent="0.2">
      <c r="A103">
        <v>198329</v>
      </c>
      <c r="B103" s="1">
        <v>19.55</v>
      </c>
      <c r="C103" s="1">
        <v>15.77</v>
      </c>
      <c r="D103">
        <v>628</v>
      </c>
      <c r="E103" t="str">
        <f>_xlfn.XLOOKUP(A103, 'Customer Information'!$A$1:$A$1001, 'Customer Information'!$B$1:$B$1001)</f>
        <v>Low</v>
      </c>
      <c r="F103" t="str">
        <f>_xlfn.XLOOKUP(A103, 'Customer Information'!$A$1:$A$1001, 'Customer Information'!$C$1:$C$1001)</f>
        <v>Young adults</v>
      </c>
      <c r="G103" t="str">
        <f>_xlfn.XLOOKUP('Customer Information'!A103, 'Customer Information'!$A$1:$A$1001, 'Customer Information'!$D$1:$D$1001)</f>
        <v>Yes</v>
      </c>
      <c r="H103" t="str">
        <f>INDEX('Additional Product Info.'!$A$1:$C$1001, MATCH('Product Positioning'!$A103, 'Additional Product Info.'!$A$1:$A$1001, 0), MATCH('Product Positioning'!H$1, 'Additional Product Info.'!$A$1:$C$1, 0))</f>
        <v>Front of Store</v>
      </c>
      <c r="I103" t="str">
        <f>INDEX('Additional Product Info.'!$A$1:$C$1001, MATCH('Product Positioning'!$A103, 'Additional Product Info.'!$A$1:$A$1001, 0), MATCH('Product Positioning'!I$1, 'Additional Product Info.'!$A$1:$C$1, 0))</f>
        <v>Electronics</v>
      </c>
      <c r="J103" t="str">
        <f>_xlfn.XLOOKUP(A103, $A$1:$A$1001, 'Additional Product Info.'!$D$1:$D$1001)</f>
        <v>Yes</v>
      </c>
      <c r="K103" s="1">
        <f t="shared" si="2"/>
        <v>12277.4</v>
      </c>
      <c r="L103" s="1">
        <f t="shared" si="3"/>
        <v>3.7800000000000011</v>
      </c>
      <c r="M103" t="str">
        <f>IF(L103&lt;=Statistics!$E$6,"Low Difference",IF('Product Positioning'!L103&gt;=Statistics!$E$4,"High Difference","Moderate Difference"))</f>
        <v>High Difference</v>
      </c>
    </row>
    <row r="104" spans="1:13" x14ac:dyDescent="0.2">
      <c r="A104">
        <v>110295</v>
      </c>
      <c r="B104" s="1">
        <v>13.1</v>
      </c>
      <c r="C104" s="1">
        <v>8.4700000000000006</v>
      </c>
      <c r="D104">
        <v>1448</v>
      </c>
      <c r="E104" t="str">
        <f>_xlfn.XLOOKUP(A104, 'Customer Information'!$A$1:$A$1001, 'Customer Information'!$B$1:$B$1001)</f>
        <v>Low</v>
      </c>
      <c r="F104" t="str">
        <f>_xlfn.XLOOKUP(A104, 'Customer Information'!$A$1:$A$1001, 'Customer Information'!$C$1:$C$1001)</f>
        <v>Young adults</v>
      </c>
      <c r="G104" t="str">
        <f>_xlfn.XLOOKUP('Customer Information'!A104, 'Customer Information'!$A$1:$A$1001, 'Customer Information'!$D$1:$D$1001)</f>
        <v>Yes</v>
      </c>
      <c r="H104" t="str">
        <f>INDEX('Additional Product Info.'!$A$1:$C$1001, MATCH('Product Positioning'!$A104, 'Additional Product Info.'!$A$1:$A$1001, 0), MATCH('Product Positioning'!H$1, 'Additional Product Info.'!$A$1:$C$1, 0))</f>
        <v>End-cap</v>
      </c>
      <c r="I104" t="str">
        <f>INDEX('Additional Product Info.'!$A$1:$C$1001, MATCH('Product Positioning'!$A104, 'Additional Product Info.'!$A$1:$A$1001, 0), MATCH('Product Positioning'!I$1, 'Additional Product Info.'!$A$1:$C$1, 0))</f>
        <v>Electronics</v>
      </c>
      <c r="J104" t="str">
        <f>_xlfn.XLOOKUP(A104, $A$1:$A$1001, 'Additional Product Info.'!$D$1:$D$1001)</f>
        <v>No</v>
      </c>
      <c r="K104" s="1">
        <f t="shared" si="2"/>
        <v>18968.8</v>
      </c>
      <c r="L104" s="1">
        <f t="shared" si="3"/>
        <v>4.629999999999999</v>
      </c>
      <c r="M104" t="str">
        <f>IF(L104&lt;=Statistics!$E$6,"Low Difference",IF('Product Positioning'!L104&gt;=Statistics!$E$4,"High Difference","Moderate Difference"))</f>
        <v>High Difference</v>
      </c>
    </row>
    <row r="105" spans="1:13" x14ac:dyDescent="0.2">
      <c r="A105">
        <v>196427</v>
      </c>
      <c r="B105" s="1">
        <v>36.729999999999997</v>
      </c>
      <c r="C105" s="1">
        <v>31.98</v>
      </c>
      <c r="D105">
        <v>1401</v>
      </c>
      <c r="E105" t="str">
        <f>_xlfn.XLOOKUP(A105, 'Customer Information'!$A$1:$A$1001, 'Customer Information'!$B$1:$B$1001)</f>
        <v>Low</v>
      </c>
      <c r="F105" t="str">
        <f>_xlfn.XLOOKUP(A105, 'Customer Information'!$A$1:$A$1001, 'Customer Information'!$C$1:$C$1001)</f>
        <v>Families</v>
      </c>
      <c r="G105" t="str">
        <f>_xlfn.XLOOKUP('Customer Information'!A105, 'Customer Information'!$A$1:$A$1001, 'Customer Information'!$D$1:$D$1001)</f>
        <v>Yes</v>
      </c>
      <c r="H105" t="str">
        <f>INDEX('Additional Product Info.'!$A$1:$C$1001, MATCH('Product Positioning'!$A105, 'Additional Product Info.'!$A$1:$A$1001, 0), MATCH('Product Positioning'!H$1, 'Additional Product Info.'!$A$1:$C$1, 0))</f>
        <v>Aisle</v>
      </c>
      <c r="I105" t="str">
        <f>INDEX('Additional Product Info.'!$A$1:$C$1001, MATCH('Product Positioning'!$A105, 'Additional Product Info.'!$A$1:$A$1001, 0), MATCH('Product Positioning'!I$1, 'Additional Product Info.'!$A$1:$C$1, 0))</f>
        <v>Electronics</v>
      </c>
      <c r="J105" t="str">
        <f>_xlfn.XLOOKUP(A105, $A$1:$A$1001, 'Additional Product Info.'!$D$1:$D$1001)</f>
        <v>No</v>
      </c>
      <c r="K105" s="1">
        <f t="shared" si="2"/>
        <v>51458.729999999996</v>
      </c>
      <c r="L105" s="1">
        <f t="shared" si="3"/>
        <v>4.7499999999999964</v>
      </c>
      <c r="M105" t="str">
        <f>IF(L105&lt;=Statistics!$E$6,"Low Difference",IF('Product Positioning'!L105&gt;=Statistics!$E$4,"High Difference","Moderate Difference"))</f>
        <v>High Difference</v>
      </c>
    </row>
    <row r="106" spans="1:13" x14ac:dyDescent="0.2">
      <c r="A106">
        <v>110075</v>
      </c>
      <c r="B106" s="1">
        <v>42.96</v>
      </c>
      <c r="C106" s="1">
        <v>41.45</v>
      </c>
      <c r="D106">
        <v>2185</v>
      </c>
      <c r="E106" t="str">
        <f>_xlfn.XLOOKUP(A106, 'Customer Information'!$A$1:$A$1001, 'Customer Information'!$B$1:$B$1001)</f>
        <v>Medium</v>
      </c>
      <c r="F106" t="str">
        <f>_xlfn.XLOOKUP(A106, 'Customer Information'!$A$1:$A$1001, 'Customer Information'!$C$1:$C$1001)</f>
        <v>College students</v>
      </c>
      <c r="G106" t="str">
        <f>_xlfn.XLOOKUP('Customer Information'!A106, 'Customer Information'!$A$1:$A$1001, 'Customer Information'!$D$1:$D$1001)</f>
        <v>Yes</v>
      </c>
      <c r="H106" t="str">
        <f>INDEX('Additional Product Info.'!$A$1:$C$1001, MATCH('Product Positioning'!$A106, 'Additional Product Info.'!$A$1:$A$1001, 0), MATCH('Product Positioning'!H$1, 'Additional Product Info.'!$A$1:$C$1, 0))</f>
        <v>Front of Store</v>
      </c>
      <c r="I106" t="str">
        <f>INDEX('Additional Product Info.'!$A$1:$C$1001, MATCH('Product Positioning'!$A106, 'Additional Product Info.'!$A$1:$A$1001, 0), MATCH('Product Positioning'!I$1, 'Additional Product Info.'!$A$1:$C$1, 0))</f>
        <v>Electronics</v>
      </c>
      <c r="J106" t="str">
        <f>_xlfn.XLOOKUP(A106, $A$1:$A$1001, 'Additional Product Info.'!$D$1:$D$1001)</f>
        <v>Yes</v>
      </c>
      <c r="K106" s="1">
        <f t="shared" si="2"/>
        <v>93867.6</v>
      </c>
      <c r="L106" s="1">
        <f t="shared" si="3"/>
        <v>1.509999999999998</v>
      </c>
      <c r="M106" t="str">
        <f>IF(L106&lt;=Statistics!$E$6,"Low Difference",IF('Product Positioning'!L106&gt;=Statistics!$E$4,"High Difference","Moderate Difference"))</f>
        <v>Moderate Difference</v>
      </c>
    </row>
    <row r="107" spans="1:13" x14ac:dyDescent="0.2">
      <c r="A107">
        <v>132322</v>
      </c>
      <c r="B107" s="1">
        <v>37.74</v>
      </c>
      <c r="C107" s="1">
        <v>34.99</v>
      </c>
      <c r="D107">
        <v>2135</v>
      </c>
      <c r="E107" t="str">
        <f>_xlfn.XLOOKUP(A107, 'Customer Information'!$A$1:$A$1001, 'Customer Information'!$B$1:$B$1001)</f>
        <v>Low</v>
      </c>
      <c r="F107" t="str">
        <f>_xlfn.XLOOKUP(A107, 'Customer Information'!$A$1:$A$1001, 'Customer Information'!$C$1:$C$1001)</f>
        <v>Families</v>
      </c>
      <c r="G107" t="str">
        <f>_xlfn.XLOOKUP('Customer Information'!A107, 'Customer Information'!$A$1:$A$1001, 'Customer Information'!$D$1:$D$1001)</f>
        <v>Yes</v>
      </c>
      <c r="H107" t="str">
        <f>INDEX('Additional Product Info.'!$A$1:$C$1001, MATCH('Product Positioning'!$A107, 'Additional Product Info.'!$A$1:$A$1001, 0), MATCH('Product Positioning'!H$1, 'Additional Product Info.'!$A$1:$C$1, 0))</f>
        <v>Front of Store</v>
      </c>
      <c r="I107" t="str">
        <f>INDEX('Additional Product Info.'!$A$1:$C$1001, MATCH('Product Positioning'!$A107, 'Additional Product Info.'!$A$1:$A$1001, 0), MATCH('Product Positioning'!I$1, 'Additional Product Info.'!$A$1:$C$1, 0))</f>
        <v>Clothing</v>
      </c>
      <c r="J107" t="str">
        <f>_xlfn.XLOOKUP(A107, $A$1:$A$1001, 'Additional Product Info.'!$D$1:$D$1001)</f>
        <v>No</v>
      </c>
      <c r="K107" s="1">
        <f t="shared" si="2"/>
        <v>80574.900000000009</v>
      </c>
      <c r="L107" s="1">
        <f t="shared" si="3"/>
        <v>2.75</v>
      </c>
      <c r="M107" t="str">
        <f>IF(L107&lt;=Statistics!$E$6,"Low Difference",IF('Product Positioning'!L107&gt;=Statistics!$E$4,"High Difference","Moderate Difference"))</f>
        <v>Moderate Difference</v>
      </c>
    </row>
    <row r="108" spans="1:13" x14ac:dyDescent="0.2">
      <c r="A108">
        <v>199631</v>
      </c>
      <c r="B108" s="1">
        <v>14.8</v>
      </c>
      <c r="C108" s="1">
        <v>14.51</v>
      </c>
      <c r="D108">
        <v>1269</v>
      </c>
      <c r="E108" t="str">
        <f>_xlfn.XLOOKUP(A108, 'Customer Information'!$A$1:$A$1001, 'Customer Information'!$B$1:$B$1001)</f>
        <v>Medium</v>
      </c>
      <c r="F108" t="str">
        <f>_xlfn.XLOOKUP(A108, 'Customer Information'!$A$1:$A$1001, 'Customer Information'!$C$1:$C$1001)</f>
        <v>Families</v>
      </c>
      <c r="G108" t="str">
        <f>_xlfn.XLOOKUP('Customer Information'!A108, 'Customer Information'!$A$1:$A$1001, 'Customer Information'!$D$1:$D$1001)</f>
        <v>Yes</v>
      </c>
      <c r="H108" t="str">
        <f>INDEX('Additional Product Info.'!$A$1:$C$1001, MATCH('Product Positioning'!$A108, 'Additional Product Info.'!$A$1:$A$1001, 0), MATCH('Product Positioning'!H$1, 'Additional Product Info.'!$A$1:$C$1, 0))</f>
        <v>Front of Store</v>
      </c>
      <c r="I108" t="str">
        <f>INDEX('Additional Product Info.'!$A$1:$C$1001, MATCH('Product Positioning'!$A108, 'Additional Product Info.'!$A$1:$A$1001, 0), MATCH('Product Positioning'!I$1, 'Additional Product Info.'!$A$1:$C$1, 0))</f>
        <v>Electronics</v>
      </c>
      <c r="J108" t="str">
        <f>_xlfn.XLOOKUP(A108, $A$1:$A$1001, 'Additional Product Info.'!$D$1:$D$1001)</f>
        <v>No</v>
      </c>
      <c r="K108" s="1">
        <f t="shared" si="2"/>
        <v>18781.2</v>
      </c>
      <c r="L108" s="1">
        <f t="shared" si="3"/>
        <v>0.29000000000000092</v>
      </c>
      <c r="M108" t="str">
        <f>IF(L108&lt;=Statistics!$E$6,"Low Difference",IF('Product Positioning'!L108&gt;=Statistics!$E$4,"High Difference","Moderate Difference"))</f>
        <v>Low Difference</v>
      </c>
    </row>
    <row r="109" spans="1:13" x14ac:dyDescent="0.2">
      <c r="A109">
        <v>182306</v>
      </c>
      <c r="B109" s="1">
        <v>5.93</v>
      </c>
      <c r="C109" s="1">
        <v>5.84</v>
      </c>
      <c r="D109">
        <v>2805</v>
      </c>
      <c r="E109" t="str">
        <f>_xlfn.XLOOKUP(A109, 'Customer Information'!$A$1:$A$1001, 'Customer Information'!$B$1:$B$1001)</f>
        <v>Medium</v>
      </c>
      <c r="F109" t="str">
        <f>_xlfn.XLOOKUP(A109, 'Customer Information'!$A$1:$A$1001, 'Customer Information'!$C$1:$C$1001)</f>
        <v>Seniors</v>
      </c>
      <c r="G109" t="str">
        <f>_xlfn.XLOOKUP('Customer Information'!A109, 'Customer Information'!$A$1:$A$1001, 'Customer Information'!$D$1:$D$1001)</f>
        <v>No</v>
      </c>
      <c r="H109" t="str">
        <f>INDEX('Additional Product Info.'!$A$1:$C$1001, MATCH('Product Positioning'!$A109, 'Additional Product Info.'!$A$1:$A$1001, 0), MATCH('Product Positioning'!H$1, 'Additional Product Info.'!$A$1:$C$1, 0))</f>
        <v>Front of Store</v>
      </c>
      <c r="I109" t="str">
        <f>INDEX('Additional Product Info.'!$A$1:$C$1001, MATCH('Product Positioning'!$A109, 'Additional Product Info.'!$A$1:$A$1001, 0), MATCH('Product Positioning'!I$1, 'Additional Product Info.'!$A$1:$C$1, 0))</f>
        <v>Food</v>
      </c>
      <c r="J109" t="str">
        <f>_xlfn.XLOOKUP(A109, $A$1:$A$1001, 'Additional Product Info.'!$D$1:$D$1001)</f>
        <v>No</v>
      </c>
      <c r="K109" s="1">
        <f t="shared" si="2"/>
        <v>16633.649999999998</v>
      </c>
      <c r="L109" s="1">
        <f t="shared" si="3"/>
        <v>8.9999999999999858E-2</v>
      </c>
      <c r="M109" t="str">
        <f>IF(L109&lt;=Statistics!$E$6,"Low Difference",IF('Product Positioning'!L109&gt;=Statistics!$E$4,"High Difference","Moderate Difference"))</f>
        <v>Low Difference</v>
      </c>
    </row>
    <row r="110" spans="1:13" x14ac:dyDescent="0.2">
      <c r="A110">
        <v>194915</v>
      </c>
      <c r="B110" s="1">
        <v>23.91</v>
      </c>
      <c r="C110" s="1">
        <v>21.1</v>
      </c>
      <c r="D110">
        <v>1796</v>
      </c>
      <c r="E110" t="str">
        <f>_xlfn.XLOOKUP(A110, 'Customer Information'!$A$1:$A$1001, 'Customer Information'!$B$1:$B$1001)</f>
        <v>Low</v>
      </c>
      <c r="F110" t="str">
        <f>_xlfn.XLOOKUP(A110, 'Customer Information'!$A$1:$A$1001, 'Customer Information'!$C$1:$C$1001)</f>
        <v>Seniors</v>
      </c>
      <c r="G110" t="str">
        <f>_xlfn.XLOOKUP('Customer Information'!A110, 'Customer Information'!$A$1:$A$1001, 'Customer Information'!$D$1:$D$1001)</f>
        <v>Yes</v>
      </c>
      <c r="H110" t="str">
        <f>INDEX('Additional Product Info.'!$A$1:$C$1001, MATCH('Product Positioning'!$A110, 'Additional Product Info.'!$A$1:$A$1001, 0), MATCH('Product Positioning'!H$1, 'Additional Product Info.'!$A$1:$C$1, 0))</f>
        <v>Aisle</v>
      </c>
      <c r="I110" t="str">
        <f>INDEX('Additional Product Info.'!$A$1:$C$1001, MATCH('Product Positioning'!$A110, 'Additional Product Info.'!$A$1:$A$1001, 0), MATCH('Product Positioning'!I$1, 'Additional Product Info.'!$A$1:$C$1, 0))</f>
        <v>Food</v>
      </c>
      <c r="J110" t="str">
        <f>_xlfn.XLOOKUP(A110, $A$1:$A$1001, 'Additional Product Info.'!$D$1:$D$1001)</f>
        <v>No</v>
      </c>
      <c r="K110" s="1">
        <f t="shared" si="2"/>
        <v>42942.36</v>
      </c>
      <c r="L110" s="1">
        <f t="shared" si="3"/>
        <v>2.8099999999999987</v>
      </c>
      <c r="M110" t="str">
        <f>IF(L110&lt;=Statistics!$E$6,"Low Difference",IF('Product Positioning'!L110&gt;=Statistics!$E$4,"High Difference","Moderate Difference"))</f>
        <v>Moderate Difference</v>
      </c>
    </row>
    <row r="111" spans="1:13" x14ac:dyDescent="0.2">
      <c r="A111">
        <v>131298</v>
      </c>
      <c r="B111" s="1">
        <v>41.46</v>
      </c>
      <c r="C111" s="1">
        <v>37.69</v>
      </c>
      <c r="D111">
        <v>2133</v>
      </c>
      <c r="E111" t="str">
        <f>_xlfn.XLOOKUP(A111, 'Customer Information'!$A$1:$A$1001, 'Customer Information'!$B$1:$B$1001)</f>
        <v>Medium</v>
      </c>
      <c r="F111" t="str">
        <f>_xlfn.XLOOKUP(A111, 'Customer Information'!$A$1:$A$1001, 'Customer Information'!$C$1:$C$1001)</f>
        <v>College students</v>
      </c>
      <c r="G111" t="str">
        <f>_xlfn.XLOOKUP('Customer Information'!A111, 'Customer Information'!$A$1:$A$1001, 'Customer Information'!$D$1:$D$1001)</f>
        <v>Yes</v>
      </c>
      <c r="H111" t="str">
        <f>INDEX('Additional Product Info.'!$A$1:$C$1001, MATCH('Product Positioning'!$A111, 'Additional Product Info.'!$A$1:$A$1001, 0), MATCH('Product Positioning'!H$1, 'Additional Product Info.'!$A$1:$C$1, 0))</f>
        <v>End-cap</v>
      </c>
      <c r="I111" t="str">
        <f>INDEX('Additional Product Info.'!$A$1:$C$1001, MATCH('Product Positioning'!$A111, 'Additional Product Info.'!$A$1:$A$1001, 0), MATCH('Product Positioning'!I$1, 'Additional Product Info.'!$A$1:$C$1, 0))</f>
        <v>Electronics</v>
      </c>
      <c r="J111" t="str">
        <f>_xlfn.XLOOKUP(A111, $A$1:$A$1001, 'Additional Product Info.'!$D$1:$D$1001)</f>
        <v>No</v>
      </c>
      <c r="K111" s="1">
        <f t="shared" si="2"/>
        <v>88434.180000000008</v>
      </c>
      <c r="L111" s="1">
        <f t="shared" si="3"/>
        <v>3.7700000000000031</v>
      </c>
      <c r="M111" t="str">
        <f>IF(L111&lt;=Statistics!$E$6,"Low Difference",IF('Product Positioning'!L111&gt;=Statistics!$E$4,"High Difference","Moderate Difference"))</f>
        <v>High Difference</v>
      </c>
    </row>
    <row r="112" spans="1:13" x14ac:dyDescent="0.2">
      <c r="A112">
        <v>168571</v>
      </c>
      <c r="B112" s="1">
        <v>10.78</v>
      </c>
      <c r="C112" s="1">
        <v>6.39</v>
      </c>
      <c r="D112">
        <v>1778</v>
      </c>
      <c r="E112" t="str">
        <f>_xlfn.XLOOKUP(A112, 'Customer Information'!$A$1:$A$1001, 'Customer Information'!$B$1:$B$1001)</f>
        <v>High</v>
      </c>
      <c r="F112" t="str">
        <f>_xlfn.XLOOKUP(A112, 'Customer Information'!$A$1:$A$1001, 'Customer Information'!$C$1:$C$1001)</f>
        <v>Seniors</v>
      </c>
      <c r="G112" t="str">
        <f>_xlfn.XLOOKUP('Customer Information'!A112, 'Customer Information'!$A$1:$A$1001, 'Customer Information'!$D$1:$D$1001)</f>
        <v>No</v>
      </c>
      <c r="H112" t="str">
        <f>INDEX('Additional Product Info.'!$A$1:$C$1001, MATCH('Product Positioning'!$A112, 'Additional Product Info.'!$A$1:$A$1001, 0), MATCH('Product Positioning'!H$1, 'Additional Product Info.'!$A$1:$C$1, 0))</f>
        <v>Aisle</v>
      </c>
      <c r="I112" t="str">
        <f>INDEX('Additional Product Info.'!$A$1:$C$1001, MATCH('Product Positioning'!$A112, 'Additional Product Info.'!$A$1:$A$1001, 0), MATCH('Product Positioning'!I$1, 'Additional Product Info.'!$A$1:$C$1, 0))</f>
        <v>Electronics</v>
      </c>
      <c r="J112" t="str">
        <f>_xlfn.XLOOKUP(A112, $A$1:$A$1001, 'Additional Product Info.'!$D$1:$D$1001)</f>
        <v>No</v>
      </c>
      <c r="K112" s="1">
        <f t="shared" si="2"/>
        <v>19166.84</v>
      </c>
      <c r="L112" s="1">
        <f t="shared" si="3"/>
        <v>4.3899999999999997</v>
      </c>
      <c r="M112" t="str">
        <f>IF(L112&lt;=Statistics!$E$6,"Low Difference",IF('Product Positioning'!L112&gt;=Statistics!$E$4,"High Difference","Moderate Difference"))</f>
        <v>High Difference</v>
      </c>
    </row>
    <row r="113" spans="1:13" x14ac:dyDescent="0.2">
      <c r="A113">
        <v>154224</v>
      </c>
      <c r="B113" s="1">
        <v>22.69</v>
      </c>
      <c r="C113" s="1">
        <v>21.79</v>
      </c>
      <c r="D113">
        <v>2474</v>
      </c>
      <c r="E113" t="str">
        <f>_xlfn.XLOOKUP(A113, 'Customer Information'!$A$1:$A$1001, 'Customer Information'!$B$1:$B$1001)</f>
        <v>Medium</v>
      </c>
      <c r="F113" t="str">
        <f>_xlfn.XLOOKUP(A113, 'Customer Information'!$A$1:$A$1001, 'Customer Information'!$C$1:$C$1001)</f>
        <v>Families</v>
      </c>
      <c r="G113" t="str">
        <f>_xlfn.XLOOKUP('Customer Information'!A113, 'Customer Information'!$A$1:$A$1001, 'Customer Information'!$D$1:$D$1001)</f>
        <v>Yes</v>
      </c>
      <c r="H113" t="str">
        <f>INDEX('Additional Product Info.'!$A$1:$C$1001, MATCH('Product Positioning'!$A113, 'Additional Product Info.'!$A$1:$A$1001, 0), MATCH('Product Positioning'!H$1, 'Additional Product Info.'!$A$1:$C$1, 0))</f>
        <v>End-cap</v>
      </c>
      <c r="I113" t="str">
        <f>INDEX('Additional Product Info.'!$A$1:$C$1001, MATCH('Product Positioning'!$A113, 'Additional Product Info.'!$A$1:$A$1001, 0), MATCH('Product Positioning'!I$1, 'Additional Product Info.'!$A$1:$C$1, 0))</f>
        <v>Food</v>
      </c>
      <c r="J113" t="str">
        <f>_xlfn.XLOOKUP(A113, $A$1:$A$1001, 'Additional Product Info.'!$D$1:$D$1001)</f>
        <v>No</v>
      </c>
      <c r="K113" s="1">
        <f t="shared" si="2"/>
        <v>56135.060000000005</v>
      </c>
      <c r="L113" s="1">
        <f t="shared" si="3"/>
        <v>0.90000000000000213</v>
      </c>
      <c r="M113" t="str">
        <f>IF(L113&lt;=Statistics!$E$6,"Low Difference",IF('Product Positioning'!L113&gt;=Statistics!$E$4,"High Difference","Moderate Difference"))</f>
        <v>Low Difference</v>
      </c>
    </row>
    <row r="114" spans="1:13" x14ac:dyDescent="0.2">
      <c r="A114">
        <v>171061</v>
      </c>
      <c r="B114" s="1">
        <v>23.25</v>
      </c>
      <c r="C114" s="1">
        <v>22.71</v>
      </c>
      <c r="D114">
        <v>2032</v>
      </c>
      <c r="E114" t="str">
        <f>_xlfn.XLOOKUP(A114, 'Customer Information'!$A$1:$A$1001, 'Customer Information'!$B$1:$B$1001)</f>
        <v>Low</v>
      </c>
      <c r="F114" t="str">
        <f>_xlfn.XLOOKUP(A114, 'Customer Information'!$A$1:$A$1001, 'Customer Information'!$C$1:$C$1001)</f>
        <v>College students</v>
      </c>
      <c r="G114" t="str">
        <f>_xlfn.XLOOKUP('Customer Information'!A114, 'Customer Information'!$A$1:$A$1001, 'Customer Information'!$D$1:$D$1001)</f>
        <v>No</v>
      </c>
      <c r="H114" t="str">
        <f>INDEX('Additional Product Info.'!$A$1:$C$1001, MATCH('Product Positioning'!$A114, 'Additional Product Info.'!$A$1:$A$1001, 0), MATCH('Product Positioning'!H$1, 'Additional Product Info.'!$A$1:$C$1, 0))</f>
        <v>Aisle</v>
      </c>
      <c r="I114" t="str">
        <f>INDEX('Additional Product Info.'!$A$1:$C$1001, MATCH('Product Positioning'!$A114, 'Additional Product Info.'!$A$1:$A$1001, 0), MATCH('Product Positioning'!I$1, 'Additional Product Info.'!$A$1:$C$1, 0))</f>
        <v>Electronics</v>
      </c>
      <c r="J114" t="str">
        <f>_xlfn.XLOOKUP(A114, $A$1:$A$1001, 'Additional Product Info.'!$D$1:$D$1001)</f>
        <v>Yes</v>
      </c>
      <c r="K114" s="1">
        <f t="shared" si="2"/>
        <v>47244</v>
      </c>
      <c r="L114" s="1">
        <f t="shared" si="3"/>
        <v>0.53999999999999915</v>
      </c>
      <c r="M114" t="str">
        <f>IF(L114&lt;=Statistics!$E$6,"Low Difference",IF('Product Positioning'!L114&gt;=Statistics!$E$4,"High Difference","Moderate Difference"))</f>
        <v>Low Difference</v>
      </c>
    </row>
    <row r="115" spans="1:13" x14ac:dyDescent="0.2">
      <c r="A115">
        <v>119049</v>
      </c>
      <c r="B115" s="1">
        <v>16.239999999999998</v>
      </c>
      <c r="C115" s="1">
        <v>11.33</v>
      </c>
      <c r="D115">
        <v>1659</v>
      </c>
      <c r="E115" t="str">
        <f>_xlfn.XLOOKUP(A115, 'Customer Information'!$A$1:$A$1001, 'Customer Information'!$B$1:$B$1001)</f>
        <v>Low</v>
      </c>
      <c r="F115" t="str">
        <f>_xlfn.XLOOKUP(A115, 'Customer Information'!$A$1:$A$1001, 'Customer Information'!$C$1:$C$1001)</f>
        <v>Seniors</v>
      </c>
      <c r="G115" t="str">
        <f>_xlfn.XLOOKUP('Customer Information'!A115, 'Customer Information'!$A$1:$A$1001, 'Customer Information'!$D$1:$D$1001)</f>
        <v>No</v>
      </c>
      <c r="H115" t="str">
        <f>INDEX('Additional Product Info.'!$A$1:$C$1001, MATCH('Product Positioning'!$A115, 'Additional Product Info.'!$A$1:$A$1001, 0), MATCH('Product Positioning'!H$1, 'Additional Product Info.'!$A$1:$C$1, 0))</f>
        <v>Aisle</v>
      </c>
      <c r="I115" t="str">
        <f>INDEX('Additional Product Info.'!$A$1:$C$1001, MATCH('Product Positioning'!$A115, 'Additional Product Info.'!$A$1:$A$1001, 0), MATCH('Product Positioning'!I$1, 'Additional Product Info.'!$A$1:$C$1, 0))</f>
        <v>Clothing</v>
      </c>
      <c r="J115" t="str">
        <f>_xlfn.XLOOKUP(A115, $A$1:$A$1001, 'Additional Product Info.'!$D$1:$D$1001)</f>
        <v>Yes</v>
      </c>
      <c r="K115" s="1">
        <f t="shared" si="2"/>
        <v>26942.159999999996</v>
      </c>
      <c r="L115" s="1">
        <f t="shared" si="3"/>
        <v>4.9099999999999984</v>
      </c>
      <c r="M115" t="str">
        <f>IF(L115&lt;=Statistics!$E$6,"Low Difference",IF('Product Positioning'!L115&gt;=Statistics!$E$4,"High Difference","Moderate Difference"))</f>
        <v>High Difference</v>
      </c>
    </row>
    <row r="116" spans="1:13" x14ac:dyDescent="0.2">
      <c r="A116">
        <v>158781</v>
      </c>
      <c r="B116" s="1">
        <v>19.91</v>
      </c>
      <c r="C116" s="1">
        <v>16.77</v>
      </c>
      <c r="D116">
        <v>2443</v>
      </c>
      <c r="E116" t="str">
        <f>_xlfn.XLOOKUP(A116, 'Customer Information'!$A$1:$A$1001, 'Customer Information'!$B$1:$B$1001)</f>
        <v>Medium</v>
      </c>
      <c r="F116" t="str">
        <f>_xlfn.XLOOKUP(A116, 'Customer Information'!$A$1:$A$1001, 'Customer Information'!$C$1:$C$1001)</f>
        <v>Young adults</v>
      </c>
      <c r="G116" t="str">
        <f>_xlfn.XLOOKUP('Customer Information'!A116, 'Customer Information'!$A$1:$A$1001, 'Customer Information'!$D$1:$D$1001)</f>
        <v>Yes</v>
      </c>
      <c r="H116" t="str">
        <f>INDEX('Additional Product Info.'!$A$1:$C$1001, MATCH('Product Positioning'!$A116, 'Additional Product Info.'!$A$1:$A$1001, 0), MATCH('Product Positioning'!H$1, 'Additional Product Info.'!$A$1:$C$1, 0))</f>
        <v>End-cap</v>
      </c>
      <c r="I116" t="str">
        <f>INDEX('Additional Product Info.'!$A$1:$C$1001, MATCH('Product Positioning'!$A116, 'Additional Product Info.'!$A$1:$A$1001, 0), MATCH('Product Positioning'!I$1, 'Additional Product Info.'!$A$1:$C$1, 0))</f>
        <v>Clothing</v>
      </c>
      <c r="J116" t="str">
        <f>_xlfn.XLOOKUP(A116, $A$1:$A$1001, 'Additional Product Info.'!$D$1:$D$1001)</f>
        <v>Yes</v>
      </c>
      <c r="K116" s="1">
        <f t="shared" si="2"/>
        <v>48640.13</v>
      </c>
      <c r="L116" s="1">
        <f t="shared" si="3"/>
        <v>3.1400000000000006</v>
      </c>
      <c r="M116" t="str">
        <f>IF(L116&lt;=Statistics!$E$6,"Low Difference",IF('Product Positioning'!L116&gt;=Statistics!$E$4,"High Difference","Moderate Difference"))</f>
        <v>Moderate Difference</v>
      </c>
    </row>
    <row r="117" spans="1:13" x14ac:dyDescent="0.2">
      <c r="A117">
        <v>151438</v>
      </c>
      <c r="B117" s="1">
        <v>5.41</v>
      </c>
      <c r="C117" s="1">
        <v>2.73</v>
      </c>
      <c r="D117">
        <v>1137</v>
      </c>
      <c r="E117" t="str">
        <f>_xlfn.XLOOKUP(A117, 'Customer Information'!$A$1:$A$1001, 'Customer Information'!$B$1:$B$1001)</f>
        <v>Medium</v>
      </c>
      <c r="F117" t="str">
        <f>_xlfn.XLOOKUP(A117, 'Customer Information'!$A$1:$A$1001, 'Customer Information'!$C$1:$C$1001)</f>
        <v>Seniors</v>
      </c>
      <c r="G117" t="str">
        <f>_xlfn.XLOOKUP('Customer Information'!A117, 'Customer Information'!$A$1:$A$1001, 'Customer Information'!$D$1:$D$1001)</f>
        <v>No</v>
      </c>
      <c r="H117" t="str">
        <f>INDEX('Additional Product Info.'!$A$1:$C$1001, MATCH('Product Positioning'!$A117, 'Additional Product Info.'!$A$1:$A$1001, 0), MATCH('Product Positioning'!H$1, 'Additional Product Info.'!$A$1:$C$1, 0))</f>
        <v>Aisle</v>
      </c>
      <c r="I117" t="str">
        <f>INDEX('Additional Product Info.'!$A$1:$C$1001, MATCH('Product Positioning'!$A117, 'Additional Product Info.'!$A$1:$A$1001, 0), MATCH('Product Positioning'!I$1, 'Additional Product Info.'!$A$1:$C$1, 0))</f>
        <v>Food</v>
      </c>
      <c r="J117" t="str">
        <f>_xlfn.XLOOKUP(A117, $A$1:$A$1001, 'Additional Product Info.'!$D$1:$D$1001)</f>
        <v>Yes</v>
      </c>
      <c r="K117" s="1">
        <f t="shared" si="2"/>
        <v>6151.17</v>
      </c>
      <c r="L117" s="1">
        <f t="shared" si="3"/>
        <v>2.68</v>
      </c>
      <c r="M117" t="str">
        <f>IF(L117&lt;=Statistics!$E$6,"Low Difference",IF('Product Positioning'!L117&gt;=Statistics!$E$4,"High Difference","Moderate Difference"))</f>
        <v>Moderate Difference</v>
      </c>
    </row>
    <row r="118" spans="1:13" x14ac:dyDescent="0.2">
      <c r="A118">
        <v>152871</v>
      </c>
      <c r="B118" s="1">
        <v>13.39</v>
      </c>
      <c r="C118" s="1">
        <v>12.76</v>
      </c>
      <c r="D118">
        <v>1847</v>
      </c>
      <c r="E118" t="str">
        <f>_xlfn.XLOOKUP(A118, 'Customer Information'!$A$1:$A$1001, 'Customer Information'!$B$1:$B$1001)</f>
        <v>High</v>
      </c>
      <c r="F118" t="str">
        <f>_xlfn.XLOOKUP(A118, 'Customer Information'!$A$1:$A$1001, 'Customer Information'!$C$1:$C$1001)</f>
        <v>Families</v>
      </c>
      <c r="G118" t="str">
        <f>_xlfn.XLOOKUP('Customer Information'!A118, 'Customer Information'!$A$1:$A$1001, 'Customer Information'!$D$1:$D$1001)</f>
        <v>No</v>
      </c>
      <c r="H118" t="str">
        <f>INDEX('Additional Product Info.'!$A$1:$C$1001, MATCH('Product Positioning'!$A118, 'Additional Product Info.'!$A$1:$A$1001, 0), MATCH('Product Positioning'!H$1, 'Additional Product Info.'!$A$1:$C$1, 0))</f>
        <v>End-cap</v>
      </c>
      <c r="I118" t="str">
        <f>INDEX('Additional Product Info.'!$A$1:$C$1001, MATCH('Product Positioning'!$A118, 'Additional Product Info.'!$A$1:$A$1001, 0), MATCH('Product Positioning'!I$1, 'Additional Product Info.'!$A$1:$C$1, 0))</f>
        <v>Clothing</v>
      </c>
      <c r="J118" t="str">
        <f>_xlfn.XLOOKUP(A118, $A$1:$A$1001, 'Additional Product Info.'!$D$1:$D$1001)</f>
        <v>Yes</v>
      </c>
      <c r="K118" s="1">
        <f t="shared" si="2"/>
        <v>24731.33</v>
      </c>
      <c r="L118" s="1">
        <f t="shared" si="3"/>
        <v>0.63000000000000078</v>
      </c>
      <c r="M118" t="str">
        <f>IF(L118&lt;=Statistics!$E$6,"Low Difference",IF('Product Positioning'!L118&gt;=Statistics!$E$4,"High Difference","Moderate Difference"))</f>
        <v>Low Difference</v>
      </c>
    </row>
    <row r="119" spans="1:13" x14ac:dyDescent="0.2">
      <c r="A119">
        <v>126806</v>
      </c>
      <c r="B119" s="1">
        <v>40.270000000000003</v>
      </c>
      <c r="C119" s="1">
        <v>37.159999999999997</v>
      </c>
      <c r="D119">
        <v>2404</v>
      </c>
      <c r="E119" t="str">
        <f>_xlfn.XLOOKUP(A119, 'Customer Information'!$A$1:$A$1001, 'Customer Information'!$B$1:$B$1001)</f>
        <v>High</v>
      </c>
      <c r="F119" t="str">
        <f>_xlfn.XLOOKUP(A119, 'Customer Information'!$A$1:$A$1001, 'Customer Information'!$C$1:$C$1001)</f>
        <v>Young adults</v>
      </c>
      <c r="G119" t="str">
        <f>_xlfn.XLOOKUP('Customer Information'!A119, 'Customer Information'!$A$1:$A$1001, 'Customer Information'!$D$1:$D$1001)</f>
        <v>Yes</v>
      </c>
      <c r="H119" t="str">
        <f>INDEX('Additional Product Info.'!$A$1:$C$1001, MATCH('Product Positioning'!$A119, 'Additional Product Info.'!$A$1:$A$1001, 0), MATCH('Product Positioning'!H$1, 'Additional Product Info.'!$A$1:$C$1, 0))</f>
        <v>End-cap</v>
      </c>
      <c r="I119" t="str">
        <f>INDEX('Additional Product Info.'!$A$1:$C$1001, MATCH('Product Positioning'!$A119, 'Additional Product Info.'!$A$1:$A$1001, 0), MATCH('Product Positioning'!I$1, 'Additional Product Info.'!$A$1:$C$1, 0))</f>
        <v>Clothing</v>
      </c>
      <c r="J119" t="str">
        <f>_xlfn.XLOOKUP(A119, $A$1:$A$1001, 'Additional Product Info.'!$D$1:$D$1001)</f>
        <v>Yes</v>
      </c>
      <c r="K119" s="1">
        <f t="shared" si="2"/>
        <v>96809.08</v>
      </c>
      <c r="L119" s="1">
        <f t="shared" si="3"/>
        <v>3.1100000000000065</v>
      </c>
      <c r="M119" t="str">
        <f>IF(L119&lt;=Statistics!$E$6,"Low Difference",IF('Product Positioning'!L119&gt;=Statistics!$E$4,"High Difference","Moderate Difference"))</f>
        <v>Moderate Difference</v>
      </c>
    </row>
    <row r="120" spans="1:13" x14ac:dyDescent="0.2">
      <c r="A120">
        <v>134104</v>
      </c>
      <c r="B120" s="1">
        <v>23.84</v>
      </c>
      <c r="C120" s="1">
        <v>21.61</v>
      </c>
      <c r="D120">
        <v>1466</v>
      </c>
      <c r="E120" t="str">
        <f>_xlfn.XLOOKUP(A120, 'Customer Information'!$A$1:$A$1001, 'Customer Information'!$B$1:$B$1001)</f>
        <v>Medium</v>
      </c>
      <c r="F120" t="str">
        <f>_xlfn.XLOOKUP(A120, 'Customer Information'!$A$1:$A$1001, 'Customer Information'!$C$1:$C$1001)</f>
        <v>College students</v>
      </c>
      <c r="G120" t="str">
        <f>_xlfn.XLOOKUP('Customer Information'!A120, 'Customer Information'!$A$1:$A$1001, 'Customer Information'!$D$1:$D$1001)</f>
        <v>No</v>
      </c>
      <c r="H120" t="str">
        <f>INDEX('Additional Product Info.'!$A$1:$C$1001, MATCH('Product Positioning'!$A120, 'Additional Product Info.'!$A$1:$A$1001, 0), MATCH('Product Positioning'!H$1, 'Additional Product Info.'!$A$1:$C$1, 0))</f>
        <v>End-cap</v>
      </c>
      <c r="I120" t="str">
        <f>INDEX('Additional Product Info.'!$A$1:$C$1001, MATCH('Product Positioning'!$A120, 'Additional Product Info.'!$A$1:$A$1001, 0), MATCH('Product Positioning'!I$1, 'Additional Product Info.'!$A$1:$C$1, 0))</f>
        <v>Electronics</v>
      </c>
      <c r="J120" t="str">
        <f>_xlfn.XLOOKUP(A120, $A$1:$A$1001, 'Additional Product Info.'!$D$1:$D$1001)</f>
        <v>Yes</v>
      </c>
      <c r="K120" s="1">
        <f t="shared" si="2"/>
        <v>34949.440000000002</v>
      </c>
      <c r="L120" s="1">
        <f t="shared" si="3"/>
        <v>2.2300000000000004</v>
      </c>
      <c r="M120" t="str">
        <f>IF(L120&lt;=Statistics!$E$6,"Low Difference",IF('Product Positioning'!L120&gt;=Statistics!$E$4,"High Difference","Moderate Difference"))</f>
        <v>Moderate Difference</v>
      </c>
    </row>
    <row r="121" spans="1:13" x14ac:dyDescent="0.2">
      <c r="A121">
        <v>120266</v>
      </c>
      <c r="B121" s="1">
        <v>20.04</v>
      </c>
      <c r="C121" s="1">
        <v>16.05</v>
      </c>
      <c r="D121">
        <v>2328</v>
      </c>
      <c r="E121" t="str">
        <f>_xlfn.XLOOKUP(A121, 'Customer Information'!$A$1:$A$1001, 'Customer Information'!$B$1:$B$1001)</f>
        <v>High</v>
      </c>
      <c r="F121" t="str">
        <f>_xlfn.XLOOKUP(A121, 'Customer Information'!$A$1:$A$1001, 'Customer Information'!$C$1:$C$1001)</f>
        <v>Families</v>
      </c>
      <c r="G121" t="str">
        <f>_xlfn.XLOOKUP('Customer Information'!A121, 'Customer Information'!$A$1:$A$1001, 'Customer Information'!$D$1:$D$1001)</f>
        <v>No</v>
      </c>
      <c r="H121" t="str">
        <f>INDEX('Additional Product Info.'!$A$1:$C$1001, MATCH('Product Positioning'!$A121, 'Additional Product Info.'!$A$1:$A$1001, 0), MATCH('Product Positioning'!H$1, 'Additional Product Info.'!$A$1:$C$1, 0))</f>
        <v>Front of Store</v>
      </c>
      <c r="I121" t="str">
        <f>INDEX('Additional Product Info.'!$A$1:$C$1001, MATCH('Product Positioning'!$A121, 'Additional Product Info.'!$A$1:$A$1001, 0), MATCH('Product Positioning'!I$1, 'Additional Product Info.'!$A$1:$C$1, 0))</f>
        <v>Electronics</v>
      </c>
      <c r="J121" t="str">
        <f>_xlfn.XLOOKUP(A121, $A$1:$A$1001, 'Additional Product Info.'!$D$1:$D$1001)</f>
        <v>No</v>
      </c>
      <c r="K121" s="1">
        <f t="shared" si="2"/>
        <v>46653.119999999995</v>
      </c>
      <c r="L121" s="1">
        <f t="shared" si="3"/>
        <v>3.9899999999999984</v>
      </c>
      <c r="M121" t="str">
        <f>IF(L121&lt;=Statistics!$E$6,"Low Difference",IF('Product Positioning'!L121&gt;=Statistics!$E$4,"High Difference","Moderate Difference"))</f>
        <v>High Difference</v>
      </c>
    </row>
    <row r="122" spans="1:13" x14ac:dyDescent="0.2">
      <c r="A122">
        <v>173550</v>
      </c>
      <c r="B122" s="1">
        <v>33</v>
      </c>
      <c r="C122" s="1">
        <v>29.46</v>
      </c>
      <c r="D122">
        <v>1431</v>
      </c>
      <c r="E122" t="str">
        <f>_xlfn.XLOOKUP(A122, 'Customer Information'!$A$1:$A$1001, 'Customer Information'!$B$1:$B$1001)</f>
        <v>Medium</v>
      </c>
      <c r="F122" t="str">
        <f>_xlfn.XLOOKUP(A122, 'Customer Information'!$A$1:$A$1001, 'Customer Information'!$C$1:$C$1001)</f>
        <v>Families</v>
      </c>
      <c r="G122" t="str">
        <f>_xlfn.XLOOKUP('Customer Information'!A122, 'Customer Information'!$A$1:$A$1001, 'Customer Information'!$D$1:$D$1001)</f>
        <v>No</v>
      </c>
      <c r="H122" t="str">
        <f>INDEX('Additional Product Info.'!$A$1:$C$1001, MATCH('Product Positioning'!$A122, 'Additional Product Info.'!$A$1:$A$1001, 0), MATCH('Product Positioning'!H$1, 'Additional Product Info.'!$A$1:$C$1, 0))</f>
        <v>End-cap</v>
      </c>
      <c r="I122" t="str">
        <f>INDEX('Additional Product Info.'!$A$1:$C$1001, MATCH('Product Positioning'!$A122, 'Additional Product Info.'!$A$1:$A$1001, 0), MATCH('Product Positioning'!I$1, 'Additional Product Info.'!$A$1:$C$1, 0))</f>
        <v>Electronics</v>
      </c>
      <c r="J122" t="str">
        <f>_xlfn.XLOOKUP(A122, $A$1:$A$1001, 'Additional Product Info.'!$D$1:$D$1001)</f>
        <v>Yes</v>
      </c>
      <c r="K122" s="1">
        <f t="shared" si="2"/>
        <v>47223</v>
      </c>
      <c r="L122" s="1">
        <f t="shared" si="3"/>
        <v>3.5399999999999991</v>
      </c>
      <c r="M122" t="str">
        <f>IF(L122&lt;=Statistics!$E$6,"Low Difference",IF('Product Positioning'!L122&gt;=Statistics!$E$4,"High Difference","Moderate Difference"))</f>
        <v>Moderate Difference</v>
      </c>
    </row>
    <row r="123" spans="1:13" x14ac:dyDescent="0.2">
      <c r="A123">
        <v>175927</v>
      </c>
      <c r="B123" s="1">
        <v>22.25</v>
      </c>
      <c r="C123" s="1">
        <v>21.68</v>
      </c>
      <c r="D123">
        <v>1506</v>
      </c>
      <c r="E123" t="str">
        <f>_xlfn.XLOOKUP(A123, 'Customer Information'!$A$1:$A$1001, 'Customer Information'!$B$1:$B$1001)</f>
        <v>Medium</v>
      </c>
      <c r="F123" t="str">
        <f>_xlfn.XLOOKUP(A123, 'Customer Information'!$A$1:$A$1001, 'Customer Information'!$C$1:$C$1001)</f>
        <v>Young adults</v>
      </c>
      <c r="G123" t="str">
        <f>_xlfn.XLOOKUP('Customer Information'!A123, 'Customer Information'!$A$1:$A$1001, 'Customer Information'!$D$1:$D$1001)</f>
        <v>No</v>
      </c>
      <c r="H123" t="str">
        <f>INDEX('Additional Product Info.'!$A$1:$C$1001, MATCH('Product Positioning'!$A123, 'Additional Product Info.'!$A$1:$A$1001, 0), MATCH('Product Positioning'!H$1, 'Additional Product Info.'!$A$1:$C$1, 0))</f>
        <v>End-cap</v>
      </c>
      <c r="I123" t="str">
        <f>INDEX('Additional Product Info.'!$A$1:$C$1001, MATCH('Product Positioning'!$A123, 'Additional Product Info.'!$A$1:$A$1001, 0), MATCH('Product Positioning'!I$1, 'Additional Product Info.'!$A$1:$C$1, 0))</f>
        <v>Clothing</v>
      </c>
      <c r="J123" t="str">
        <f>_xlfn.XLOOKUP(A123, $A$1:$A$1001, 'Additional Product Info.'!$D$1:$D$1001)</f>
        <v>Yes</v>
      </c>
      <c r="K123" s="1">
        <f t="shared" si="2"/>
        <v>33508.5</v>
      </c>
      <c r="L123" s="1">
        <f t="shared" si="3"/>
        <v>0.57000000000000028</v>
      </c>
      <c r="M123" t="str">
        <f>IF(L123&lt;=Statistics!$E$6,"Low Difference",IF('Product Positioning'!L123&gt;=Statistics!$E$4,"High Difference","Moderate Difference"))</f>
        <v>Low Difference</v>
      </c>
    </row>
    <row r="124" spans="1:13" x14ac:dyDescent="0.2">
      <c r="A124">
        <v>154278</v>
      </c>
      <c r="B124" s="1">
        <v>17.07</v>
      </c>
      <c r="C124" s="1">
        <v>16.29</v>
      </c>
      <c r="D124">
        <v>2749</v>
      </c>
      <c r="E124" t="str">
        <f>_xlfn.XLOOKUP(A124, 'Customer Information'!$A$1:$A$1001, 'Customer Information'!$B$1:$B$1001)</f>
        <v>Medium</v>
      </c>
      <c r="F124" t="str">
        <f>_xlfn.XLOOKUP(A124, 'Customer Information'!$A$1:$A$1001, 'Customer Information'!$C$1:$C$1001)</f>
        <v>Seniors</v>
      </c>
      <c r="G124" t="str">
        <f>_xlfn.XLOOKUP('Customer Information'!A124, 'Customer Information'!$A$1:$A$1001, 'Customer Information'!$D$1:$D$1001)</f>
        <v>No</v>
      </c>
      <c r="H124" t="str">
        <f>INDEX('Additional Product Info.'!$A$1:$C$1001, MATCH('Product Positioning'!$A124, 'Additional Product Info.'!$A$1:$A$1001, 0), MATCH('Product Positioning'!H$1, 'Additional Product Info.'!$A$1:$C$1, 0))</f>
        <v>End-cap</v>
      </c>
      <c r="I124" t="str">
        <f>INDEX('Additional Product Info.'!$A$1:$C$1001, MATCH('Product Positioning'!$A124, 'Additional Product Info.'!$A$1:$A$1001, 0), MATCH('Product Positioning'!I$1, 'Additional Product Info.'!$A$1:$C$1, 0))</f>
        <v>Clothing</v>
      </c>
      <c r="J124" t="str">
        <f>_xlfn.XLOOKUP(A124, $A$1:$A$1001, 'Additional Product Info.'!$D$1:$D$1001)</f>
        <v>Yes</v>
      </c>
      <c r="K124" s="1">
        <f t="shared" si="2"/>
        <v>46925.43</v>
      </c>
      <c r="L124" s="1">
        <f t="shared" si="3"/>
        <v>0.78000000000000114</v>
      </c>
      <c r="M124" t="str">
        <f>IF(L124&lt;=Statistics!$E$6,"Low Difference",IF('Product Positioning'!L124&gt;=Statistics!$E$4,"High Difference","Moderate Difference"))</f>
        <v>Low Difference</v>
      </c>
    </row>
    <row r="125" spans="1:13" x14ac:dyDescent="0.2">
      <c r="A125">
        <v>183537</v>
      </c>
      <c r="B125" s="1">
        <v>40.64</v>
      </c>
      <c r="C125" s="1">
        <v>36.61</v>
      </c>
      <c r="D125">
        <v>2434</v>
      </c>
      <c r="E125" t="str">
        <f>_xlfn.XLOOKUP(A125, 'Customer Information'!$A$1:$A$1001, 'Customer Information'!$B$1:$B$1001)</f>
        <v>Low</v>
      </c>
      <c r="F125" t="str">
        <f>_xlfn.XLOOKUP(A125, 'Customer Information'!$A$1:$A$1001, 'Customer Information'!$C$1:$C$1001)</f>
        <v>College students</v>
      </c>
      <c r="G125" t="str">
        <f>_xlfn.XLOOKUP('Customer Information'!A125, 'Customer Information'!$A$1:$A$1001, 'Customer Information'!$D$1:$D$1001)</f>
        <v>Yes</v>
      </c>
      <c r="H125" t="str">
        <f>INDEX('Additional Product Info.'!$A$1:$C$1001, MATCH('Product Positioning'!$A125, 'Additional Product Info.'!$A$1:$A$1001, 0), MATCH('Product Positioning'!H$1, 'Additional Product Info.'!$A$1:$C$1, 0))</f>
        <v>Front of Store</v>
      </c>
      <c r="I125" t="str">
        <f>INDEX('Additional Product Info.'!$A$1:$C$1001, MATCH('Product Positioning'!$A125, 'Additional Product Info.'!$A$1:$A$1001, 0), MATCH('Product Positioning'!I$1, 'Additional Product Info.'!$A$1:$C$1, 0))</f>
        <v>Electronics</v>
      </c>
      <c r="J125" t="str">
        <f>_xlfn.XLOOKUP(A125, $A$1:$A$1001, 'Additional Product Info.'!$D$1:$D$1001)</f>
        <v>Yes</v>
      </c>
      <c r="K125" s="1">
        <f t="shared" si="2"/>
        <v>98917.759999999995</v>
      </c>
      <c r="L125" s="1">
        <f t="shared" si="3"/>
        <v>4.0300000000000011</v>
      </c>
      <c r="M125" t="str">
        <f>IF(L125&lt;=Statistics!$E$6,"Low Difference",IF('Product Positioning'!L125&gt;=Statistics!$E$4,"High Difference","Moderate Difference"))</f>
        <v>High Difference</v>
      </c>
    </row>
    <row r="126" spans="1:13" x14ac:dyDescent="0.2">
      <c r="A126">
        <v>150424</v>
      </c>
      <c r="B126" s="1">
        <v>25.47</v>
      </c>
      <c r="C126" s="1">
        <v>25.19</v>
      </c>
      <c r="D126">
        <v>2067</v>
      </c>
      <c r="E126" t="str">
        <f>_xlfn.XLOOKUP(A126, 'Customer Information'!$A$1:$A$1001, 'Customer Information'!$B$1:$B$1001)</f>
        <v>Medium</v>
      </c>
      <c r="F126" t="str">
        <f>_xlfn.XLOOKUP(A126, 'Customer Information'!$A$1:$A$1001, 'Customer Information'!$C$1:$C$1001)</f>
        <v>Young adults</v>
      </c>
      <c r="G126" t="str">
        <f>_xlfn.XLOOKUP('Customer Information'!A126, 'Customer Information'!$A$1:$A$1001, 'Customer Information'!$D$1:$D$1001)</f>
        <v>No</v>
      </c>
      <c r="H126" t="str">
        <f>INDEX('Additional Product Info.'!$A$1:$C$1001, MATCH('Product Positioning'!$A126, 'Additional Product Info.'!$A$1:$A$1001, 0), MATCH('Product Positioning'!H$1, 'Additional Product Info.'!$A$1:$C$1, 0))</f>
        <v>Front of Store</v>
      </c>
      <c r="I126" t="str">
        <f>INDEX('Additional Product Info.'!$A$1:$C$1001, MATCH('Product Positioning'!$A126, 'Additional Product Info.'!$A$1:$A$1001, 0), MATCH('Product Positioning'!I$1, 'Additional Product Info.'!$A$1:$C$1, 0))</f>
        <v>Food</v>
      </c>
      <c r="J126" t="str">
        <f>_xlfn.XLOOKUP(A126, $A$1:$A$1001, 'Additional Product Info.'!$D$1:$D$1001)</f>
        <v>Yes</v>
      </c>
      <c r="K126" s="1">
        <f t="shared" si="2"/>
        <v>52646.49</v>
      </c>
      <c r="L126" s="1">
        <f t="shared" si="3"/>
        <v>0.27999999999999758</v>
      </c>
      <c r="M126" t="str">
        <f>IF(L126&lt;=Statistics!$E$6,"Low Difference",IF('Product Positioning'!L126&gt;=Statistics!$E$4,"High Difference","Moderate Difference"))</f>
        <v>Low Difference</v>
      </c>
    </row>
    <row r="127" spans="1:13" x14ac:dyDescent="0.2">
      <c r="A127">
        <v>183825</v>
      </c>
      <c r="B127" s="1">
        <v>42.7</v>
      </c>
      <c r="C127" s="1">
        <v>40.51</v>
      </c>
      <c r="D127">
        <v>2989</v>
      </c>
      <c r="E127" t="str">
        <f>_xlfn.XLOOKUP(A127, 'Customer Information'!$A$1:$A$1001, 'Customer Information'!$B$1:$B$1001)</f>
        <v>Low</v>
      </c>
      <c r="F127" t="str">
        <f>_xlfn.XLOOKUP(A127, 'Customer Information'!$A$1:$A$1001, 'Customer Information'!$C$1:$C$1001)</f>
        <v>Families</v>
      </c>
      <c r="G127" t="str">
        <f>_xlfn.XLOOKUP('Customer Information'!A127, 'Customer Information'!$A$1:$A$1001, 'Customer Information'!$D$1:$D$1001)</f>
        <v>Yes</v>
      </c>
      <c r="H127" t="str">
        <f>INDEX('Additional Product Info.'!$A$1:$C$1001, MATCH('Product Positioning'!$A127, 'Additional Product Info.'!$A$1:$A$1001, 0), MATCH('Product Positioning'!H$1, 'Additional Product Info.'!$A$1:$C$1, 0))</f>
        <v>Aisle</v>
      </c>
      <c r="I127" t="str">
        <f>INDEX('Additional Product Info.'!$A$1:$C$1001, MATCH('Product Positioning'!$A127, 'Additional Product Info.'!$A$1:$A$1001, 0), MATCH('Product Positioning'!I$1, 'Additional Product Info.'!$A$1:$C$1, 0))</f>
        <v>Clothing</v>
      </c>
      <c r="J127" t="str">
        <f>_xlfn.XLOOKUP(A127, $A$1:$A$1001, 'Additional Product Info.'!$D$1:$D$1001)</f>
        <v>Yes</v>
      </c>
      <c r="K127" s="1">
        <f t="shared" si="2"/>
        <v>127630.3</v>
      </c>
      <c r="L127" s="1">
        <f t="shared" si="3"/>
        <v>2.1900000000000048</v>
      </c>
      <c r="M127" t="str">
        <f>IF(L127&lt;=Statistics!$E$6,"Low Difference",IF('Product Positioning'!L127&gt;=Statistics!$E$4,"High Difference","Moderate Difference"))</f>
        <v>Moderate Difference</v>
      </c>
    </row>
    <row r="128" spans="1:13" x14ac:dyDescent="0.2">
      <c r="A128">
        <v>144012</v>
      </c>
      <c r="B128" s="1">
        <v>33.28</v>
      </c>
      <c r="C128" s="1">
        <v>31.57</v>
      </c>
      <c r="D128">
        <v>743</v>
      </c>
      <c r="E128" t="str">
        <f>_xlfn.XLOOKUP(A128, 'Customer Information'!$A$1:$A$1001, 'Customer Information'!$B$1:$B$1001)</f>
        <v>Low</v>
      </c>
      <c r="F128" t="str">
        <f>_xlfn.XLOOKUP(A128, 'Customer Information'!$A$1:$A$1001, 'Customer Information'!$C$1:$C$1001)</f>
        <v>Families</v>
      </c>
      <c r="G128" t="str">
        <f>_xlfn.XLOOKUP('Customer Information'!A128, 'Customer Information'!$A$1:$A$1001, 'Customer Information'!$D$1:$D$1001)</f>
        <v>Yes</v>
      </c>
      <c r="H128" t="str">
        <f>INDEX('Additional Product Info.'!$A$1:$C$1001, MATCH('Product Positioning'!$A128, 'Additional Product Info.'!$A$1:$A$1001, 0), MATCH('Product Positioning'!H$1, 'Additional Product Info.'!$A$1:$C$1, 0))</f>
        <v>Front of Store</v>
      </c>
      <c r="I128" t="str">
        <f>INDEX('Additional Product Info.'!$A$1:$C$1001, MATCH('Product Positioning'!$A128, 'Additional Product Info.'!$A$1:$A$1001, 0), MATCH('Product Positioning'!I$1, 'Additional Product Info.'!$A$1:$C$1, 0))</f>
        <v>Electronics</v>
      </c>
      <c r="J128" t="str">
        <f>_xlfn.XLOOKUP(A128, $A$1:$A$1001, 'Additional Product Info.'!$D$1:$D$1001)</f>
        <v>No</v>
      </c>
      <c r="K128" s="1">
        <f t="shared" si="2"/>
        <v>24727.040000000001</v>
      </c>
      <c r="L128" s="1">
        <f t="shared" si="3"/>
        <v>1.7100000000000009</v>
      </c>
      <c r="M128" t="str">
        <f>IF(L128&lt;=Statistics!$E$6,"Low Difference",IF('Product Positioning'!L128&gt;=Statistics!$E$4,"High Difference","Moderate Difference"))</f>
        <v>Moderate Difference</v>
      </c>
    </row>
    <row r="129" spans="1:13" x14ac:dyDescent="0.2">
      <c r="A129">
        <v>147051</v>
      </c>
      <c r="B129" s="1">
        <v>31.59</v>
      </c>
      <c r="C129" s="1">
        <v>28.91</v>
      </c>
      <c r="D129">
        <v>2325</v>
      </c>
      <c r="E129" t="str">
        <f>_xlfn.XLOOKUP(A129, 'Customer Information'!$A$1:$A$1001, 'Customer Information'!$B$1:$B$1001)</f>
        <v>Low</v>
      </c>
      <c r="F129" t="str">
        <f>_xlfn.XLOOKUP(A129, 'Customer Information'!$A$1:$A$1001, 'Customer Information'!$C$1:$C$1001)</f>
        <v>Young adults</v>
      </c>
      <c r="G129" t="str">
        <f>_xlfn.XLOOKUP('Customer Information'!A129, 'Customer Information'!$A$1:$A$1001, 'Customer Information'!$D$1:$D$1001)</f>
        <v>No</v>
      </c>
      <c r="H129" t="str">
        <f>INDEX('Additional Product Info.'!$A$1:$C$1001, MATCH('Product Positioning'!$A129, 'Additional Product Info.'!$A$1:$A$1001, 0), MATCH('Product Positioning'!H$1, 'Additional Product Info.'!$A$1:$C$1, 0))</f>
        <v>Front of Store</v>
      </c>
      <c r="I129" t="str">
        <f>INDEX('Additional Product Info.'!$A$1:$C$1001, MATCH('Product Positioning'!$A129, 'Additional Product Info.'!$A$1:$A$1001, 0), MATCH('Product Positioning'!I$1, 'Additional Product Info.'!$A$1:$C$1, 0))</f>
        <v>Electronics</v>
      </c>
      <c r="J129" t="str">
        <f>_xlfn.XLOOKUP(A129, $A$1:$A$1001, 'Additional Product Info.'!$D$1:$D$1001)</f>
        <v>No</v>
      </c>
      <c r="K129" s="1">
        <f t="shared" si="2"/>
        <v>73446.75</v>
      </c>
      <c r="L129" s="1">
        <f t="shared" si="3"/>
        <v>2.6799999999999997</v>
      </c>
      <c r="M129" t="str">
        <f>IF(L129&lt;=Statistics!$E$6,"Low Difference",IF('Product Positioning'!L129&gt;=Statistics!$E$4,"High Difference","Moderate Difference"))</f>
        <v>Moderate Difference</v>
      </c>
    </row>
    <row r="130" spans="1:13" x14ac:dyDescent="0.2">
      <c r="A130">
        <v>185800</v>
      </c>
      <c r="B130" s="1">
        <v>24.2</v>
      </c>
      <c r="C130" s="1">
        <v>21.33</v>
      </c>
      <c r="D130">
        <v>1841</v>
      </c>
      <c r="E130" t="str">
        <f>_xlfn.XLOOKUP(A130, 'Customer Information'!$A$1:$A$1001, 'Customer Information'!$B$1:$B$1001)</f>
        <v>Medium</v>
      </c>
      <c r="F130" t="str">
        <f>_xlfn.XLOOKUP(A130, 'Customer Information'!$A$1:$A$1001, 'Customer Information'!$C$1:$C$1001)</f>
        <v>College students</v>
      </c>
      <c r="G130" t="str">
        <f>_xlfn.XLOOKUP('Customer Information'!A130, 'Customer Information'!$A$1:$A$1001, 'Customer Information'!$D$1:$D$1001)</f>
        <v>No</v>
      </c>
      <c r="H130" t="str">
        <f>INDEX('Additional Product Info.'!$A$1:$C$1001, MATCH('Product Positioning'!$A130, 'Additional Product Info.'!$A$1:$A$1001, 0), MATCH('Product Positioning'!H$1, 'Additional Product Info.'!$A$1:$C$1, 0))</f>
        <v>End-cap</v>
      </c>
      <c r="I130" t="str">
        <f>INDEX('Additional Product Info.'!$A$1:$C$1001, MATCH('Product Positioning'!$A130, 'Additional Product Info.'!$A$1:$A$1001, 0), MATCH('Product Positioning'!I$1, 'Additional Product Info.'!$A$1:$C$1, 0))</f>
        <v>Electronics</v>
      </c>
      <c r="J130" t="str">
        <f>_xlfn.XLOOKUP(A130, $A$1:$A$1001, 'Additional Product Info.'!$D$1:$D$1001)</f>
        <v>Yes</v>
      </c>
      <c r="K130" s="1">
        <f t="shared" ref="K130:K193" si="4">B130*D130</f>
        <v>44552.2</v>
      </c>
      <c r="L130" s="1">
        <f t="shared" ref="L130:L193" si="5">ABS(B130-C130)</f>
        <v>2.870000000000001</v>
      </c>
      <c r="M130" t="str">
        <f>IF(L130&lt;=Statistics!$E$6,"Low Difference",IF('Product Positioning'!L130&gt;=Statistics!$E$4,"High Difference","Moderate Difference"))</f>
        <v>Moderate Difference</v>
      </c>
    </row>
    <row r="131" spans="1:13" x14ac:dyDescent="0.2">
      <c r="A131">
        <v>197524</v>
      </c>
      <c r="B131" s="1">
        <v>31.52</v>
      </c>
      <c r="C131" s="1">
        <v>28.79</v>
      </c>
      <c r="D131">
        <v>2231</v>
      </c>
      <c r="E131" t="str">
        <f>_xlfn.XLOOKUP(A131, 'Customer Information'!$A$1:$A$1001, 'Customer Information'!$B$1:$B$1001)</f>
        <v>Low</v>
      </c>
      <c r="F131" t="str">
        <f>_xlfn.XLOOKUP(A131, 'Customer Information'!$A$1:$A$1001, 'Customer Information'!$C$1:$C$1001)</f>
        <v>Seniors</v>
      </c>
      <c r="G131" t="str">
        <f>_xlfn.XLOOKUP('Customer Information'!A131, 'Customer Information'!$A$1:$A$1001, 'Customer Information'!$D$1:$D$1001)</f>
        <v>Yes</v>
      </c>
      <c r="H131" t="str">
        <f>INDEX('Additional Product Info.'!$A$1:$C$1001, MATCH('Product Positioning'!$A131, 'Additional Product Info.'!$A$1:$A$1001, 0), MATCH('Product Positioning'!H$1, 'Additional Product Info.'!$A$1:$C$1, 0))</f>
        <v>Aisle</v>
      </c>
      <c r="I131" t="str">
        <f>INDEX('Additional Product Info.'!$A$1:$C$1001, MATCH('Product Positioning'!$A131, 'Additional Product Info.'!$A$1:$A$1001, 0), MATCH('Product Positioning'!I$1, 'Additional Product Info.'!$A$1:$C$1, 0))</f>
        <v>Clothing</v>
      </c>
      <c r="J131" t="str">
        <f>_xlfn.XLOOKUP(A131, $A$1:$A$1001, 'Additional Product Info.'!$D$1:$D$1001)</f>
        <v>Yes</v>
      </c>
      <c r="K131" s="1">
        <f t="shared" si="4"/>
        <v>70321.119999999995</v>
      </c>
      <c r="L131" s="1">
        <f t="shared" si="5"/>
        <v>2.7300000000000004</v>
      </c>
      <c r="M131" t="str">
        <f>IF(L131&lt;=Statistics!$E$6,"Low Difference",IF('Product Positioning'!L131&gt;=Statistics!$E$4,"High Difference","Moderate Difference"))</f>
        <v>Moderate Difference</v>
      </c>
    </row>
    <row r="132" spans="1:13" x14ac:dyDescent="0.2">
      <c r="A132">
        <v>148823</v>
      </c>
      <c r="B132" s="1">
        <v>12.31</v>
      </c>
      <c r="C132" s="1">
        <v>8.65</v>
      </c>
      <c r="D132">
        <v>2211</v>
      </c>
      <c r="E132" t="str">
        <f>_xlfn.XLOOKUP(A132, 'Customer Information'!$A$1:$A$1001, 'Customer Information'!$B$1:$B$1001)</f>
        <v>Low</v>
      </c>
      <c r="F132" t="str">
        <f>_xlfn.XLOOKUP(A132, 'Customer Information'!$A$1:$A$1001, 'Customer Information'!$C$1:$C$1001)</f>
        <v>Seniors</v>
      </c>
      <c r="G132" t="str">
        <f>_xlfn.XLOOKUP('Customer Information'!A132, 'Customer Information'!$A$1:$A$1001, 'Customer Information'!$D$1:$D$1001)</f>
        <v>No</v>
      </c>
      <c r="H132" t="str">
        <f>INDEX('Additional Product Info.'!$A$1:$C$1001, MATCH('Product Positioning'!$A132, 'Additional Product Info.'!$A$1:$A$1001, 0), MATCH('Product Positioning'!H$1, 'Additional Product Info.'!$A$1:$C$1, 0))</f>
        <v>Aisle</v>
      </c>
      <c r="I132" t="str">
        <f>INDEX('Additional Product Info.'!$A$1:$C$1001, MATCH('Product Positioning'!$A132, 'Additional Product Info.'!$A$1:$A$1001, 0), MATCH('Product Positioning'!I$1, 'Additional Product Info.'!$A$1:$C$1, 0))</f>
        <v>Clothing</v>
      </c>
      <c r="J132" t="str">
        <f>_xlfn.XLOOKUP(A132, $A$1:$A$1001, 'Additional Product Info.'!$D$1:$D$1001)</f>
        <v>Yes</v>
      </c>
      <c r="K132" s="1">
        <f t="shared" si="4"/>
        <v>27217.41</v>
      </c>
      <c r="L132" s="1">
        <f t="shared" si="5"/>
        <v>3.66</v>
      </c>
      <c r="M132" t="str">
        <f>IF(L132&lt;=Statistics!$E$6,"Low Difference",IF('Product Positioning'!L132&gt;=Statistics!$E$4,"High Difference","Moderate Difference"))</f>
        <v>Moderate Difference</v>
      </c>
    </row>
    <row r="133" spans="1:13" x14ac:dyDescent="0.2">
      <c r="A133">
        <v>114550</v>
      </c>
      <c r="B133" s="1">
        <v>28.13</v>
      </c>
      <c r="C133" s="1">
        <v>25.72</v>
      </c>
      <c r="D133">
        <v>2114</v>
      </c>
      <c r="E133" t="str">
        <f>_xlfn.XLOOKUP(A133, 'Customer Information'!$A$1:$A$1001, 'Customer Information'!$B$1:$B$1001)</f>
        <v>Low</v>
      </c>
      <c r="F133" t="str">
        <f>_xlfn.XLOOKUP(A133, 'Customer Information'!$A$1:$A$1001, 'Customer Information'!$C$1:$C$1001)</f>
        <v>Young adults</v>
      </c>
      <c r="G133" t="str">
        <f>_xlfn.XLOOKUP('Customer Information'!A133, 'Customer Information'!$A$1:$A$1001, 'Customer Information'!$D$1:$D$1001)</f>
        <v>No</v>
      </c>
      <c r="H133" t="str">
        <f>INDEX('Additional Product Info.'!$A$1:$C$1001, MATCH('Product Positioning'!$A133, 'Additional Product Info.'!$A$1:$A$1001, 0), MATCH('Product Positioning'!H$1, 'Additional Product Info.'!$A$1:$C$1, 0))</f>
        <v>End-cap</v>
      </c>
      <c r="I133" t="str">
        <f>INDEX('Additional Product Info.'!$A$1:$C$1001, MATCH('Product Positioning'!$A133, 'Additional Product Info.'!$A$1:$A$1001, 0), MATCH('Product Positioning'!I$1, 'Additional Product Info.'!$A$1:$C$1, 0))</f>
        <v>Clothing</v>
      </c>
      <c r="J133" t="str">
        <f>_xlfn.XLOOKUP(A133, $A$1:$A$1001, 'Additional Product Info.'!$D$1:$D$1001)</f>
        <v>No</v>
      </c>
      <c r="K133" s="1">
        <f t="shared" si="4"/>
        <v>59466.82</v>
      </c>
      <c r="L133" s="1">
        <f t="shared" si="5"/>
        <v>2.41</v>
      </c>
      <c r="M133" t="str">
        <f>IF(L133&lt;=Statistics!$E$6,"Low Difference",IF('Product Positioning'!L133&gt;=Statistics!$E$4,"High Difference","Moderate Difference"))</f>
        <v>Moderate Difference</v>
      </c>
    </row>
    <row r="134" spans="1:13" x14ac:dyDescent="0.2">
      <c r="A134">
        <v>125398</v>
      </c>
      <c r="B134" s="1">
        <v>48.12</v>
      </c>
      <c r="C134" s="1">
        <v>43.56</v>
      </c>
      <c r="D134">
        <v>1350</v>
      </c>
      <c r="E134" t="str">
        <f>_xlfn.XLOOKUP(A134, 'Customer Information'!$A$1:$A$1001, 'Customer Information'!$B$1:$B$1001)</f>
        <v>High</v>
      </c>
      <c r="F134" t="str">
        <f>_xlfn.XLOOKUP(A134, 'Customer Information'!$A$1:$A$1001, 'Customer Information'!$C$1:$C$1001)</f>
        <v>College students</v>
      </c>
      <c r="G134" t="str">
        <f>_xlfn.XLOOKUP('Customer Information'!A134, 'Customer Information'!$A$1:$A$1001, 'Customer Information'!$D$1:$D$1001)</f>
        <v>Yes</v>
      </c>
      <c r="H134" t="str">
        <f>INDEX('Additional Product Info.'!$A$1:$C$1001, MATCH('Product Positioning'!$A134, 'Additional Product Info.'!$A$1:$A$1001, 0), MATCH('Product Positioning'!H$1, 'Additional Product Info.'!$A$1:$C$1, 0))</f>
        <v>Aisle</v>
      </c>
      <c r="I134" t="str">
        <f>INDEX('Additional Product Info.'!$A$1:$C$1001, MATCH('Product Positioning'!$A134, 'Additional Product Info.'!$A$1:$A$1001, 0), MATCH('Product Positioning'!I$1, 'Additional Product Info.'!$A$1:$C$1, 0))</f>
        <v>Electronics</v>
      </c>
      <c r="J134" t="str">
        <f>_xlfn.XLOOKUP(A134, $A$1:$A$1001, 'Additional Product Info.'!$D$1:$D$1001)</f>
        <v>Yes</v>
      </c>
      <c r="K134" s="1">
        <f t="shared" si="4"/>
        <v>64962</v>
      </c>
      <c r="L134" s="1">
        <f t="shared" si="5"/>
        <v>4.5599999999999952</v>
      </c>
      <c r="M134" t="str">
        <f>IF(L134&lt;=Statistics!$E$6,"Low Difference",IF('Product Positioning'!L134&gt;=Statistics!$E$4,"High Difference","Moderate Difference"))</f>
        <v>High Difference</v>
      </c>
    </row>
    <row r="135" spans="1:13" x14ac:dyDescent="0.2">
      <c r="A135">
        <v>123985</v>
      </c>
      <c r="B135" s="1">
        <v>9.52</v>
      </c>
      <c r="C135" s="1">
        <v>6.43</v>
      </c>
      <c r="D135">
        <v>2240</v>
      </c>
      <c r="E135" t="str">
        <f>_xlfn.XLOOKUP(A135, 'Customer Information'!$A$1:$A$1001, 'Customer Information'!$B$1:$B$1001)</f>
        <v>High</v>
      </c>
      <c r="F135" t="str">
        <f>_xlfn.XLOOKUP(A135, 'Customer Information'!$A$1:$A$1001, 'Customer Information'!$C$1:$C$1001)</f>
        <v>Seniors</v>
      </c>
      <c r="G135" t="str">
        <f>_xlfn.XLOOKUP('Customer Information'!A135, 'Customer Information'!$A$1:$A$1001, 'Customer Information'!$D$1:$D$1001)</f>
        <v>No</v>
      </c>
      <c r="H135" t="str">
        <f>INDEX('Additional Product Info.'!$A$1:$C$1001, MATCH('Product Positioning'!$A135, 'Additional Product Info.'!$A$1:$A$1001, 0), MATCH('Product Positioning'!H$1, 'Additional Product Info.'!$A$1:$C$1, 0))</f>
        <v>End-cap</v>
      </c>
      <c r="I135" t="str">
        <f>INDEX('Additional Product Info.'!$A$1:$C$1001, MATCH('Product Positioning'!$A135, 'Additional Product Info.'!$A$1:$A$1001, 0), MATCH('Product Positioning'!I$1, 'Additional Product Info.'!$A$1:$C$1, 0))</f>
        <v>Electronics</v>
      </c>
      <c r="J135" t="str">
        <f>_xlfn.XLOOKUP(A135, $A$1:$A$1001, 'Additional Product Info.'!$D$1:$D$1001)</f>
        <v>No</v>
      </c>
      <c r="K135" s="1">
        <f t="shared" si="4"/>
        <v>21324.799999999999</v>
      </c>
      <c r="L135" s="1">
        <f t="shared" si="5"/>
        <v>3.09</v>
      </c>
      <c r="M135" t="str">
        <f>IF(L135&lt;=Statistics!$E$6,"Low Difference",IF('Product Positioning'!L135&gt;=Statistics!$E$4,"High Difference","Moderate Difference"))</f>
        <v>Moderate Difference</v>
      </c>
    </row>
    <row r="136" spans="1:13" x14ac:dyDescent="0.2">
      <c r="A136">
        <v>186638</v>
      </c>
      <c r="B136" s="1">
        <v>18.78</v>
      </c>
      <c r="C136" s="1">
        <v>17.11</v>
      </c>
      <c r="D136">
        <v>1296</v>
      </c>
      <c r="E136" t="str">
        <f>_xlfn.XLOOKUP(A136, 'Customer Information'!$A$1:$A$1001, 'Customer Information'!$B$1:$B$1001)</f>
        <v>High</v>
      </c>
      <c r="F136" t="str">
        <f>_xlfn.XLOOKUP(A136, 'Customer Information'!$A$1:$A$1001, 'Customer Information'!$C$1:$C$1001)</f>
        <v>College students</v>
      </c>
      <c r="G136" t="str">
        <f>_xlfn.XLOOKUP('Customer Information'!A136, 'Customer Information'!$A$1:$A$1001, 'Customer Information'!$D$1:$D$1001)</f>
        <v>Yes</v>
      </c>
      <c r="H136" t="str">
        <f>INDEX('Additional Product Info.'!$A$1:$C$1001, MATCH('Product Positioning'!$A136, 'Additional Product Info.'!$A$1:$A$1001, 0), MATCH('Product Positioning'!H$1, 'Additional Product Info.'!$A$1:$C$1, 0))</f>
        <v>End-cap</v>
      </c>
      <c r="I136" t="str">
        <f>INDEX('Additional Product Info.'!$A$1:$C$1001, MATCH('Product Positioning'!$A136, 'Additional Product Info.'!$A$1:$A$1001, 0), MATCH('Product Positioning'!I$1, 'Additional Product Info.'!$A$1:$C$1, 0))</f>
        <v>Electronics</v>
      </c>
      <c r="J136" t="str">
        <f>_xlfn.XLOOKUP(A136, $A$1:$A$1001, 'Additional Product Info.'!$D$1:$D$1001)</f>
        <v>No</v>
      </c>
      <c r="K136" s="1">
        <f t="shared" si="4"/>
        <v>24338.880000000001</v>
      </c>
      <c r="L136" s="1">
        <f t="shared" si="5"/>
        <v>1.6700000000000017</v>
      </c>
      <c r="M136" t="str">
        <f>IF(L136&lt;=Statistics!$E$6,"Low Difference",IF('Product Positioning'!L136&gt;=Statistics!$E$4,"High Difference","Moderate Difference"))</f>
        <v>Moderate Difference</v>
      </c>
    </row>
    <row r="137" spans="1:13" x14ac:dyDescent="0.2">
      <c r="A137">
        <v>167281</v>
      </c>
      <c r="B137" s="1">
        <v>19.489999999999998</v>
      </c>
      <c r="C137" s="1">
        <v>16.8</v>
      </c>
      <c r="D137">
        <v>892</v>
      </c>
      <c r="E137" t="str">
        <f>_xlfn.XLOOKUP(A137, 'Customer Information'!$A$1:$A$1001, 'Customer Information'!$B$1:$B$1001)</f>
        <v>High</v>
      </c>
      <c r="F137" t="str">
        <f>_xlfn.XLOOKUP(A137, 'Customer Information'!$A$1:$A$1001, 'Customer Information'!$C$1:$C$1001)</f>
        <v>Families</v>
      </c>
      <c r="G137" t="str">
        <f>_xlfn.XLOOKUP('Customer Information'!A137, 'Customer Information'!$A$1:$A$1001, 'Customer Information'!$D$1:$D$1001)</f>
        <v>Yes</v>
      </c>
      <c r="H137" t="str">
        <f>INDEX('Additional Product Info.'!$A$1:$C$1001, MATCH('Product Positioning'!$A137, 'Additional Product Info.'!$A$1:$A$1001, 0), MATCH('Product Positioning'!H$1, 'Additional Product Info.'!$A$1:$C$1, 0))</f>
        <v>End-cap</v>
      </c>
      <c r="I137" t="str">
        <f>INDEX('Additional Product Info.'!$A$1:$C$1001, MATCH('Product Positioning'!$A137, 'Additional Product Info.'!$A$1:$A$1001, 0), MATCH('Product Positioning'!I$1, 'Additional Product Info.'!$A$1:$C$1, 0))</f>
        <v>Electronics</v>
      </c>
      <c r="J137" t="str">
        <f>_xlfn.XLOOKUP(A137, $A$1:$A$1001, 'Additional Product Info.'!$D$1:$D$1001)</f>
        <v>Yes</v>
      </c>
      <c r="K137" s="1">
        <f t="shared" si="4"/>
        <v>17385.079999999998</v>
      </c>
      <c r="L137" s="1">
        <f t="shared" si="5"/>
        <v>2.6899999999999977</v>
      </c>
      <c r="M137" t="str">
        <f>IF(L137&lt;=Statistics!$E$6,"Low Difference",IF('Product Positioning'!L137&gt;=Statistics!$E$4,"High Difference","Moderate Difference"))</f>
        <v>Moderate Difference</v>
      </c>
    </row>
    <row r="138" spans="1:13" x14ac:dyDescent="0.2">
      <c r="A138">
        <v>118578</v>
      </c>
      <c r="B138" s="1">
        <v>9.07</v>
      </c>
      <c r="C138" s="1">
        <v>6.59</v>
      </c>
      <c r="D138">
        <v>1678</v>
      </c>
      <c r="E138" t="str">
        <f>_xlfn.XLOOKUP(A138, 'Customer Information'!$A$1:$A$1001, 'Customer Information'!$B$1:$B$1001)</f>
        <v>High</v>
      </c>
      <c r="F138" t="str">
        <f>_xlfn.XLOOKUP(A138, 'Customer Information'!$A$1:$A$1001, 'Customer Information'!$C$1:$C$1001)</f>
        <v>Seniors</v>
      </c>
      <c r="G138" t="str">
        <f>_xlfn.XLOOKUP('Customer Information'!A138, 'Customer Information'!$A$1:$A$1001, 'Customer Information'!$D$1:$D$1001)</f>
        <v>No</v>
      </c>
      <c r="H138" t="str">
        <f>INDEX('Additional Product Info.'!$A$1:$C$1001, MATCH('Product Positioning'!$A138, 'Additional Product Info.'!$A$1:$A$1001, 0), MATCH('Product Positioning'!H$1, 'Additional Product Info.'!$A$1:$C$1, 0))</f>
        <v>End-cap</v>
      </c>
      <c r="I138" t="str">
        <f>INDEX('Additional Product Info.'!$A$1:$C$1001, MATCH('Product Positioning'!$A138, 'Additional Product Info.'!$A$1:$A$1001, 0), MATCH('Product Positioning'!I$1, 'Additional Product Info.'!$A$1:$C$1, 0))</f>
        <v>Clothing</v>
      </c>
      <c r="J138" t="str">
        <f>_xlfn.XLOOKUP(A138, $A$1:$A$1001, 'Additional Product Info.'!$D$1:$D$1001)</f>
        <v>Yes</v>
      </c>
      <c r="K138" s="1">
        <f t="shared" si="4"/>
        <v>15219.460000000001</v>
      </c>
      <c r="L138" s="1">
        <f t="shared" si="5"/>
        <v>2.4800000000000004</v>
      </c>
      <c r="M138" t="str">
        <f>IF(L138&lt;=Statistics!$E$6,"Low Difference",IF('Product Positioning'!L138&gt;=Statistics!$E$4,"High Difference","Moderate Difference"))</f>
        <v>Moderate Difference</v>
      </c>
    </row>
    <row r="139" spans="1:13" x14ac:dyDescent="0.2">
      <c r="A139">
        <v>174041</v>
      </c>
      <c r="B139" s="1">
        <v>5.0599999999999996</v>
      </c>
      <c r="C139" s="1">
        <v>4.51</v>
      </c>
      <c r="D139">
        <v>2016</v>
      </c>
      <c r="E139" t="str">
        <f>_xlfn.XLOOKUP(A139, 'Customer Information'!$A$1:$A$1001, 'Customer Information'!$B$1:$B$1001)</f>
        <v>Medium</v>
      </c>
      <c r="F139" t="str">
        <f>_xlfn.XLOOKUP(A139, 'Customer Information'!$A$1:$A$1001, 'Customer Information'!$C$1:$C$1001)</f>
        <v>Seniors</v>
      </c>
      <c r="G139" t="str">
        <f>_xlfn.XLOOKUP('Customer Information'!A139, 'Customer Information'!$A$1:$A$1001, 'Customer Information'!$D$1:$D$1001)</f>
        <v>No</v>
      </c>
      <c r="H139" t="str">
        <f>INDEX('Additional Product Info.'!$A$1:$C$1001, MATCH('Product Positioning'!$A139, 'Additional Product Info.'!$A$1:$A$1001, 0), MATCH('Product Positioning'!H$1, 'Additional Product Info.'!$A$1:$C$1, 0))</f>
        <v>End-cap</v>
      </c>
      <c r="I139" t="str">
        <f>INDEX('Additional Product Info.'!$A$1:$C$1001, MATCH('Product Positioning'!$A139, 'Additional Product Info.'!$A$1:$A$1001, 0), MATCH('Product Positioning'!I$1, 'Additional Product Info.'!$A$1:$C$1, 0))</f>
        <v>Electronics</v>
      </c>
      <c r="J139" t="str">
        <f>_xlfn.XLOOKUP(A139, $A$1:$A$1001, 'Additional Product Info.'!$D$1:$D$1001)</f>
        <v>No</v>
      </c>
      <c r="K139" s="1">
        <f t="shared" si="4"/>
        <v>10200.959999999999</v>
      </c>
      <c r="L139" s="1">
        <f t="shared" si="5"/>
        <v>0.54999999999999982</v>
      </c>
      <c r="M139" t="str">
        <f>IF(L139&lt;=Statistics!$E$6,"Low Difference",IF('Product Positioning'!L139&gt;=Statistics!$E$4,"High Difference","Moderate Difference"))</f>
        <v>Low Difference</v>
      </c>
    </row>
    <row r="140" spans="1:13" x14ac:dyDescent="0.2">
      <c r="A140">
        <v>127644</v>
      </c>
      <c r="B140" s="1">
        <v>36.479999999999997</v>
      </c>
      <c r="C140" s="1">
        <v>36.14</v>
      </c>
      <c r="D140">
        <v>1498</v>
      </c>
      <c r="E140" t="str">
        <f>_xlfn.XLOOKUP(A140, 'Customer Information'!$A$1:$A$1001, 'Customer Information'!$B$1:$B$1001)</f>
        <v>Low</v>
      </c>
      <c r="F140" t="str">
        <f>_xlfn.XLOOKUP(A140, 'Customer Information'!$A$1:$A$1001, 'Customer Information'!$C$1:$C$1001)</f>
        <v>Young adults</v>
      </c>
      <c r="G140" t="str">
        <f>_xlfn.XLOOKUP('Customer Information'!A140, 'Customer Information'!$A$1:$A$1001, 'Customer Information'!$D$1:$D$1001)</f>
        <v>No</v>
      </c>
      <c r="H140" t="str">
        <f>INDEX('Additional Product Info.'!$A$1:$C$1001, MATCH('Product Positioning'!$A140, 'Additional Product Info.'!$A$1:$A$1001, 0), MATCH('Product Positioning'!H$1, 'Additional Product Info.'!$A$1:$C$1, 0))</f>
        <v>Front of Store</v>
      </c>
      <c r="I140" t="str">
        <f>INDEX('Additional Product Info.'!$A$1:$C$1001, MATCH('Product Positioning'!$A140, 'Additional Product Info.'!$A$1:$A$1001, 0), MATCH('Product Positioning'!I$1, 'Additional Product Info.'!$A$1:$C$1, 0))</f>
        <v>Clothing</v>
      </c>
      <c r="J140" t="str">
        <f>_xlfn.XLOOKUP(A140, $A$1:$A$1001, 'Additional Product Info.'!$D$1:$D$1001)</f>
        <v>Yes</v>
      </c>
      <c r="K140" s="1">
        <f t="shared" si="4"/>
        <v>54647.039999999994</v>
      </c>
      <c r="L140" s="1">
        <f t="shared" si="5"/>
        <v>0.33999999999999631</v>
      </c>
      <c r="M140" t="str">
        <f>IF(L140&lt;=Statistics!$E$6,"Low Difference",IF('Product Positioning'!L140&gt;=Statistics!$E$4,"High Difference","Moderate Difference"))</f>
        <v>Low Difference</v>
      </c>
    </row>
    <row r="141" spans="1:13" x14ac:dyDescent="0.2">
      <c r="A141">
        <v>132007</v>
      </c>
      <c r="B141" s="1">
        <v>38.630000000000003</v>
      </c>
      <c r="C141" s="1">
        <v>35.08</v>
      </c>
      <c r="D141">
        <v>2491</v>
      </c>
      <c r="E141" t="str">
        <f>_xlfn.XLOOKUP(A141, 'Customer Information'!$A$1:$A$1001, 'Customer Information'!$B$1:$B$1001)</f>
        <v>Low</v>
      </c>
      <c r="F141" t="str">
        <f>_xlfn.XLOOKUP(A141, 'Customer Information'!$A$1:$A$1001, 'Customer Information'!$C$1:$C$1001)</f>
        <v>Families</v>
      </c>
      <c r="G141" t="str">
        <f>_xlfn.XLOOKUP('Customer Information'!A141, 'Customer Information'!$A$1:$A$1001, 'Customer Information'!$D$1:$D$1001)</f>
        <v>No</v>
      </c>
      <c r="H141" t="str">
        <f>INDEX('Additional Product Info.'!$A$1:$C$1001, MATCH('Product Positioning'!$A141, 'Additional Product Info.'!$A$1:$A$1001, 0), MATCH('Product Positioning'!H$1, 'Additional Product Info.'!$A$1:$C$1, 0))</f>
        <v>Aisle</v>
      </c>
      <c r="I141" t="str">
        <f>INDEX('Additional Product Info.'!$A$1:$C$1001, MATCH('Product Positioning'!$A141, 'Additional Product Info.'!$A$1:$A$1001, 0), MATCH('Product Positioning'!I$1, 'Additional Product Info.'!$A$1:$C$1, 0))</f>
        <v>Clothing</v>
      </c>
      <c r="J141" t="str">
        <f>_xlfn.XLOOKUP(A141, $A$1:$A$1001, 'Additional Product Info.'!$D$1:$D$1001)</f>
        <v>Yes</v>
      </c>
      <c r="K141" s="1">
        <f t="shared" si="4"/>
        <v>96227.33</v>
      </c>
      <c r="L141" s="1">
        <f t="shared" si="5"/>
        <v>3.5500000000000043</v>
      </c>
      <c r="M141" t="str">
        <f>IF(L141&lt;=Statistics!$E$6,"Low Difference",IF('Product Positioning'!L141&gt;=Statistics!$E$4,"High Difference","Moderate Difference"))</f>
        <v>Moderate Difference</v>
      </c>
    </row>
    <row r="142" spans="1:13" x14ac:dyDescent="0.2">
      <c r="A142">
        <v>147998</v>
      </c>
      <c r="B142" s="1">
        <v>36.43</v>
      </c>
      <c r="C142" s="1">
        <v>34.909999999999997</v>
      </c>
      <c r="D142">
        <v>2556</v>
      </c>
      <c r="E142" t="str">
        <f>_xlfn.XLOOKUP(A142, 'Customer Information'!$A$1:$A$1001, 'Customer Information'!$B$1:$B$1001)</f>
        <v>Low</v>
      </c>
      <c r="F142" t="str">
        <f>_xlfn.XLOOKUP(A142, 'Customer Information'!$A$1:$A$1001, 'Customer Information'!$C$1:$C$1001)</f>
        <v>Young adults</v>
      </c>
      <c r="G142" t="str">
        <f>_xlfn.XLOOKUP('Customer Information'!A142, 'Customer Information'!$A$1:$A$1001, 'Customer Information'!$D$1:$D$1001)</f>
        <v>No</v>
      </c>
      <c r="H142" t="str">
        <f>INDEX('Additional Product Info.'!$A$1:$C$1001, MATCH('Product Positioning'!$A142, 'Additional Product Info.'!$A$1:$A$1001, 0), MATCH('Product Positioning'!H$1, 'Additional Product Info.'!$A$1:$C$1, 0))</f>
        <v>Aisle</v>
      </c>
      <c r="I142" t="str">
        <f>INDEX('Additional Product Info.'!$A$1:$C$1001, MATCH('Product Positioning'!$A142, 'Additional Product Info.'!$A$1:$A$1001, 0), MATCH('Product Positioning'!I$1, 'Additional Product Info.'!$A$1:$C$1, 0))</f>
        <v>Clothing</v>
      </c>
      <c r="J142" t="str">
        <f>_xlfn.XLOOKUP(A142, $A$1:$A$1001, 'Additional Product Info.'!$D$1:$D$1001)</f>
        <v>No</v>
      </c>
      <c r="K142" s="1">
        <f t="shared" si="4"/>
        <v>93115.08</v>
      </c>
      <c r="L142" s="1">
        <f t="shared" si="5"/>
        <v>1.5200000000000031</v>
      </c>
      <c r="M142" t="str">
        <f>IF(L142&lt;=Statistics!$E$6,"Low Difference",IF('Product Positioning'!L142&gt;=Statistics!$E$4,"High Difference","Moderate Difference"))</f>
        <v>Moderate Difference</v>
      </c>
    </row>
    <row r="143" spans="1:13" x14ac:dyDescent="0.2">
      <c r="A143">
        <v>176666</v>
      </c>
      <c r="B143" s="1">
        <v>43.93</v>
      </c>
      <c r="C143" s="1">
        <v>41.71</v>
      </c>
      <c r="D143">
        <v>2852</v>
      </c>
      <c r="E143" t="str">
        <f>_xlfn.XLOOKUP(A143, 'Customer Information'!$A$1:$A$1001, 'Customer Information'!$B$1:$B$1001)</f>
        <v>Low</v>
      </c>
      <c r="F143" t="str">
        <f>_xlfn.XLOOKUP(A143, 'Customer Information'!$A$1:$A$1001, 'Customer Information'!$C$1:$C$1001)</f>
        <v>Families</v>
      </c>
      <c r="G143" t="str">
        <f>_xlfn.XLOOKUP('Customer Information'!A143, 'Customer Information'!$A$1:$A$1001, 'Customer Information'!$D$1:$D$1001)</f>
        <v>Yes</v>
      </c>
      <c r="H143" t="str">
        <f>INDEX('Additional Product Info.'!$A$1:$C$1001, MATCH('Product Positioning'!$A143, 'Additional Product Info.'!$A$1:$A$1001, 0), MATCH('Product Positioning'!H$1, 'Additional Product Info.'!$A$1:$C$1, 0))</f>
        <v>Aisle</v>
      </c>
      <c r="I143" t="str">
        <f>INDEX('Additional Product Info.'!$A$1:$C$1001, MATCH('Product Positioning'!$A143, 'Additional Product Info.'!$A$1:$A$1001, 0), MATCH('Product Positioning'!I$1, 'Additional Product Info.'!$A$1:$C$1, 0))</f>
        <v>Food</v>
      </c>
      <c r="J143" t="str">
        <f>_xlfn.XLOOKUP(A143, $A$1:$A$1001, 'Additional Product Info.'!$D$1:$D$1001)</f>
        <v>No</v>
      </c>
      <c r="K143" s="1">
        <f t="shared" si="4"/>
        <v>125288.36</v>
      </c>
      <c r="L143" s="1">
        <f t="shared" si="5"/>
        <v>2.2199999999999989</v>
      </c>
      <c r="M143" t="str">
        <f>IF(L143&lt;=Statistics!$E$6,"Low Difference",IF('Product Positioning'!L143&gt;=Statistics!$E$4,"High Difference","Moderate Difference"))</f>
        <v>Moderate Difference</v>
      </c>
    </row>
    <row r="144" spans="1:13" x14ac:dyDescent="0.2">
      <c r="A144">
        <v>193686</v>
      </c>
      <c r="B144" s="1">
        <v>25.07</v>
      </c>
      <c r="C144" s="1">
        <v>21.6</v>
      </c>
      <c r="D144">
        <v>1899</v>
      </c>
      <c r="E144" t="str">
        <f>_xlfn.XLOOKUP(A144, 'Customer Information'!$A$1:$A$1001, 'Customer Information'!$B$1:$B$1001)</f>
        <v>Medium</v>
      </c>
      <c r="F144" t="str">
        <f>_xlfn.XLOOKUP(A144, 'Customer Information'!$A$1:$A$1001, 'Customer Information'!$C$1:$C$1001)</f>
        <v>College students</v>
      </c>
      <c r="G144" t="str">
        <f>_xlfn.XLOOKUP('Customer Information'!A144, 'Customer Information'!$A$1:$A$1001, 'Customer Information'!$D$1:$D$1001)</f>
        <v>Yes</v>
      </c>
      <c r="H144" t="str">
        <f>INDEX('Additional Product Info.'!$A$1:$C$1001, MATCH('Product Positioning'!$A144, 'Additional Product Info.'!$A$1:$A$1001, 0), MATCH('Product Positioning'!H$1, 'Additional Product Info.'!$A$1:$C$1, 0))</f>
        <v>Aisle</v>
      </c>
      <c r="I144" t="str">
        <f>INDEX('Additional Product Info.'!$A$1:$C$1001, MATCH('Product Positioning'!$A144, 'Additional Product Info.'!$A$1:$A$1001, 0), MATCH('Product Positioning'!I$1, 'Additional Product Info.'!$A$1:$C$1, 0))</f>
        <v>Food</v>
      </c>
      <c r="J144" t="str">
        <f>_xlfn.XLOOKUP(A144, $A$1:$A$1001, 'Additional Product Info.'!$D$1:$D$1001)</f>
        <v>No</v>
      </c>
      <c r="K144" s="1">
        <f t="shared" si="4"/>
        <v>47607.93</v>
      </c>
      <c r="L144" s="1">
        <f t="shared" si="5"/>
        <v>3.4699999999999989</v>
      </c>
      <c r="M144" t="str">
        <f>IF(L144&lt;=Statistics!$E$6,"Low Difference",IF('Product Positioning'!L144&gt;=Statistics!$E$4,"High Difference","Moderate Difference"))</f>
        <v>Moderate Difference</v>
      </c>
    </row>
    <row r="145" spans="1:13" x14ac:dyDescent="0.2">
      <c r="A145">
        <v>163610</v>
      </c>
      <c r="B145" s="1">
        <v>39.369999999999997</v>
      </c>
      <c r="C145" s="1">
        <v>36.119999999999997</v>
      </c>
      <c r="D145">
        <v>2466</v>
      </c>
      <c r="E145" t="str">
        <f>_xlfn.XLOOKUP(A145, 'Customer Information'!$A$1:$A$1001, 'Customer Information'!$B$1:$B$1001)</f>
        <v>High</v>
      </c>
      <c r="F145" t="str">
        <f>_xlfn.XLOOKUP(A145, 'Customer Information'!$A$1:$A$1001, 'Customer Information'!$C$1:$C$1001)</f>
        <v>Families</v>
      </c>
      <c r="G145" t="str">
        <f>_xlfn.XLOOKUP('Customer Information'!A145, 'Customer Information'!$A$1:$A$1001, 'Customer Information'!$D$1:$D$1001)</f>
        <v>Yes</v>
      </c>
      <c r="H145" t="str">
        <f>INDEX('Additional Product Info.'!$A$1:$C$1001, MATCH('Product Positioning'!$A145, 'Additional Product Info.'!$A$1:$A$1001, 0), MATCH('Product Positioning'!H$1, 'Additional Product Info.'!$A$1:$C$1, 0))</f>
        <v>Front of Store</v>
      </c>
      <c r="I145" t="str">
        <f>INDEX('Additional Product Info.'!$A$1:$C$1001, MATCH('Product Positioning'!$A145, 'Additional Product Info.'!$A$1:$A$1001, 0), MATCH('Product Positioning'!I$1, 'Additional Product Info.'!$A$1:$C$1, 0))</f>
        <v>Food</v>
      </c>
      <c r="J145" t="str">
        <f>_xlfn.XLOOKUP(A145, $A$1:$A$1001, 'Additional Product Info.'!$D$1:$D$1001)</f>
        <v>No</v>
      </c>
      <c r="K145" s="1">
        <f t="shared" si="4"/>
        <v>97086.42</v>
      </c>
      <c r="L145" s="1">
        <f t="shared" si="5"/>
        <v>3.25</v>
      </c>
      <c r="M145" t="str">
        <f>IF(L145&lt;=Statistics!$E$6,"Low Difference",IF('Product Positioning'!L145&gt;=Statistics!$E$4,"High Difference","Moderate Difference"))</f>
        <v>Moderate Difference</v>
      </c>
    </row>
    <row r="146" spans="1:13" x14ac:dyDescent="0.2">
      <c r="A146">
        <v>170364</v>
      </c>
      <c r="B146" s="1">
        <v>7.88</v>
      </c>
      <c r="C146" s="1">
        <v>6.55</v>
      </c>
      <c r="D146">
        <v>818</v>
      </c>
      <c r="E146" t="str">
        <f>_xlfn.XLOOKUP(A146, 'Customer Information'!$A$1:$A$1001, 'Customer Information'!$B$1:$B$1001)</f>
        <v>Medium</v>
      </c>
      <c r="F146" t="str">
        <f>_xlfn.XLOOKUP(A146, 'Customer Information'!$A$1:$A$1001, 'Customer Information'!$C$1:$C$1001)</f>
        <v>College students</v>
      </c>
      <c r="G146" t="str">
        <f>_xlfn.XLOOKUP('Customer Information'!A146, 'Customer Information'!$A$1:$A$1001, 'Customer Information'!$D$1:$D$1001)</f>
        <v>No</v>
      </c>
      <c r="H146" t="str">
        <f>INDEX('Additional Product Info.'!$A$1:$C$1001, MATCH('Product Positioning'!$A146, 'Additional Product Info.'!$A$1:$A$1001, 0), MATCH('Product Positioning'!H$1, 'Additional Product Info.'!$A$1:$C$1, 0))</f>
        <v>Aisle</v>
      </c>
      <c r="I146" t="str">
        <f>INDEX('Additional Product Info.'!$A$1:$C$1001, MATCH('Product Positioning'!$A146, 'Additional Product Info.'!$A$1:$A$1001, 0), MATCH('Product Positioning'!I$1, 'Additional Product Info.'!$A$1:$C$1, 0))</f>
        <v>Food</v>
      </c>
      <c r="J146" t="str">
        <f>_xlfn.XLOOKUP(A146, $A$1:$A$1001, 'Additional Product Info.'!$D$1:$D$1001)</f>
        <v>No</v>
      </c>
      <c r="K146" s="1">
        <f t="shared" si="4"/>
        <v>6445.84</v>
      </c>
      <c r="L146" s="1">
        <f t="shared" si="5"/>
        <v>1.33</v>
      </c>
      <c r="M146" t="str">
        <f>IF(L146&lt;=Statistics!$E$6,"Low Difference",IF('Product Positioning'!L146&gt;=Statistics!$E$4,"High Difference","Moderate Difference"))</f>
        <v>Moderate Difference</v>
      </c>
    </row>
    <row r="147" spans="1:13" x14ac:dyDescent="0.2">
      <c r="A147">
        <v>167599</v>
      </c>
      <c r="B147" s="1">
        <v>13.94</v>
      </c>
      <c r="C147" s="1">
        <v>11.06</v>
      </c>
      <c r="D147">
        <v>1500</v>
      </c>
      <c r="E147" t="str">
        <f>_xlfn.XLOOKUP(A147, 'Customer Information'!$A$1:$A$1001, 'Customer Information'!$B$1:$B$1001)</f>
        <v>Medium</v>
      </c>
      <c r="F147" t="str">
        <f>_xlfn.XLOOKUP(A147, 'Customer Information'!$A$1:$A$1001, 'Customer Information'!$C$1:$C$1001)</f>
        <v>Young adults</v>
      </c>
      <c r="G147" t="str">
        <f>_xlfn.XLOOKUP('Customer Information'!A147, 'Customer Information'!$A$1:$A$1001, 'Customer Information'!$D$1:$D$1001)</f>
        <v>No</v>
      </c>
      <c r="H147" t="str">
        <f>INDEX('Additional Product Info.'!$A$1:$C$1001, MATCH('Product Positioning'!$A147, 'Additional Product Info.'!$A$1:$A$1001, 0), MATCH('Product Positioning'!H$1, 'Additional Product Info.'!$A$1:$C$1, 0))</f>
        <v>Aisle</v>
      </c>
      <c r="I147" t="str">
        <f>INDEX('Additional Product Info.'!$A$1:$C$1001, MATCH('Product Positioning'!$A147, 'Additional Product Info.'!$A$1:$A$1001, 0), MATCH('Product Positioning'!I$1, 'Additional Product Info.'!$A$1:$C$1, 0))</f>
        <v>Clothing</v>
      </c>
      <c r="J147" t="str">
        <f>_xlfn.XLOOKUP(A147, $A$1:$A$1001, 'Additional Product Info.'!$D$1:$D$1001)</f>
        <v>No</v>
      </c>
      <c r="K147" s="1">
        <f t="shared" si="4"/>
        <v>20910</v>
      </c>
      <c r="L147" s="1">
        <f t="shared" si="5"/>
        <v>2.879999999999999</v>
      </c>
      <c r="M147" t="str">
        <f>IF(L147&lt;=Statistics!$E$6,"Low Difference",IF('Product Positioning'!L147&gt;=Statistics!$E$4,"High Difference","Moderate Difference"))</f>
        <v>Moderate Difference</v>
      </c>
    </row>
    <row r="148" spans="1:13" x14ac:dyDescent="0.2">
      <c r="A148">
        <v>166421</v>
      </c>
      <c r="B148" s="1">
        <v>44.85</v>
      </c>
      <c r="C148" s="1">
        <v>39.96</v>
      </c>
      <c r="D148">
        <v>2878</v>
      </c>
      <c r="E148" t="str">
        <f>_xlfn.XLOOKUP(A148, 'Customer Information'!$A$1:$A$1001, 'Customer Information'!$B$1:$B$1001)</f>
        <v>High</v>
      </c>
      <c r="F148" t="str">
        <f>_xlfn.XLOOKUP(A148, 'Customer Information'!$A$1:$A$1001, 'Customer Information'!$C$1:$C$1001)</f>
        <v>Young adults</v>
      </c>
      <c r="G148" t="str">
        <f>_xlfn.XLOOKUP('Customer Information'!A148, 'Customer Information'!$A$1:$A$1001, 'Customer Information'!$D$1:$D$1001)</f>
        <v>Yes</v>
      </c>
      <c r="H148" t="str">
        <f>INDEX('Additional Product Info.'!$A$1:$C$1001, MATCH('Product Positioning'!$A148, 'Additional Product Info.'!$A$1:$A$1001, 0), MATCH('Product Positioning'!H$1, 'Additional Product Info.'!$A$1:$C$1, 0))</f>
        <v>End-cap</v>
      </c>
      <c r="I148" t="str">
        <f>INDEX('Additional Product Info.'!$A$1:$C$1001, MATCH('Product Positioning'!$A148, 'Additional Product Info.'!$A$1:$A$1001, 0), MATCH('Product Positioning'!I$1, 'Additional Product Info.'!$A$1:$C$1, 0))</f>
        <v>Clothing</v>
      </c>
      <c r="J148" t="str">
        <f>_xlfn.XLOOKUP(A148, $A$1:$A$1001, 'Additional Product Info.'!$D$1:$D$1001)</f>
        <v>No</v>
      </c>
      <c r="K148" s="1">
        <f t="shared" si="4"/>
        <v>129078.3</v>
      </c>
      <c r="L148" s="1">
        <f t="shared" si="5"/>
        <v>4.8900000000000006</v>
      </c>
      <c r="M148" t="str">
        <f>IF(L148&lt;=Statistics!$E$6,"Low Difference",IF('Product Positioning'!L148&gt;=Statistics!$E$4,"High Difference","Moderate Difference"))</f>
        <v>High Difference</v>
      </c>
    </row>
    <row r="149" spans="1:13" x14ac:dyDescent="0.2">
      <c r="A149">
        <v>129247</v>
      </c>
      <c r="B149" s="1">
        <v>47.79</v>
      </c>
      <c r="C149" s="1">
        <v>45.05</v>
      </c>
      <c r="D149">
        <v>2386</v>
      </c>
      <c r="E149" t="str">
        <f>_xlfn.XLOOKUP(A149, 'Customer Information'!$A$1:$A$1001, 'Customer Information'!$B$1:$B$1001)</f>
        <v>Low</v>
      </c>
      <c r="F149" t="str">
        <f>_xlfn.XLOOKUP(A149, 'Customer Information'!$A$1:$A$1001, 'Customer Information'!$C$1:$C$1001)</f>
        <v>College students</v>
      </c>
      <c r="G149" t="str">
        <f>_xlfn.XLOOKUP('Customer Information'!A149, 'Customer Information'!$A$1:$A$1001, 'Customer Information'!$D$1:$D$1001)</f>
        <v>Yes</v>
      </c>
      <c r="H149" t="str">
        <f>INDEX('Additional Product Info.'!$A$1:$C$1001, MATCH('Product Positioning'!$A149, 'Additional Product Info.'!$A$1:$A$1001, 0), MATCH('Product Positioning'!H$1, 'Additional Product Info.'!$A$1:$C$1, 0))</f>
        <v>Front of Store</v>
      </c>
      <c r="I149" t="str">
        <f>INDEX('Additional Product Info.'!$A$1:$C$1001, MATCH('Product Positioning'!$A149, 'Additional Product Info.'!$A$1:$A$1001, 0), MATCH('Product Positioning'!I$1, 'Additional Product Info.'!$A$1:$C$1, 0))</f>
        <v>Electronics</v>
      </c>
      <c r="J149" t="str">
        <f>_xlfn.XLOOKUP(A149, $A$1:$A$1001, 'Additional Product Info.'!$D$1:$D$1001)</f>
        <v>No</v>
      </c>
      <c r="K149" s="1">
        <f t="shared" si="4"/>
        <v>114026.94</v>
      </c>
      <c r="L149" s="1">
        <f t="shared" si="5"/>
        <v>2.740000000000002</v>
      </c>
      <c r="M149" t="str">
        <f>IF(L149&lt;=Statistics!$E$6,"Low Difference",IF('Product Positioning'!L149&gt;=Statistics!$E$4,"High Difference","Moderate Difference"))</f>
        <v>Moderate Difference</v>
      </c>
    </row>
    <row r="150" spans="1:13" x14ac:dyDescent="0.2">
      <c r="A150">
        <v>127314</v>
      </c>
      <c r="B150" s="1">
        <v>13.34</v>
      </c>
      <c r="C150" s="1">
        <v>11.51</v>
      </c>
      <c r="D150">
        <v>2076</v>
      </c>
      <c r="E150" t="str">
        <f>_xlfn.XLOOKUP(A150, 'Customer Information'!$A$1:$A$1001, 'Customer Information'!$B$1:$B$1001)</f>
        <v>Medium</v>
      </c>
      <c r="F150" t="str">
        <f>_xlfn.XLOOKUP(A150, 'Customer Information'!$A$1:$A$1001, 'Customer Information'!$C$1:$C$1001)</f>
        <v>Families</v>
      </c>
      <c r="G150" t="str">
        <f>_xlfn.XLOOKUP('Customer Information'!A150, 'Customer Information'!$A$1:$A$1001, 'Customer Information'!$D$1:$D$1001)</f>
        <v>Yes</v>
      </c>
      <c r="H150" t="str">
        <f>INDEX('Additional Product Info.'!$A$1:$C$1001, MATCH('Product Positioning'!$A150, 'Additional Product Info.'!$A$1:$A$1001, 0), MATCH('Product Positioning'!H$1, 'Additional Product Info.'!$A$1:$C$1, 0))</f>
        <v>End-cap</v>
      </c>
      <c r="I150" t="str">
        <f>INDEX('Additional Product Info.'!$A$1:$C$1001, MATCH('Product Positioning'!$A150, 'Additional Product Info.'!$A$1:$A$1001, 0), MATCH('Product Positioning'!I$1, 'Additional Product Info.'!$A$1:$C$1, 0))</f>
        <v>Food</v>
      </c>
      <c r="J150" t="str">
        <f>_xlfn.XLOOKUP(A150, $A$1:$A$1001, 'Additional Product Info.'!$D$1:$D$1001)</f>
        <v>Yes</v>
      </c>
      <c r="K150" s="1">
        <f t="shared" si="4"/>
        <v>27693.84</v>
      </c>
      <c r="L150" s="1">
        <f t="shared" si="5"/>
        <v>1.83</v>
      </c>
      <c r="M150" t="str">
        <f>IF(L150&lt;=Statistics!$E$6,"Low Difference",IF('Product Positioning'!L150&gt;=Statistics!$E$4,"High Difference","Moderate Difference"))</f>
        <v>Moderate Difference</v>
      </c>
    </row>
    <row r="151" spans="1:13" x14ac:dyDescent="0.2">
      <c r="A151">
        <v>111979</v>
      </c>
      <c r="B151" s="1">
        <v>21.28</v>
      </c>
      <c r="C151" s="1">
        <v>19.52</v>
      </c>
      <c r="D151">
        <v>2734</v>
      </c>
      <c r="E151" t="str">
        <f>_xlfn.XLOOKUP(A151, 'Customer Information'!$A$1:$A$1001, 'Customer Information'!$B$1:$B$1001)</f>
        <v>Medium</v>
      </c>
      <c r="F151" t="str">
        <f>_xlfn.XLOOKUP(A151, 'Customer Information'!$A$1:$A$1001, 'Customer Information'!$C$1:$C$1001)</f>
        <v>Families</v>
      </c>
      <c r="G151" t="str">
        <f>_xlfn.XLOOKUP('Customer Information'!A151, 'Customer Information'!$A$1:$A$1001, 'Customer Information'!$D$1:$D$1001)</f>
        <v>No</v>
      </c>
      <c r="H151" t="str">
        <f>INDEX('Additional Product Info.'!$A$1:$C$1001, MATCH('Product Positioning'!$A151, 'Additional Product Info.'!$A$1:$A$1001, 0), MATCH('Product Positioning'!H$1, 'Additional Product Info.'!$A$1:$C$1, 0))</f>
        <v>Front of Store</v>
      </c>
      <c r="I151" t="str">
        <f>INDEX('Additional Product Info.'!$A$1:$C$1001, MATCH('Product Positioning'!$A151, 'Additional Product Info.'!$A$1:$A$1001, 0), MATCH('Product Positioning'!I$1, 'Additional Product Info.'!$A$1:$C$1, 0))</f>
        <v>Food</v>
      </c>
      <c r="J151" t="str">
        <f>_xlfn.XLOOKUP(A151, $A$1:$A$1001, 'Additional Product Info.'!$D$1:$D$1001)</f>
        <v>No</v>
      </c>
      <c r="K151" s="1">
        <f t="shared" si="4"/>
        <v>58179.520000000004</v>
      </c>
      <c r="L151" s="1">
        <f t="shared" si="5"/>
        <v>1.7600000000000016</v>
      </c>
      <c r="M151" t="str">
        <f>IF(L151&lt;=Statistics!$E$6,"Low Difference",IF('Product Positioning'!L151&gt;=Statistics!$E$4,"High Difference","Moderate Difference"))</f>
        <v>Moderate Difference</v>
      </c>
    </row>
    <row r="152" spans="1:13" x14ac:dyDescent="0.2">
      <c r="A152">
        <v>120354</v>
      </c>
      <c r="B152" s="1">
        <v>37.15</v>
      </c>
      <c r="C152" s="1">
        <v>35.979999999999997</v>
      </c>
      <c r="D152">
        <v>2836</v>
      </c>
      <c r="E152" t="str">
        <f>_xlfn.XLOOKUP(A152, 'Customer Information'!$A$1:$A$1001, 'Customer Information'!$B$1:$B$1001)</f>
        <v>High</v>
      </c>
      <c r="F152" t="str">
        <f>_xlfn.XLOOKUP(A152, 'Customer Information'!$A$1:$A$1001, 'Customer Information'!$C$1:$C$1001)</f>
        <v>Seniors</v>
      </c>
      <c r="G152" t="str">
        <f>_xlfn.XLOOKUP('Customer Information'!A152, 'Customer Information'!$A$1:$A$1001, 'Customer Information'!$D$1:$D$1001)</f>
        <v>Yes</v>
      </c>
      <c r="H152" t="str">
        <f>INDEX('Additional Product Info.'!$A$1:$C$1001, MATCH('Product Positioning'!$A152, 'Additional Product Info.'!$A$1:$A$1001, 0), MATCH('Product Positioning'!H$1, 'Additional Product Info.'!$A$1:$C$1, 0))</f>
        <v>Aisle</v>
      </c>
      <c r="I152" t="str">
        <f>INDEX('Additional Product Info.'!$A$1:$C$1001, MATCH('Product Positioning'!$A152, 'Additional Product Info.'!$A$1:$A$1001, 0), MATCH('Product Positioning'!I$1, 'Additional Product Info.'!$A$1:$C$1, 0))</f>
        <v>Food</v>
      </c>
      <c r="J152" t="str">
        <f>_xlfn.XLOOKUP(A152, $A$1:$A$1001, 'Additional Product Info.'!$D$1:$D$1001)</f>
        <v>No</v>
      </c>
      <c r="K152" s="1">
        <f t="shared" si="4"/>
        <v>105357.4</v>
      </c>
      <c r="L152" s="1">
        <f t="shared" si="5"/>
        <v>1.1700000000000017</v>
      </c>
      <c r="M152" t="str">
        <f>IF(L152&lt;=Statistics!$E$6,"Low Difference",IF('Product Positioning'!L152&gt;=Statistics!$E$4,"High Difference","Moderate Difference"))</f>
        <v>Moderate Difference</v>
      </c>
    </row>
    <row r="153" spans="1:13" x14ac:dyDescent="0.2">
      <c r="A153">
        <v>144848</v>
      </c>
      <c r="B153" s="1">
        <v>18.579999999999998</v>
      </c>
      <c r="C153" s="1">
        <v>16.190000000000001</v>
      </c>
      <c r="D153">
        <v>2193</v>
      </c>
      <c r="E153" t="str">
        <f>_xlfn.XLOOKUP(A153, 'Customer Information'!$A$1:$A$1001, 'Customer Information'!$B$1:$B$1001)</f>
        <v>Medium</v>
      </c>
      <c r="F153" t="str">
        <f>_xlfn.XLOOKUP(A153, 'Customer Information'!$A$1:$A$1001, 'Customer Information'!$C$1:$C$1001)</f>
        <v>College students</v>
      </c>
      <c r="G153" t="str">
        <f>_xlfn.XLOOKUP('Customer Information'!A153, 'Customer Information'!$A$1:$A$1001, 'Customer Information'!$D$1:$D$1001)</f>
        <v>No</v>
      </c>
      <c r="H153" t="str">
        <f>INDEX('Additional Product Info.'!$A$1:$C$1001, MATCH('Product Positioning'!$A153, 'Additional Product Info.'!$A$1:$A$1001, 0), MATCH('Product Positioning'!H$1, 'Additional Product Info.'!$A$1:$C$1, 0))</f>
        <v>Front of Store</v>
      </c>
      <c r="I153" t="str">
        <f>INDEX('Additional Product Info.'!$A$1:$C$1001, MATCH('Product Positioning'!$A153, 'Additional Product Info.'!$A$1:$A$1001, 0), MATCH('Product Positioning'!I$1, 'Additional Product Info.'!$A$1:$C$1, 0))</f>
        <v>Clothing</v>
      </c>
      <c r="J153" t="str">
        <f>_xlfn.XLOOKUP(A153, $A$1:$A$1001, 'Additional Product Info.'!$D$1:$D$1001)</f>
        <v>No</v>
      </c>
      <c r="K153" s="1">
        <f t="shared" si="4"/>
        <v>40745.939999999995</v>
      </c>
      <c r="L153" s="1">
        <f t="shared" si="5"/>
        <v>2.389999999999997</v>
      </c>
      <c r="M153" t="str">
        <f>IF(L153&lt;=Statistics!$E$6,"Low Difference",IF('Product Positioning'!L153&gt;=Statistics!$E$4,"High Difference","Moderate Difference"))</f>
        <v>Moderate Difference</v>
      </c>
    </row>
    <row r="154" spans="1:13" x14ac:dyDescent="0.2">
      <c r="A154">
        <v>111957</v>
      </c>
      <c r="B154" s="1">
        <v>37.86</v>
      </c>
      <c r="C154" s="1">
        <v>33.729999999999997</v>
      </c>
      <c r="D154">
        <v>2164</v>
      </c>
      <c r="E154" t="str">
        <f>_xlfn.XLOOKUP(A154, 'Customer Information'!$A$1:$A$1001, 'Customer Information'!$B$1:$B$1001)</f>
        <v>High</v>
      </c>
      <c r="F154" t="str">
        <f>_xlfn.XLOOKUP(A154, 'Customer Information'!$A$1:$A$1001, 'Customer Information'!$C$1:$C$1001)</f>
        <v>Seniors</v>
      </c>
      <c r="G154" t="str">
        <f>_xlfn.XLOOKUP('Customer Information'!A154, 'Customer Information'!$A$1:$A$1001, 'Customer Information'!$D$1:$D$1001)</f>
        <v>Yes</v>
      </c>
      <c r="H154" t="str">
        <f>INDEX('Additional Product Info.'!$A$1:$C$1001, MATCH('Product Positioning'!$A154, 'Additional Product Info.'!$A$1:$A$1001, 0), MATCH('Product Positioning'!H$1, 'Additional Product Info.'!$A$1:$C$1, 0))</f>
        <v>Aisle</v>
      </c>
      <c r="I154" t="str">
        <f>INDEX('Additional Product Info.'!$A$1:$C$1001, MATCH('Product Positioning'!$A154, 'Additional Product Info.'!$A$1:$A$1001, 0), MATCH('Product Positioning'!I$1, 'Additional Product Info.'!$A$1:$C$1, 0))</f>
        <v>Food</v>
      </c>
      <c r="J154" t="str">
        <f>_xlfn.XLOOKUP(A154, $A$1:$A$1001, 'Additional Product Info.'!$D$1:$D$1001)</f>
        <v>No</v>
      </c>
      <c r="K154" s="1">
        <f t="shared" si="4"/>
        <v>81929.039999999994</v>
      </c>
      <c r="L154" s="1">
        <f t="shared" si="5"/>
        <v>4.1300000000000026</v>
      </c>
      <c r="M154" t="str">
        <f>IF(L154&lt;=Statistics!$E$6,"Low Difference",IF('Product Positioning'!L154&gt;=Statistics!$E$4,"High Difference","Moderate Difference"))</f>
        <v>High Difference</v>
      </c>
    </row>
    <row r="155" spans="1:13" x14ac:dyDescent="0.2">
      <c r="A155">
        <v>160763</v>
      </c>
      <c r="B155" s="1">
        <v>20.34</v>
      </c>
      <c r="C155" s="1">
        <v>17.62</v>
      </c>
      <c r="D155">
        <v>991</v>
      </c>
      <c r="E155" t="str">
        <f>_xlfn.XLOOKUP(A155, 'Customer Information'!$A$1:$A$1001, 'Customer Information'!$B$1:$B$1001)</f>
        <v>High</v>
      </c>
      <c r="F155" t="str">
        <f>_xlfn.XLOOKUP(A155, 'Customer Information'!$A$1:$A$1001, 'Customer Information'!$C$1:$C$1001)</f>
        <v>College students</v>
      </c>
      <c r="G155" t="str">
        <f>_xlfn.XLOOKUP('Customer Information'!A155, 'Customer Information'!$A$1:$A$1001, 'Customer Information'!$D$1:$D$1001)</f>
        <v>Yes</v>
      </c>
      <c r="H155" t="str">
        <f>INDEX('Additional Product Info.'!$A$1:$C$1001, MATCH('Product Positioning'!$A155, 'Additional Product Info.'!$A$1:$A$1001, 0), MATCH('Product Positioning'!H$1, 'Additional Product Info.'!$A$1:$C$1, 0))</f>
        <v>Front of Store</v>
      </c>
      <c r="I155" t="str">
        <f>INDEX('Additional Product Info.'!$A$1:$C$1001, MATCH('Product Positioning'!$A155, 'Additional Product Info.'!$A$1:$A$1001, 0), MATCH('Product Positioning'!I$1, 'Additional Product Info.'!$A$1:$C$1, 0))</f>
        <v>Electronics</v>
      </c>
      <c r="J155" t="str">
        <f>_xlfn.XLOOKUP(A155, $A$1:$A$1001, 'Additional Product Info.'!$D$1:$D$1001)</f>
        <v>Yes</v>
      </c>
      <c r="K155" s="1">
        <f t="shared" si="4"/>
        <v>20156.939999999999</v>
      </c>
      <c r="L155" s="1">
        <f t="shared" si="5"/>
        <v>2.7199999999999989</v>
      </c>
      <c r="M155" t="str">
        <f>IF(L155&lt;=Statistics!$E$6,"Low Difference",IF('Product Positioning'!L155&gt;=Statistics!$E$4,"High Difference","Moderate Difference"))</f>
        <v>Moderate Difference</v>
      </c>
    </row>
    <row r="156" spans="1:13" x14ac:dyDescent="0.2">
      <c r="A156">
        <v>168270</v>
      </c>
      <c r="B156" s="1">
        <v>37.619999999999997</v>
      </c>
      <c r="C156" s="1">
        <v>37.33</v>
      </c>
      <c r="D156">
        <v>1525</v>
      </c>
      <c r="E156" t="str">
        <f>_xlfn.XLOOKUP(A156, 'Customer Information'!$A$1:$A$1001, 'Customer Information'!$B$1:$B$1001)</f>
        <v>Medium</v>
      </c>
      <c r="F156" t="str">
        <f>_xlfn.XLOOKUP(A156, 'Customer Information'!$A$1:$A$1001, 'Customer Information'!$C$1:$C$1001)</f>
        <v>Young adults</v>
      </c>
      <c r="G156" t="str">
        <f>_xlfn.XLOOKUP('Customer Information'!A156, 'Customer Information'!$A$1:$A$1001, 'Customer Information'!$D$1:$D$1001)</f>
        <v>Yes</v>
      </c>
      <c r="H156" t="str">
        <f>INDEX('Additional Product Info.'!$A$1:$C$1001, MATCH('Product Positioning'!$A156, 'Additional Product Info.'!$A$1:$A$1001, 0), MATCH('Product Positioning'!H$1, 'Additional Product Info.'!$A$1:$C$1, 0))</f>
        <v>End-cap</v>
      </c>
      <c r="I156" t="str">
        <f>INDEX('Additional Product Info.'!$A$1:$C$1001, MATCH('Product Positioning'!$A156, 'Additional Product Info.'!$A$1:$A$1001, 0), MATCH('Product Positioning'!I$1, 'Additional Product Info.'!$A$1:$C$1, 0))</f>
        <v>Clothing</v>
      </c>
      <c r="J156" t="str">
        <f>_xlfn.XLOOKUP(A156, $A$1:$A$1001, 'Additional Product Info.'!$D$1:$D$1001)</f>
        <v>Yes</v>
      </c>
      <c r="K156" s="1">
        <f t="shared" si="4"/>
        <v>57370.499999999993</v>
      </c>
      <c r="L156" s="1">
        <f t="shared" si="5"/>
        <v>0.28999999999999915</v>
      </c>
      <c r="M156" t="str">
        <f>IF(L156&lt;=Statistics!$E$6,"Low Difference",IF('Product Positioning'!L156&gt;=Statistics!$E$4,"High Difference","Moderate Difference"))</f>
        <v>Low Difference</v>
      </c>
    </row>
    <row r="157" spans="1:13" x14ac:dyDescent="0.2">
      <c r="A157">
        <v>195082</v>
      </c>
      <c r="B157" s="1">
        <v>16.739999999999998</v>
      </c>
      <c r="C157" s="1">
        <v>14.22</v>
      </c>
      <c r="D157">
        <v>923</v>
      </c>
      <c r="E157" t="str">
        <f>_xlfn.XLOOKUP(A157, 'Customer Information'!$A$1:$A$1001, 'Customer Information'!$B$1:$B$1001)</f>
        <v>Low</v>
      </c>
      <c r="F157" t="str">
        <f>_xlfn.XLOOKUP(A157, 'Customer Information'!$A$1:$A$1001, 'Customer Information'!$C$1:$C$1001)</f>
        <v>Families</v>
      </c>
      <c r="G157" t="str">
        <f>_xlfn.XLOOKUP('Customer Information'!A157, 'Customer Information'!$A$1:$A$1001, 'Customer Information'!$D$1:$D$1001)</f>
        <v>No</v>
      </c>
      <c r="H157" t="str">
        <f>INDEX('Additional Product Info.'!$A$1:$C$1001, MATCH('Product Positioning'!$A157, 'Additional Product Info.'!$A$1:$A$1001, 0), MATCH('Product Positioning'!H$1, 'Additional Product Info.'!$A$1:$C$1, 0))</f>
        <v>Front of Store</v>
      </c>
      <c r="I157" t="str">
        <f>INDEX('Additional Product Info.'!$A$1:$C$1001, MATCH('Product Positioning'!$A157, 'Additional Product Info.'!$A$1:$A$1001, 0), MATCH('Product Positioning'!I$1, 'Additional Product Info.'!$A$1:$C$1, 0))</f>
        <v>Electronics</v>
      </c>
      <c r="J157" t="str">
        <f>_xlfn.XLOOKUP(A157, $A$1:$A$1001, 'Additional Product Info.'!$D$1:$D$1001)</f>
        <v>No</v>
      </c>
      <c r="K157" s="1">
        <f t="shared" si="4"/>
        <v>15451.019999999999</v>
      </c>
      <c r="L157" s="1">
        <f t="shared" si="5"/>
        <v>2.5199999999999978</v>
      </c>
      <c r="M157" t="str">
        <f>IF(L157&lt;=Statistics!$E$6,"Low Difference",IF('Product Positioning'!L157&gt;=Statistics!$E$4,"High Difference","Moderate Difference"))</f>
        <v>Moderate Difference</v>
      </c>
    </row>
    <row r="158" spans="1:13" x14ac:dyDescent="0.2">
      <c r="A158">
        <v>110329</v>
      </c>
      <c r="B158" s="1">
        <v>44.11</v>
      </c>
      <c r="C158" s="1">
        <v>43.31</v>
      </c>
      <c r="D158">
        <v>2397</v>
      </c>
      <c r="E158" t="str">
        <f>_xlfn.XLOOKUP(A158, 'Customer Information'!$A$1:$A$1001, 'Customer Information'!$B$1:$B$1001)</f>
        <v>Low</v>
      </c>
      <c r="F158" t="str">
        <f>_xlfn.XLOOKUP(A158, 'Customer Information'!$A$1:$A$1001, 'Customer Information'!$C$1:$C$1001)</f>
        <v>College students</v>
      </c>
      <c r="G158" t="str">
        <f>_xlfn.XLOOKUP('Customer Information'!A158, 'Customer Information'!$A$1:$A$1001, 'Customer Information'!$D$1:$D$1001)</f>
        <v>No</v>
      </c>
      <c r="H158" t="str">
        <f>INDEX('Additional Product Info.'!$A$1:$C$1001, MATCH('Product Positioning'!$A158, 'Additional Product Info.'!$A$1:$A$1001, 0), MATCH('Product Positioning'!H$1, 'Additional Product Info.'!$A$1:$C$1, 0))</f>
        <v>Front of Store</v>
      </c>
      <c r="I158" t="str">
        <f>INDEX('Additional Product Info.'!$A$1:$C$1001, MATCH('Product Positioning'!$A158, 'Additional Product Info.'!$A$1:$A$1001, 0), MATCH('Product Positioning'!I$1, 'Additional Product Info.'!$A$1:$C$1, 0))</f>
        <v>Clothing</v>
      </c>
      <c r="J158" t="str">
        <f>_xlfn.XLOOKUP(A158, $A$1:$A$1001, 'Additional Product Info.'!$D$1:$D$1001)</f>
        <v>Yes</v>
      </c>
      <c r="K158" s="1">
        <f t="shared" si="4"/>
        <v>105731.67</v>
      </c>
      <c r="L158" s="1">
        <f t="shared" si="5"/>
        <v>0.79999999999999716</v>
      </c>
      <c r="M158" t="str">
        <f>IF(L158&lt;=Statistics!$E$6,"Low Difference",IF('Product Positioning'!L158&gt;=Statistics!$E$4,"High Difference","Moderate Difference"))</f>
        <v>Low Difference</v>
      </c>
    </row>
    <row r="159" spans="1:13" x14ac:dyDescent="0.2">
      <c r="A159">
        <v>147449</v>
      </c>
      <c r="B159" s="1">
        <v>12.89</v>
      </c>
      <c r="C159" s="1">
        <v>10.18</v>
      </c>
      <c r="D159">
        <v>1191</v>
      </c>
      <c r="E159" t="str">
        <f>_xlfn.XLOOKUP(A159, 'Customer Information'!$A$1:$A$1001, 'Customer Information'!$B$1:$B$1001)</f>
        <v>Low</v>
      </c>
      <c r="F159" t="str">
        <f>_xlfn.XLOOKUP(A159, 'Customer Information'!$A$1:$A$1001, 'Customer Information'!$C$1:$C$1001)</f>
        <v>Families</v>
      </c>
      <c r="G159" t="str">
        <f>_xlfn.XLOOKUP('Customer Information'!A159, 'Customer Information'!$A$1:$A$1001, 'Customer Information'!$D$1:$D$1001)</f>
        <v>No</v>
      </c>
      <c r="H159" t="str">
        <f>INDEX('Additional Product Info.'!$A$1:$C$1001, MATCH('Product Positioning'!$A159, 'Additional Product Info.'!$A$1:$A$1001, 0), MATCH('Product Positioning'!H$1, 'Additional Product Info.'!$A$1:$C$1, 0))</f>
        <v>End-cap</v>
      </c>
      <c r="I159" t="str">
        <f>INDEX('Additional Product Info.'!$A$1:$C$1001, MATCH('Product Positioning'!$A159, 'Additional Product Info.'!$A$1:$A$1001, 0), MATCH('Product Positioning'!I$1, 'Additional Product Info.'!$A$1:$C$1, 0))</f>
        <v>Electronics</v>
      </c>
      <c r="J159" t="str">
        <f>_xlfn.XLOOKUP(A159, $A$1:$A$1001, 'Additional Product Info.'!$D$1:$D$1001)</f>
        <v>No</v>
      </c>
      <c r="K159" s="1">
        <f t="shared" si="4"/>
        <v>15351.99</v>
      </c>
      <c r="L159" s="1">
        <f t="shared" si="5"/>
        <v>2.7100000000000009</v>
      </c>
      <c r="M159" t="str">
        <f>IF(L159&lt;=Statistics!$E$6,"Low Difference",IF('Product Positioning'!L159&gt;=Statistics!$E$4,"High Difference","Moderate Difference"))</f>
        <v>Moderate Difference</v>
      </c>
    </row>
    <row r="160" spans="1:13" x14ac:dyDescent="0.2">
      <c r="A160">
        <v>193332</v>
      </c>
      <c r="B160" s="1">
        <v>37.729999999999997</v>
      </c>
      <c r="C160" s="1">
        <v>36.700000000000003</v>
      </c>
      <c r="D160">
        <v>1237</v>
      </c>
      <c r="E160" t="str">
        <f>_xlfn.XLOOKUP(A160, 'Customer Information'!$A$1:$A$1001, 'Customer Information'!$B$1:$B$1001)</f>
        <v>Low</v>
      </c>
      <c r="F160" t="str">
        <f>_xlfn.XLOOKUP(A160, 'Customer Information'!$A$1:$A$1001, 'Customer Information'!$C$1:$C$1001)</f>
        <v>College students</v>
      </c>
      <c r="G160" t="str">
        <f>_xlfn.XLOOKUP('Customer Information'!A160, 'Customer Information'!$A$1:$A$1001, 'Customer Information'!$D$1:$D$1001)</f>
        <v>Yes</v>
      </c>
      <c r="H160" t="str">
        <f>INDEX('Additional Product Info.'!$A$1:$C$1001, MATCH('Product Positioning'!$A160, 'Additional Product Info.'!$A$1:$A$1001, 0), MATCH('Product Positioning'!H$1, 'Additional Product Info.'!$A$1:$C$1, 0))</f>
        <v>Aisle</v>
      </c>
      <c r="I160" t="str">
        <f>INDEX('Additional Product Info.'!$A$1:$C$1001, MATCH('Product Positioning'!$A160, 'Additional Product Info.'!$A$1:$A$1001, 0), MATCH('Product Positioning'!I$1, 'Additional Product Info.'!$A$1:$C$1, 0))</f>
        <v>Electronics</v>
      </c>
      <c r="J160" t="str">
        <f>_xlfn.XLOOKUP(A160, $A$1:$A$1001, 'Additional Product Info.'!$D$1:$D$1001)</f>
        <v>No</v>
      </c>
      <c r="K160" s="1">
        <f t="shared" si="4"/>
        <v>46672.009999999995</v>
      </c>
      <c r="L160" s="1">
        <f t="shared" si="5"/>
        <v>1.029999999999994</v>
      </c>
      <c r="M160" t="str">
        <f>IF(L160&lt;=Statistics!$E$6,"Low Difference",IF('Product Positioning'!L160&gt;=Statistics!$E$4,"High Difference","Moderate Difference"))</f>
        <v>Low Difference</v>
      </c>
    </row>
    <row r="161" spans="1:13" x14ac:dyDescent="0.2">
      <c r="A161">
        <v>146804</v>
      </c>
      <c r="B161" s="1">
        <v>14.38</v>
      </c>
      <c r="C161" s="1">
        <v>11.45</v>
      </c>
      <c r="D161">
        <v>1504</v>
      </c>
      <c r="E161" t="str">
        <f>_xlfn.XLOOKUP(A161, 'Customer Information'!$A$1:$A$1001, 'Customer Information'!$B$1:$B$1001)</f>
        <v>Medium</v>
      </c>
      <c r="F161" t="str">
        <f>_xlfn.XLOOKUP(A161, 'Customer Information'!$A$1:$A$1001, 'Customer Information'!$C$1:$C$1001)</f>
        <v>Families</v>
      </c>
      <c r="G161" t="str">
        <f>_xlfn.XLOOKUP('Customer Information'!A161, 'Customer Information'!$A$1:$A$1001, 'Customer Information'!$D$1:$D$1001)</f>
        <v>Yes</v>
      </c>
      <c r="H161" t="str">
        <f>INDEX('Additional Product Info.'!$A$1:$C$1001, MATCH('Product Positioning'!$A161, 'Additional Product Info.'!$A$1:$A$1001, 0), MATCH('Product Positioning'!H$1, 'Additional Product Info.'!$A$1:$C$1, 0))</f>
        <v>Aisle</v>
      </c>
      <c r="I161" t="str">
        <f>INDEX('Additional Product Info.'!$A$1:$C$1001, MATCH('Product Positioning'!$A161, 'Additional Product Info.'!$A$1:$A$1001, 0), MATCH('Product Positioning'!I$1, 'Additional Product Info.'!$A$1:$C$1, 0))</f>
        <v>Food</v>
      </c>
      <c r="J161" t="str">
        <f>_xlfn.XLOOKUP(A161, $A$1:$A$1001, 'Additional Product Info.'!$D$1:$D$1001)</f>
        <v>No</v>
      </c>
      <c r="K161" s="1">
        <f t="shared" si="4"/>
        <v>21627.52</v>
      </c>
      <c r="L161" s="1">
        <f t="shared" si="5"/>
        <v>2.9300000000000015</v>
      </c>
      <c r="M161" t="str">
        <f>IF(L161&lt;=Statistics!$E$6,"Low Difference",IF('Product Positioning'!L161&gt;=Statistics!$E$4,"High Difference","Moderate Difference"))</f>
        <v>Moderate Difference</v>
      </c>
    </row>
    <row r="162" spans="1:13" x14ac:dyDescent="0.2">
      <c r="A162">
        <v>188909</v>
      </c>
      <c r="B162" s="1">
        <v>16.989999999999998</v>
      </c>
      <c r="C162" s="1">
        <v>16.98</v>
      </c>
      <c r="D162">
        <v>2863</v>
      </c>
      <c r="E162" t="str">
        <f>_xlfn.XLOOKUP(A162, 'Customer Information'!$A$1:$A$1001, 'Customer Information'!$B$1:$B$1001)</f>
        <v>Medium</v>
      </c>
      <c r="F162" t="str">
        <f>_xlfn.XLOOKUP(A162, 'Customer Information'!$A$1:$A$1001, 'Customer Information'!$C$1:$C$1001)</f>
        <v>Seniors</v>
      </c>
      <c r="G162" t="str">
        <f>_xlfn.XLOOKUP('Customer Information'!A162, 'Customer Information'!$A$1:$A$1001, 'Customer Information'!$D$1:$D$1001)</f>
        <v>Yes</v>
      </c>
      <c r="H162" t="str">
        <f>INDEX('Additional Product Info.'!$A$1:$C$1001, MATCH('Product Positioning'!$A162, 'Additional Product Info.'!$A$1:$A$1001, 0), MATCH('Product Positioning'!H$1, 'Additional Product Info.'!$A$1:$C$1, 0))</f>
        <v>Aisle</v>
      </c>
      <c r="I162" t="str">
        <f>INDEX('Additional Product Info.'!$A$1:$C$1001, MATCH('Product Positioning'!$A162, 'Additional Product Info.'!$A$1:$A$1001, 0), MATCH('Product Positioning'!I$1, 'Additional Product Info.'!$A$1:$C$1, 0))</f>
        <v>Food</v>
      </c>
      <c r="J162" t="str">
        <f>_xlfn.XLOOKUP(A162, $A$1:$A$1001, 'Additional Product Info.'!$D$1:$D$1001)</f>
        <v>Yes</v>
      </c>
      <c r="K162" s="1">
        <f t="shared" si="4"/>
        <v>48642.369999999995</v>
      </c>
      <c r="L162" s="1">
        <f t="shared" si="5"/>
        <v>9.9999999999980105E-3</v>
      </c>
      <c r="M162" t="str">
        <f>IF(L162&lt;=Statistics!$E$6,"Low Difference",IF('Product Positioning'!L162&gt;=Statistics!$E$4,"High Difference","Moderate Difference"))</f>
        <v>Low Difference</v>
      </c>
    </row>
    <row r="163" spans="1:13" x14ac:dyDescent="0.2">
      <c r="A163">
        <v>165910</v>
      </c>
      <c r="B163" s="1">
        <v>39.26</v>
      </c>
      <c r="C163" s="1">
        <v>37.799999999999997</v>
      </c>
      <c r="D163">
        <v>2760</v>
      </c>
      <c r="E163" t="str">
        <f>_xlfn.XLOOKUP(A163, 'Customer Information'!$A$1:$A$1001, 'Customer Information'!$B$1:$B$1001)</f>
        <v>High</v>
      </c>
      <c r="F163" t="str">
        <f>_xlfn.XLOOKUP(A163, 'Customer Information'!$A$1:$A$1001, 'Customer Information'!$C$1:$C$1001)</f>
        <v>College students</v>
      </c>
      <c r="G163" t="str">
        <f>_xlfn.XLOOKUP('Customer Information'!A163, 'Customer Information'!$A$1:$A$1001, 'Customer Information'!$D$1:$D$1001)</f>
        <v>Yes</v>
      </c>
      <c r="H163" t="str">
        <f>INDEX('Additional Product Info.'!$A$1:$C$1001, MATCH('Product Positioning'!$A163, 'Additional Product Info.'!$A$1:$A$1001, 0), MATCH('Product Positioning'!H$1, 'Additional Product Info.'!$A$1:$C$1, 0))</f>
        <v>End-cap</v>
      </c>
      <c r="I163" t="str">
        <f>INDEX('Additional Product Info.'!$A$1:$C$1001, MATCH('Product Positioning'!$A163, 'Additional Product Info.'!$A$1:$A$1001, 0), MATCH('Product Positioning'!I$1, 'Additional Product Info.'!$A$1:$C$1, 0))</f>
        <v>Clothing</v>
      </c>
      <c r="J163" t="str">
        <f>_xlfn.XLOOKUP(A163, $A$1:$A$1001, 'Additional Product Info.'!$D$1:$D$1001)</f>
        <v>No</v>
      </c>
      <c r="K163" s="1">
        <f t="shared" si="4"/>
        <v>108357.59999999999</v>
      </c>
      <c r="L163" s="1">
        <f t="shared" si="5"/>
        <v>1.4600000000000009</v>
      </c>
      <c r="M163" t="str">
        <f>IF(L163&lt;=Statistics!$E$6,"Low Difference",IF('Product Positioning'!L163&gt;=Statistics!$E$4,"High Difference","Moderate Difference"))</f>
        <v>Moderate Difference</v>
      </c>
    </row>
    <row r="164" spans="1:13" x14ac:dyDescent="0.2">
      <c r="A164">
        <v>136738</v>
      </c>
      <c r="B164" s="1">
        <v>36.520000000000003</v>
      </c>
      <c r="C164" s="1">
        <v>31.9</v>
      </c>
      <c r="D164">
        <v>542</v>
      </c>
      <c r="E164" t="str">
        <f>_xlfn.XLOOKUP(A164, 'Customer Information'!$A$1:$A$1001, 'Customer Information'!$B$1:$B$1001)</f>
        <v>Low</v>
      </c>
      <c r="F164" t="str">
        <f>_xlfn.XLOOKUP(A164, 'Customer Information'!$A$1:$A$1001, 'Customer Information'!$C$1:$C$1001)</f>
        <v>Seniors</v>
      </c>
      <c r="G164" t="str">
        <f>_xlfn.XLOOKUP('Customer Information'!A164, 'Customer Information'!$A$1:$A$1001, 'Customer Information'!$D$1:$D$1001)</f>
        <v>No</v>
      </c>
      <c r="H164" t="str">
        <f>INDEX('Additional Product Info.'!$A$1:$C$1001, MATCH('Product Positioning'!$A164, 'Additional Product Info.'!$A$1:$A$1001, 0), MATCH('Product Positioning'!H$1, 'Additional Product Info.'!$A$1:$C$1, 0))</f>
        <v>Front of Store</v>
      </c>
      <c r="I164" t="str">
        <f>INDEX('Additional Product Info.'!$A$1:$C$1001, MATCH('Product Positioning'!$A164, 'Additional Product Info.'!$A$1:$A$1001, 0), MATCH('Product Positioning'!I$1, 'Additional Product Info.'!$A$1:$C$1, 0))</f>
        <v>Electronics</v>
      </c>
      <c r="J164" t="str">
        <f>_xlfn.XLOOKUP(A164, $A$1:$A$1001, 'Additional Product Info.'!$D$1:$D$1001)</f>
        <v>Yes</v>
      </c>
      <c r="K164" s="1">
        <f t="shared" si="4"/>
        <v>19793.84</v>
      </c>
      <c r="L164" s="1">
        <f t="shared" si="5"/>
        <v>4.6200000000000045</v>
      </c>
      <c r="M164" t="str">
        <f>IF(L164&lt;=Statistics!$E$6,"Low Difference",IF('Product Positioning'!L164&gt;=Statistics!$E$4,"High Difference","Moderate Difference"))</f>
        <v>High Difference</v>
      </c>
    </row>
    <row r="165" spans="1:13" x14ac:dyDescent="0.2">
      <c r="A165">
        <v>144497</v>
      </c>
      <c r="B165" s="1">
        <v>31.39</v>
      </c>
      <c r="C165" s="1">
        <v>28.18</v>
      </c>
      <c r="D165">
        <v>1105</v>
      </c>
      <c r="E165" t="str">
        <f>_xlfn.XLOOKUP(A165, 'Customer Information'!$A$1:$A$1001, 'Customer Information'!$B$1:$B$1001)</f>
        <v>Low</v>
      </c>
      <c r="F165" t="str">
        <f>_xlfn.XLOOKUP(A165, 'Customer Information'!$A$1:$A$1001, 'Customer Information'!$C$1:$C$1001)</f>
        <v>Young adults</v>
      </c>
      <c r="G165" t="str">
        <f>_xlfn.XLOOKUP('Customer Information'!A165, 'Customer Information'!$A$1:$A$1001, 'Customer Information'!$D$1:$D$1001)</f>
        <v>Yes</v>
      </c>
      <c r="H165" t="str">
        <f>INDEX('Additional Product Info.'!$A$1:$C$1001, MATCH('Product Positioning'!$A165, 'Additional Product Info.'!$A$1:$A$1001, 0), MATCH('Product Positioning'!H$1, 'Additional Product Info.'!$A$1:$C$1, 0))</f>
        <v>End-cap</v>
      </c>
      <c r="I165" t="str">
        <f>INDEX('Additional Product Info.'!$A$1:$C$1001, MATCH('Product Positioning'!$A165, 'Additional Product Info.'!$A$1:$A$1001, 0), MATCH('Product Positioning'!I$1, 'Additional Product Info.'!$A$1:$C$1, 0))</f>
        <v>Food</v>
      </c>
      <c r="J165" t="str">
        <f>_xlfn.XLOOKUP(A165, $A$1:$A$1001, 'Additional Product Info.'!$D$1:$D$1001)</f>
        <v>Yes</v>
      </c>
      <c r="K165" s="1">
        <f t="shared" si="4"/>
        <v>34685.949999999997</v>
      </c>
      <c r="L165" s="1">
        <f t="shared" si="5"/>
        <v>3.2100000000000009</v>
      </c>
      <c r="M165" t="str">
        <f>IF(L165&lt;=Statistics!$E$6,"Low Difference",IF('Product Positioning'!L165&gt;=Statistics!$E$4,"High Difference","Moderate Difference"))</f>
        <v>Moderate Difference</v>
      </c>
    </row>
    <row r="166" spans="1:13" x14ac:dyDescent="0.2">
      <c r="A166">
        <v>135036</v>
      </c>
      <c r="B166" s="1">
        <v>46.1</v>
      </c>
      <c r="C166" s="1">
        <v>42.07</v>
      </c>
      <c r="D166">
        <v>1435</v>
      </c>
      <c r="E166" t="str">
        <f>_xlfn.XLOOKUP(A166, 'Customer Information'!$A$1:$A$1001, 'Customer Information'!$B$1:$B$1001)</f>
        <v>Low</v>
      </c>
      <c r="F166" t="str">
        <f>_xlfn.XLOOKUP(A166, 'Customer Information'!$A$1:$A$1001, 'Customer Information'!$C$1:$C$1001)</f>
        <v>College students</v>
      </c>
      <c r="G166" t="str">
        <f>_xlfn.XLOOKUP('Customer Information'!A166, 'Customer Information'!$A$1:$A$1001, 'Customer Information'!$D$1:$D$1001)</f>
        <v>Yes</v>
      </c>
      <c r="H166" t="str">
        <f>INDEX('Additional Product Info.'!$A$1:$C$1001, MATCH('Product Positioning'!$A166, 'Additional Product Info.'!$A$1:$A$1001, 0), MATCH('Product Positioning'!H$1, 'Additional Product Info.'!$A$1:$C$1, 0))</f>
        <v>End-cap</v>
      </c>
      <c r="I166" t="str">
        <f>INDEX('Additional Product Info.'!$A$1:$C$1001, MATCH('Product Positioning'!$A166, 'Additional Product Info.'!$A$1:$A$1001, 0), MATCH('Product Positioning'!I$1, 'Additional Product Info.'!$A$1:$C$1, 0))</f>
        <v>Clothing</v>
      </c>
      <c r="J166" t="str">
        <f>_xlfn.XLOOKUP(A166, $A$1:$A$1001, 'Additional Product Info.'!$D$1:$D$1001)</f>
        <v>No</v>
      </c>
      <c r="K166" s="1">
        <f t="shared" si="4"/>
        <v>66153.5</v>
      </c>
      <c r="L166" s="1">
        <f t="shared" si="5"/>
        <v>4.0300000000000011</v>
      </c>
      <c r="M166" t="str">
        <f>IF(L166&lt;=Statistics!$E$6,"Low Difference",IF('Product Positioning'!L166&gt;=Statistics!$E$4,"High Difference","Moderate Difference"))</f>
        <v>High Difference</v>
      </c>
    </row>
    <row r="167" spans="1:13" x14ac:dyDescent="0.2">
      <c r="A167">
        <v>166331</v>
      </c>
      <c r="B167" s="1">
        <v>19.28</v>
      </c>
      <c r="C167" s="1">
        <v>17.22</v>
      </c>
      <c r="D167">
        <v>2877</v>
      </c>
      <c r="E167" t="str">
        <f>_xlfn.XLOOKUP(A167, 'Customer Information'!$A$1:$A$1001, 'Customer Information'!$B$1:$B$1001)</f>
        <v>Low</v>
      </c>
      <c r="F167" t="str">
        <f>_xlfn.XLOOKUP(A167, 'Customer Information'!$A$1:$A$1001, 'Customer Information'!$C$1:$C$1001)</f>
        <v>Families</v>
      </c>
      <c r="G167" t="str">
        <f>_xlfn.XLOOKUP('Customer Information'!A167, 'Customer Information'!$A$1:$A$1001, 'Customer Information'!$D$1:$D$1001)</f>
        <v>Yes</v>
      </c>
      <c r="H167" t="str">
        <f>INDEX('Additional Product Info.'!$A$1:$C$1001, MATCH('Product Positioning'!$A167, 'Additional Product Info.'!$A$1:$A$1001, 0), MATCH('Product Positioning'!H$1, 'Additional Product Info.'!$A$1:$C$1, 0))</f>
        <v>Aisle</v>
      </c>
      <c r="I167" t="str">
        <f>INDEX('Additional Product Info.'!$A$1:$C$1001, MATCH('Product Positioning'!$A167, 'Additional Product Info.'!$A$1:$A$1001, 0), MATCH('Product Positioning'!I$1, 'Additional Product Info.'!$A$1:$C$1, 0))</f>
        <v>Electronics</v>
      </c>
      <c r="J167" t="str">
        <f>_xlfn.XLOOKUP(A167, $A$1:$A$1001, 'Additional Product Info.'!$D$1:$D$1001)</f>
        <v>Yes</v>
      </c>
      <c r="K167" s="1">
        <f t="shared" si="4"/>
        <v>55468.560000000005</v>
      </c>
      <c r="L167" s="1">
        <f t="shared" si="5"/>
        <v>2.0600000000000023</v>
      </c>
      <c r="M167" t="str">
        <f>IF(L167&lt;=Statistics!$E$6,"Low Difference",IF('Product Positioning'!L167&gt;=Statistics!$E$4,"High Difference","Moderate Difference"))</f>
        <v>Moderate Difference</v>
      </c>
    </row>
    <row r="168" spans="1:13" x14ac:dyDescent="0.2">
      <c r="A168">
        <v>139789</v>
      </c>
      <c r="B168" s="1">
        <v>6.22</v>
      </c>
      <c r="C168" s="1">
        <v>3.38</v>
      </c>
      <c r="D168">
        <v>1094</v>
      </c>
      <c r="E168" t="str">
        <f>_xlfn.XLOOKUP(A168, 'Customer Information'!$A$1:$A$1001, 'Customer Information'!$B$1:$B$1001)</f>
        <v>High</v>
      </c>
      <c r="F168" t="str">
        <f>_xlfn.XLOOKUP(A168, 'Customer Information'!$A$1:$A$1001, 'Customer Information'!$C$1:$C$1001)</f>
        <v>Families</v>
      </c>
      <c r="G168" t="str">
        <f>_xlfn.XLOOKUP('Customer Information'!A168, 'Customer Information'!$A$1:$A$1001, 'Customer Information'!$D$1:$D$1001)</f>
        <v>No</v>
      </c>
      <c r="H168" t="str">
        <f>INDEX('Additional Product Info.'!$A$1:$C$1001, MATCH('Product Positioning'!$A168, 'Additional Product Info.'!$A$1:$A$1001, 0), MATCH('Product Positioning'!H$1, 'Additional Product Info.'!$A$1:$C$1, 0))</f>
        <v>Aisle</v>
      </c>
      <c r="I168" t="str">
        <f>INDEX('Additional Product Info.'!$A$1:$C$1001, MATCH('Product Positioning'!$A168, 'Additional Product Info.'!$A$1:$A$1001, 0), MATCH('Product Positioning'!I$1, 'Additional Product Info.'!$A$1:$C$1, 0))</f>
        <v>Food</v>
      </c>
      <c r="J168" t="str">
        <f>_xlfn.XLOOKUP(A168, $A$1:$A$1001, 'Additional Product Info.'!$D$1:$D$1001)</f>
        <v>Yes</v>
      </c>
      <c r="K168" s="1">
        <f t="shared" si="4"/>
        <v>6804.6799999999994</v>
      </c>
      <c r="L168" s="1">
        <f t="shared" si="5"/>
        <v>2.84</v>
      </c>
      <c r="M168" t="str">
        <f>IF(L168&lt;=Statistics!$E$6,"Low Difference",IF('Product Positioning'!L168&gt;=Statistics!$E$4,"High Difference","Moderate Difference"))</f>
        <v>Moderate Difference</v>
      </c>
    </row>
    <row r="169" spans="1:13" x14ac:dyDescent="0.2">
      <c r="A169">
        <v>118569</v>
      </c>
      <c r="B169" s="1">
        <v>40.06</v>
      </c>
      <c r="C169" s="1">
        <v>39.409999999999997</v>
      </c>
      <c r="D169">
        <v>994</v>
      </c>
      <c r="E169" t="str">
        <f>_xlfn.XLOOKUP(A169, 'Customer Information'!$A$1:$A$1001, 'Customer Information'!$B$1:$B$1001)</f>
        <v>Medium</v>
      </c>
      <c r="F169" t="str">
        <f>_xlfn.XLOOKUP(A169, 'Customer Information'!$A$1:$A$1001, 'Customer Information'!$C$1:$C$1001)</f>
        <v>Young adults</v>
      </c>
      <c r="G169" t="str">
        <f>_xlfn.XLOOKUP('Customer Information'!A169, 'Customer Information'!$A$1:$A$1001, 'Customer Information'!$D$1:$D$1001)</f>
        <v>No</v>
      </c>
      <c r="H169" t="str">
        <f>INDEX('Additional Product Info.'!$A$1:$C$1001, MATCH('Product Positioning'!$A169, 'Additional Product Info.'!$A$1:$A$1001, 0), MATCH('Product Positioning'!H$1, 'Additional Product Info.'!$A$1:$C$1, 0))</f>
        <v>Aisle</v>
      </c>
      <c r="I169" t="str">
        <f>INDEX('Additional Product Info.'!$A$1:$C$1001, MATCH('Product Positioning'!$A169, 'Additional Product Info.'!$A$1:$A$1001, 0), MATCH('Product Positioning'!I$1, 'Additional Product Info.'!$A$1:$C$1, 0))</f>
        <v>Clothing</v>
      </c>
      <c r="J169" t="str">
        <f>_xlfn.XLOOKUP(A169, $A$1:$A$1001, 'Additional Product Info.'!$D$1:$D$1001)</f>
        <v>Yes</v>
      </c>
      <c r="K169" s="1">
        <f t="shared" si="4"/>
        <v>39819.64</v>
      </c>
      <c r="L169" s="1">
        <f t="shared" si="5"/>
        <v>0.65000000000000568</v>
      </c>
      <c r="M169" t="str">
        <f>IF(L169&lt;=Statistics!$E$6,"Low Difference",IF('Product Positioning'!L169&gt;=Statistics!$E$4,"High Difference","Moderate Difference"))</f>
        <v>Low Difference</v>
      </c>
    </row>
    <row r="170" spans="1:13" x14ac:dyDescent="0.2">
      <c r="A170">
        <v>155848</v>
      </c>
      <c r="B170" s="1">
        <v>46.91</v>
      </c>
      <c r="C170" s="1">
        <v>46.85</v>
      </c>
      <c r="D170">
        <v>1942</v>
      </c>
      <c r="E170" t="str">
        <f>_xlfn.XLOOKUP(A170, 'Customer Information'!$A$1:$A$1001, 'Customer Information'!$B$1:$B$1001)</f>
        <v>Medium</v>
      </c>
      <c r="F170" t="str">
        <f>_xlfn.XLOOKUP(A170, 'Customer Information'!$A$1:$A$1001, 'Customer Information'!$C$1:$C$1001)</f>
        <v>Seniors</v>
      </c>
      <c r="G170" t="str">
        <f>_xlfn.XLOOKUP('Customer Information'!A170, 'Customer Information'!$A$1:$A$1001, 'Customer Information'!$D$1:$D$1001)</f>
        <v>Yes</v>
      </c>
      <c r="H170" t="str">
        <f>INDEX('Additional Product Info.'!$A$1:$C$1001, MATCH('Product Positioning'!$A170, 'Additional Product Info.'!$A$1:$A$1001, 0), MATCH('Product Positioning'!H$1, 'Additional Product Info.'!$A$1:$C$1, 0))</f>
        <v>End-cap</v>
      </c>
      <c r="I170" t="str">
        <f>INDEX('Additional Product Info.'!$A$1:$C$1001, MATCH('Product Positioning'!$A170, 'Additional Product Info.'!$A$1:$A$1001, 0), MATCH('Product Positioning'!I$1, 'Additional Product Info.'!$A$1:$C$1, 0))</f>
        <v>Electronics</v>
      </c>
      <c r="J170" t="str">
        <f>_xlfn.XLOOKUP(A170, $A$1:$A$1001, 'Additional Product Info.'!$D$1:$D$1001)</f>
        <v>No</v>
      </c>
      <c r="K170" s="1">
        <f t="shared" si="4"/>
        <v>91099.219999999987</v>
      </c>
      <c r="L170" s="1">
        <f t="shared" si="5"/>
        <v>5.9999999999995168E-2</v>
      </c>
      <c r="M170" t="str">
        <f>IF(L170&lt;=Statistics!$E$6,"Low Difference",IF('Product Positioning'!L170&gt;=Statistics!$E$4,"High Difference","Moderate Difference"))</f>
        <v>Low Difference</v>
      </c>
    </row>
    <row r="171" spans="1:13" x14ac:dyDescent="0.2">
      <c r="A171">
        <v>152563</v>
      </c>
      <c r="B171" s="1">
        <v>42.42</v>
      </c>
      <c r="C171" s="1">
        <v>40.6</v>
      </c>
      <c r="D171">
        <v>2572</v>
      </c>
      <c r="E171" t="str">
        <f>_xlfn.XLOOKUP(A171, 'Customer Information'!$A$1:$A$1001, 'Customer Information'!$B$1:$B$1001)</f>
        <v>Low</v>
      </c>
      <c r="F171" t="str">
        <f>_xlfn.XLOOKUP(A171, 'Customer Information'!$A$1:$A$1001, 'Customer Information'!$C$1:$C$1001)</f>
        <v>College students</v>
      </c>
      <c r="G171" t="str">
        <f>_xlfn.XLOOKUP('Customer Information'!A171, 'Customer Information'!$A$1:$A$1001, 'Customer Information'!$D$1:$D$1001)</f>
        <v>No</v>
      </c>
      <c r="H171" t="str">
        <f>INDEX('Additional Product Info.'!$A$1:$C$1001, MATCH('Product Positioning'!$A171, 'Additional Product Info.'!$A$1:$A$1001, 0), MATCH('Product Positioning'!H$1, 'Additional Product Info.'!$A$1:$C$1, 0))</f>
        <v>Front of Store</v>
      </c>
      <c r="I171" t="str">
        <f>INDEX('Additional Product Info.'!$A$1:$C$1001, MATCH('Product Positioning'!$A171, 'Additional Product Info.'!$A$1:$A$1001, 0), MATCH('Product Positioning'!I$1, 'Additional Product Info.'!$A$1:$C$1, 0))</f>
        <v>Electronics</v>
      </c>
      <c r="J171" t="str">
        <f>_xlfn.XLOOKUP(A171, $A$1:$A$1001, 'Additional Product Info.'!$D$1:$D$1001)</f>
        <v>Yes</v>
      </c>
      <c r="K171" s="1">
        <f t="shared" si="4"/>
        <v>109104.24</v>
      </c>
      <c r="L171" s="1">
        <f t="shared" si="5"/>
        <v>1.8200000000000003</v>
      </c>
      <c r="M171" t="str">
        <f>IF(L171&lt;=Statistics!$E$6,"Low Difference",IF('Product Positioning'!L171&gt;=Statistics!$E$4,"High Difference","Moderate Difference"))</f>
        <v>Moderate Difference</v>
      </c>
    </row>
    <row r="172" spans="1:13" x14ac:dyDescent="0.2">
      <c r="A172">
        <v>115153</v>
      </c>
      <c r="B172" s="1">
        <v>30.55</v>
      </c>
      <c r="C172" s="1">
        <v>26.84</v>
      </c>
      <c r="D172">
        <v>1736</v>
      </c>
      <c r="E172" t="str">
        <f>_xlfn.XLOOKUP(A172, 'Customer Information'!$A$1:$A$1001, 'Customer Information'!$B$1:$B$1001)</f>
        <v>Medium</v>
      </c>
      <c r="F172" t="str">
        <f>_xlfn.XLOOKUP(A172, 'Customer Information'!$A$1:$A$1001, 'Customer Information'!$C$1:$C$1001)</f>
        <v>Families</v>
      </c>
      <c r="G172" t="str">
        <f>_xlfn.XLOOKUP('Customer Information'!A172, 'Customer Information'!$A$1:$A$1001, 'Customer Information'!$D$1:$D$1001)</f>
        <v>No</v>
      </c>
      <c r="H172" t="str">
        <f>INDEX('Additional Product Info.'!$A$1:$C$1001, MATCH('Product Positioning'!$A172, 'Additional Product Info.'!$A$1:$A$1001, 0), MATCH('Product Positioning'!H$1, 'Additional Product Info.'!$A$1:$C$1, 0))</f>
        <v>Aisle</v>
      </c>
      <c r="I172" t="str">
        <f>INDEX('Additional Product Info.'!$A$1:$C$1001, MATCH('Product Positioning'!$A172, 'Additional Product Info.'!$A$1:$A$1001, 0), MATCH('Product Positioning'!I$1, 'Additional Product Info.'!$A$1:$C$1, 0))</f>
        <v>Electronics</v>
      </c>
      <c r="J172" t="str">
        <f>_xlfn.XLOOKUP(A172, $A$1:$A$1001, 'Additional Product Info.'!$D$1:$D$1001)</f>
        <v>No</v>
      </c>
      <c r="K172" s="1">
        <f t="shared" si="4"/>
        <v>53034.8</v>
      </c>
      <c r="L172" s="1">
        <f t="shared" si="5"/>
        <v>3.7100000000000009</v>
      </c>
      <c r="M172" t="str">
        <f>IF(L172&lt;=Statistics!$E$6,"Low Difference",IF('Product Positioning'!L172&gt;=Statistics!$E$4,"High Difference","Moderate Difference"))</f>
        <v>High Difference</v>
      </c>
    </row>
    <row r="173" spans="1:13" x14ac:dyDescent="0.2">
      <c r="A173">
        <v>125938</v>
      </c>
      <c r="B173" s="1">
        <v>39.07</v>
      </c>
      <c r="C173" s="1">
        <v>37.81</v>
      </c>
      <c r="D173">
        <v>1204</v>
      </c>
      <c r="E173" t="str">
        <f>_xlfn.XLOOKUP(A173, 'Customer Information'!$A$1:$A$1001, 'Customer Information'!$B$1:$B$1001)</f>
        <v>High</v>
      </c>
      <c r="F173" t="str">
        <f>_xlfn.XLOOKUP(A173, 'Customer Information'!$A$1:$A$1001, 'Customer Information'!$C$1:$C$1001)</f>
        <v>Young adults</v>
      </c>
      <c r="G173" t="str">
        <f>_xlfn.XLOOKUP('Customer Information'!A173, 'Customer Information'!$A$1:$A$1001, 'Customer Information'!$D$1:$D$1001)</f>
        <v>Yes</v>
      </c>
      <c r="H173" t="str">
        <f>INDEX('Additional Product Info.'!$A$1:$C$1001, MATCH('Product Positioning'!$A173, 'Additional Product Info.'!$A$1:$A$1001, 0), MATCH('Product Positioning'!H$1, 'Additional Product Info.'!$A$1:$C$1, 0))</f>
        <v>Aisle</v>
      </c>
      <c r="I173" t="str">
        <f>INDEX('Additional Product Info.'!$A$1:$C$1001, MATCH('Product Positioning'!$A173, 'Additional Product Info.'!$A$1:$A$1001, 0), MATCH('Product Positioning'!I$1, 'Additional Product Info.'!$A$1:$C$1, 0))</f>
        <v>Clothing</v>
      </c>
      <c r="J173" t="str">
        <f>_xlfn.XLOOKUP(A173, $A$1:$A$1001, 'Additional Product Info.'!$D$1:$D$1001)</f>
        <v>Yes</v>
      </c>
      <c r="K173" s="1">
        <f t="shared" si="4"/>
        <v>47040.28</v>
      </c>
      <c r="L173" s="1">
        <f t="shared" si="5"/>
        <v>1.259999999999998</v>
      </c>
      <c r="M173" t="str">
        <f>IF(L173&lt;=Statistics!$E$6,"Low Difference",IF('Product Positioning'!L173&gt;=Statistics!$E$4,"High Difference","Moderate Difference"))</f>
        <v>Moderate Difference</v>
      </c>
    </row>
    <row r="174" spans="1:13" x14ac:dyDescent="0.2">
      <c r="A174">
        <v>122809</v>
      </c>
      <c r="B174" s="1">
        <v>47.47</v>
      </c>
      <c r="C174" s="1">
        <v>43.47</v>
      </c>
      <c r="D174">
        <v>1592</v>
      </c>
      <c r="E174" t="str">
        <f>_xlfn.XLOOKUP(A174, 'Customer Information'!$A$1:$A$1001, 'Customer Information'!$B$1:$B$1001)</f>
        <v>High</v>
      </c>
      <c r="F174" t="str">
        <f>_xlfn.XLOOKUP(A174, 'Customer Information'!$A$1:$A$1001, 'Customer Information'!$C$1:$C$1001)</f>
        <v>Young adults</v>
      </c>
      <c r="G174" t="str">
        <f>_xlfn.XLOOKUP('Customer Information'!A174, 'Customer Information'!$A$1:$A$1001, 'Customer Information'!$D$1:$D$1001)</f>
        <v>No</v>
      </c>
      <c r="H174" t="str">
        <f>INDEX('Additional Product Info.'!$A$1:$C$1001, MATCH('Product Positioning'!$A174, 'Additional Product Info.'!$A$1:$A$1001, 0), MATCH('Product Positioning'!H$1, 'Additional Product Info.'!$A$1:$C$1, 0))</f>
        <v>End-cap</v>
      </c>
      <c r="I174" t="str">
        <f>INDEX('Additional Product Info.'!$A$1:$C$1001, MATCH('Product Positioning'!$A174, 'Additional Product Info.'!$A$1:$A$1001, 0), MATCH('Product Positioning'!I$1, 'Additional Product Info.'!$A$1:$C$1, 0))</f>
        <v>Clothing</v>
      </c>
      <c r="J174" t="str">
        <f>_xlfn.XLOOKUP(A174, $A$1:$A$1001, 'Additional Product Info.'!$D$1:$D$1001)</f>
        <v>Yes</v>
      </c>
      <c r="K174" s="1">
        <f t="shared" si="4"/>
        <v>75572.240000000005</v>
      </c>
      <c r="L174" s="1">
        <f t="shared" si="5"/>
        <v>4</v>
      </c>
      <c r="M174" t="str">
        <f>IF(L174&lt;=Statistics!$E$6,"Low Difference",IF('Product Positioning'!L174&gt;=Statistics!$E$4,"High Difference","Moderate Difference"))</f>
        <v>High Difference</v>
      </c>
    </row>
    <row r="175" spans="1:13" x14ac:dyDescent="0.2">
      <c r="A175">
        <v>181502</v>
      </c>
      <c r="B175" s="1">
        <v>10.83</v>
      </c>
      <c r="C175" s="1">
        <v>8.48</v>
      </c>
      <c r="D175">
        <v>2591</v>
      </c>
      <c r="E175" t="str">
        <f>_xlfn.XLOOKUP(A175, 'Customer Information'!$A$1:$A$1001, 'Customer Information'!$B$1:$B$1001)</f>
        <v>High</v>
      </c>
      <c r="F175" t="str">
        <f>_xlfn.XLOOKUP(A175, 'Customer Information'!$A$1:$A$1001, 'Customer Information'!$C$1:$C$1001)</f>
        <v>Young adults</v>
      </c>
      <c r="G175" t="str">
        <f>_xlfn.XLOOKUP('Customer Information'!A175, 'Customer Information'!$A$1:$A$1001, 'Customer Information'!$D$1:$D$1001)</f>
        <v>Yes</v>
      </c>
      <c r="H175" t="str">
        <f>INDEX('Additional Product Info.'!$A$1:$C$1001, MATCH('Product Positioning'!$A175, 'Additional Product Info.'!$A$1:$A$1001, 0), MATCH('Product Positioning'!H$1, 'Additional Product Info.'!$A$1:$C$1, 0))</f>
        <v>Front of Store</v>
      </c>
      <c r="I175" t="str">
        <f>INDEX('Additional Product Info.'!$A$1:$C$1001, MATCH('Product Positioning'!$A175, 'Additional Product Info.'!$A$1:$A$1001, 0), MATCH('Product Positioning'!I$1, 'Additional Product Info.'!$A$1:$C$1, 0))</f>
        <v>Electronics</v>
      </c>
      <c r="J175" t="str">
        <f>_xlfn.XLOOKUP(A175, $A$1:$A$1001, 'Additional Product Info.'!$D$1:$D$1001)</f>
        <v>No</v>
      </c>
      <c r="K175" s="1">
        <f t="shared" si="4"/>
        <v>28060.53</v>
      </c>
      <c r="L175" s="1">
        <f t="shared" si="5"/>
        <v>2.3499999999999996</v>
      </c>
      <c r="M175" t="str">
        <f>IF(L175&lt;=Statistics!$E$6,"Low Difference",IF('Product Positioning'!L175&gt;=Statistics!$E$4,"High Difference","Moderate Difference"))</f>
        <v>Moderate Difference</v>
      </c>
    </row>
    <row r="176" spans="1:13" x14ac:dyDescent="0.2">
      <c r="A176">
        <v>182779</v>
      </c>
      <c r="B176" s="1">
        <v>7.27</v>
      </c>
      <c r="C176" s="1">
        <v>4.93</v>
      </c>
      <c r="D176">
        <v>2097</v>
      </c>
      <c r="E176" t="str">
        <f>_xlfn.XLOOKUP(A176, 'Customer Information'!$A$1:$A$1001, 'Customer Information'!$B$1:$B$1001)</f>
        <v>Low</v>
      </c>
      <c r="F176" t="str">
        <f>_xlfn.XLOOKUP(A176, 'Customer Information'!$A$1:$A$1001, 'Customer Information'!$C$1:$C$1001)</f>
        <v>Young adults</v>
      </c>
      <c r="G176" t="str">
        <f>_xlfn.XLOOKUP('Customer Information'!A176, 'Customer Information'!$A$1:$A$1001, 'Customer Information'!$D$1:$D$1001)</f>
        <v>Yes</v>
      </c>
      <c r="H176" t="str">
        <f>INDEX('Additional Product Info.'!$A$1:$C$1001, MATCH('Product Positioning'!$A176, 'Additional Product Info.'!$A$1:$A$1001, 0), MATCH('Product Positioning'!H$1, 'Additional Product Info.'!$A$1:$C$1, 0))</f>
        <v>End-cap</v>
      </c>
      <c r="I176" t="str">
        <f>INDEX('Additional Product Info.'!$A$1:$C$1001, MATCH('Product Positioning'!$A176, 'Additional Product Info.'!$A$1:$A$1001, 0), MATCH('Product Positioning'!I$1, 'Additional Product Info.'!$A$1:$C$1, 0))</f>
        <v>Food</v>
      </c>
      <c r="J176" t="str">
        <f>_xlfn.XLOOKUP(A176, $A$1:$A$1001, 'Additional Product Info.'!$D$1:$D$1001)</f>
        <v>Yes</v>
      </c>
      <c r="K176" s="1">
        <f t="shared" si="4"/>
        <v>15245.189999999999</v>
      </c>
      <c r="L176" s="1">
        <f t="shared" si="5"/>
        <v>2.34</v>
      </c>
      <c r="M176" t="str">
        <f>IF(L176&lt;=Statistics!$E$6,"Low Difference",IF('Product Positioning'!L176&gt;=Statistics!$E$4,"High Difference","Moderate Difference"))</f>
        <v>Moderate Difference</v>
      </c>
    </row>
    <row r="177" spans="1:13" x14ac:dyDescent="0.2">
      <c r="A177">
        <v>155674</v>
      </c>
      <c r="B177" s="1">
        <v>16.91</v>
      </c>
      <c r="C177" s="1">
        <v>14.52</v>
      </c>
      <c r="D177">
        <v>897</v>
      </c>
      <c r="E177" t="str">
        <f>_xlfn.XLOOKUP(A177, 'Customer Information'!$A$1:$A$1001, 'Customer Information'!$B$1:$B$1001)</f>
        <v>Low</v>
      </c>
      <c r="F177" t="str">
        <f>_xlfn.XLOOKUP(A177, 'Customer Information'!$A$1:$A$1001, 'Customer Information'!$C$1:$C$1001)</f>
        <v>Families</v>
      </c>
      <c r="G177" t="str">
        <f>_xlfn.XLOOKUP('Customer Information'!A177, 'Customer Information'!$A$1:$A$1001, 'Customer Information'!$D$1:$D$1001)</f>
        <v>No</v>
      </c>
      <c r="H177" t="str">
        <f>INDEX('Additional Product Info.'!$A$1:$C$1001, MATCH('Product Positioning'!$A177, 'Additional Product Info.'!$A$1:$A$1001, 0), MATCH('Product Positioning'!H$1, 'Additional Product Info.'!$A$1:$C$1, 0))</f>
        <v>Front of Store</v>
      </c>
      <c r="I177" t="str">
        <f>INDEX('Additional Product Info.'!$A$1:$C$1001, MATCH('Product Positioning'!$A177, 'Additional Product Info.'!$A$1:$A$1001, 0), MATCH('Product Positioning'!I$1, 'Additional Product Info.'!$A$1:$C$1, 0))</f>
        <v>Clothing</v>
      </c>
      <c r="J177" t="str">
        <f>_xlfn.XLOOKUP(A177, $A$1:$A$1001, 'Additional Product Info.'!$D$1:$D$1001)</f>
        <v>No</v>
      </c>
      <c r="K177" s="1">
        <f t="shared" si="4"/>
        <v>15168.27</v>
      </c>
      <c r="L177" s="1">
        <f t="shared" si="5"/>
        <v>2.3900000000000006</v>
      </c>
      <c r="M177" t="str">
        <f>IF(L177&lt;=Statistics!$E$6,"Low Difference",IF('Product Positioning'!L177&gt;=Statistics!$E$4,"High Difference","Moderate Difference"))</f>
        <v>Moderate Difference</v>
      </c>
    </row>
    <row r="178" spans="1:13" x14ac:dyDescent="0.2">
      <c r="A178">
        <v>182866</v>
      </c>
      <c r="B178" s="1">
        <v>41.95</v>
      </c>
      <c r="C178" s="1">
        <v>40.42</v>
      </c>
      <c r="D178">
        <v>1552</v>
      </c>
      <c r="E178" t="str">
        <f>_xlfn.XLOOKUP(A178, 'Customer Information'!$A$1:$A$1001, 'Customer Information'!$B$1:$B$1001)</f>
        <v>High</v>
      </c>
      <c r="F178" t="str">
        <f>_xlfn.XLOOKUP(A178, 'Customer Information'!$A$1:$A$1001, 'Customer Information'!$C$1:$C$1001)</f>
        <v>Seniors</v>
      </c>
      <c r="G178" t="str">
        <f>_xlfn.XLOOKUP('Customer Information'!A178, 'Customer Information'!$A$1:$A$1001, 'Customer Information'!$D$1:$D$1001)</f>
        <v>No</v>
      </c>
      <c r="H178" t="str">
        <f>INDEX('Additional Product Info.'!$A$1:$C$1001, MATCH('Product Positioning'!$A178, 'Additional Product Info.'!$A$1:$A$1001, 0), MATCH('Product Positioning'!H$1, 'Additional Product Info.'!$A$1:$C$1, 0))</f>
        <v>Aisle</v>
      </c>
      <c r="I178" t="str">
        <f>INDEX('Additional Product Info.'!$A$1:$C$1001, MATCH('Product Positioning'!$A178, 'Additional Product Info.'!$A$1:$A$1001, 0), MATCH('Product Positioning'!I$1, 'Additional Product Info.'!$A$1:$C$1, 0))</f>
        <v>Clothing</v>
      </c>
      <c r="J178" t="str">
        <f>_xlfn.XLOOKUP(A178, $A$1:$A$1001, 'Additional Product Info.'!$D$1:$D$1001)</f>
        <v>Yes</v>
      </c>
      <c r="K178" s="1">
        <f t="shared" si="4"/>
        <v>65106.400000000001</v>
      </c>
      <c r="L178" s="1">
        <f t="shared" si="5"/>
        <v>1.5300000000000011</v>
      </c>
      <c r="M178" t="str">
        <f>IF(L178&lt;=Statistics!$E$6,"Low Difference",IF('Product Positioning'!L178&gt;=Statistics!$E$4,"High Difference","Moderate Difference"))</f>
        <v>Moderate Difference</v>
      </c>
    </row>
    <row r="179" spans="1:13" x14ac:dyDescent="0.2">
      <c r="A179">
        <v>148230</v>
      </c>
      <c r="B179" s="1">
        <v>49.98</v>
      </c>
      <c r="C179" s="1">
        <v>45.42</v>
      </c>
      <c r="D179">
        <v>2494</v>
      </c>
      <c r="E179" t="str">
        <f>_xlfn.XLOOKUP(A179, 'Customer Information'!$A$1:$A$1001, 'Customer Information'!$B$1:$B$1001)</f>
        <v>Medium</v>
      </c>
      <c r="F179" t="str">
        <f>_xlfn.XLOOKUP(A179, 'Customer Information'!$A$1:$A$1001, 'Customer Information'!$C$1:$C$1001)</f>
        <v>Young adults</v>
      </c>
      <c r="G179" t="str">
        <f>_xlfn.XLOOKUP('Customer Information'!A179, 'Customer Information'!$A$1:$A$1001, 'Customer Information'!$D$1:$D$1001)</f>
        <v>Yes</v>
      </c>
      <c r="H179" t="str">
        <f>INDEX('Additional Product Info.'!$A$1:$C$1001, MATCH('Product Positioning'!$A179, 'Additional Product Info.'!$A$1:$A$1001, 0), MATCH('Product Positioning'!H$1, 'Additional Product Info.'!$A$1:$C$1, 0))</f>
        <v>Front of Store</v>
      </c>
      <c r="I179" t="str">
        <f>INDEX('Additional Product Info.'!$A$1:$C$1001, MATCH('Product Positioning'!$A179, 'Additional Product Info.'!$A$1:$A$1001, 0), MATCH('Product Positioning'!I$1, 'Additional Product Info.'!$A$1:$C$1, 0))</f>
        <v>Clothing</v>
      </c>
      <c r="J179" t="str">
        <f>_xlfn.XLOOKUP(A179, $A$1:$A$1001, 'Additional Product Info.'!$D$1:$D$1001)</f>
        <v>No</v>
      </c>
      <c r="K179" s="1">
        <f t="shared" si="4"/>
        <v>124650.12</v>
      </c>
      <c r="L179" s="1">
        <f t="shared" si="5"/>
        <v>4.5599999999999952</v>
      </c>
      <c r="M179" t="str">
        <f>IF(L179&lt;=Statistics!$E$6,"Low Difference",IF('Product Positioning'!L179&gt;=Statistics!$E$4,"High Difference","Moderate Difference"))</f>
        <v>High Difference</v>
      </c>
    </row>
    <row r="180" spans="1:13" x14ac:dyDescent="0.2">
      <c r="A180">
        <v>126979</v>
      </c>
      <c r="B180" s="1">
        <v>30.53</v>
      </c>
      <c r="C180" s="1">
        <v>30.01</v>
      </c>
      <c r="D180">
        <v>2141</v>
      </c>
      <c r="E180" t="str">
        <f>_xlfn.XLOOKUP(A180, 'Customer Information'!$A$1:$A$1001, 'Customer Information'!$B$1:$B$1001)</f>
        <v>High</v>
      </c>
      <c r="F180" t="str">
        <f>_xlfn.XLOOKUP(A180, 'Customer Information'!$A$1:$A$1001, 'Customer Information'!$C$1:$C$1001)</f>
        <v>Seniors</v>
      </c>
      <c r="G180" t="str">
        <f>_xlfn.XLOOKUP('Customer Information'!A180, 'Customer Information'!$A$1:$A$1001, 'Customer Information'!$D$1:$D$1001)</f>
        <v>No</v>
      </c>
      <c r="H180" t="str">
        <f>INDEX('Additional Product Info.'!$A$1:$C$1001, MATCH('Product Positioning'!$A180, 'Additional Product Info.'!$A$1:$A$1001, 0), MATCH('Product Positioning'!H$1, 'Additional Product Info.'!$A$1:$C$1, 0))</f>
        <v>Front of Store</v>
      </c>
      <c r="I180" t="str">
        <f>INDEX('Additional Product Info.'!$A$1:$C$1001, MATCH('Product Positioning'!$A180, 'Additional Product Info.'!$A$1:$A$1001, 0), MATCH('Product Positioning'!I$1, 'Additional Product Info.'!$A$1:$C$1, 0))</f>
        <v>Clothing</v>
      </c>
      <c r="J180" t="str">
        <f>_xlfn.XLOOKUP(A180, $A$1:$A$1001, 'Additional Product Info.'!$D$1:$D$1001)</f>
        <v>No</v>
      </c>
      <c r="K180" s="1">
        <f t="shared" si="4"/>
        <v>65364.73</v>
      </c>
      <c r="L180" s="1">
        <f t="shared" si="5"/>
        <v>0.51999999999999957</v>
      </c>
      <c r="M180" t="str">
        <f>IF(L180&lt;=Statistics!$E$6,"Low Difference",IF('Product Positioning'!L180&gt;=Statistics!$E$4,"High Difference","Moderate Difference"))</f>
        <v>Low Difference</v>
      </c>
    </row>
    <row r="181" spans="1:13" x14ac:dyDescent="0.2">
      <c r="A181">
        <v>135521</v>
      </c>
      <c r="B181" s="1">
        <v>5.38</v>
      </c>
      <c r="C181" s="1">
        <v>1.63</v>
      </c>
      <c r="D181">
        <v>2835</v>
      </c>
      <c r="E181" t="str">
        <f>_xlfn.XLOOKUP(A181, 'Customer Information'!$A$1:$A$1001, 'Customer Information'!$B$1:$B$1001)</f>
        <v>Medium</v>
      </c>
      <c r="F181" t="str">
        <f>_xlfn.XLOOKUP(A181, 'Customer Information'!$A$1:$A$1001, 'Customer Information'!$C$1:$C$1001)</f>
        <v>Young adults</v>
      </c>
      <c r="G181" t="str">
        <f>_xlfn.XLOOKUP('Customer Information'!A181, 'Customer Information'!$A$1:$A$1001, 'Customer Information'!$D$1:$D$1001)</f>
        <v>No</v>
      </c>
      <c r="H181" t="str">
        <f>INDEX('Additional Product Info.'!$A$1:$C$1001, MATCH('Product Positioning'!$A181, 'Additional Product Info.'!$A$1:$A$1001, 0), MATCH('Product Positioning'!H$1, 'Additional Product Info.'!$A$1:$C$1, 0))</f>
        <v>End-cap</v>
      </c>
      <c r="I181" t="str">
        <f>INDEX('Additional Product Info.'!$A$1:$C$1001, MATCH('Product Positioning'!$A181, 'Additional Product Info.'!$A$1:$A$1001, 0), MATCH('Product Positioning'!I$1, 'Additional Product Info.'!$A$1:$C$1, 0))</f>
        <v>Electronics</v>
      </c>
      <c r="J181" t="str">
        <f>_xlfn.XLOOKUP(A181, $A$1:$A$1001, 'Additional Product Info.'!$D$1:$D$1001)</f>
        <v>Yes</v>
      </c>
      <c r="K181" s="1">
        <f t="shared" si="4"/>
        <v>15252.3</v>
      </c>
      <c r="L181" s="1">
        <f t="shared" si="5"/>
        <v>3.75</v>
      </c>
      <c r="M181" t="str">
        <f>IF(L181&lt;=Statistics!$E$6,"Low Difference",IF('Product Positioning'!L181&gt;=Statistics!$E$4,"High Difference","Moderate Difference"))</f>
        <v>High Difference</v>
      </c>
    </row>
    <row r="182" spans="1:13" x14ac:dyDescent="0.2">
      <c r="A182">
        <v>185809</v>
      </c>
      <c r="B182" s="1">
        <v>47.3</v>
      </c>
      <c r="C182" s="1">
        <v>46.34</v>
      </c>
      <c r="D182">
        <v>622</v>
      </c>
      <c r="E182" t="str">
        <f>_xlfn.XLOOKUP(A182, 'Customer Information'!$A$1:$A$1001, 'Customer Information'!$B$1:$B$1001)</f>
        <v>High</v>
      </c>
      <c r="F182" t="str">
        <f>_xlfn.XLOOKUP(A182, 'Customer Information'!$A$1:$A$1001, 'Customer Information'!$C$1:$C$1001)</f>
        <v>Families</v>
      </c>
      <c r="G182" t="str">
        <f>_xlfn.XLOOKUP('Customer Information'!A182, 'Customer Information'!$A$1:$A$1001, 'Customer Information'!$D$1:$D$1001)</f>
        <v>No</v>
      </c>
      <c r="H182" t="str">
        <f>INDEX('Additional Product Info.'!$A$1:$C$1001, MATCH('Product Positioning'!$A182, 'Additional Product Info.'!$A$1:$A$1001, 0), MATCH('Product Positioning'!H$1, 'Additional Product Info.'!$A$1:$C$1, 0))</f>
        <v>End-cap</v>
      </c>
      <c r="I182" t="str">
        <f>INDEX('Additional Product Info.'!$A$1:$C$1001, MATCH('Product Positioning'!$A182, 'Additional Product Info.'!$A$1:$A$1001, 0), MATCH('Product Positioning'!I$1, 'Additional Product Info.'!$A$1:$C$1, 0))</f>
        <v>Electronics</v>
      </c>
      <c r="J182" t="str">
        <f>_xlfn.XLOOKUP(A182, $A$1:$A$1001, 'Additional Product Info.'!$D$1:$D$1001)</f>
        <v>No</v>
      </c>
      <c r="K182" s="1">
        <f t="shared" si="4"/>
        <v>29420.6</v>
      </c>
      <c r="L182" s="1">
        <f t="shared" si="5"/>
        <v>0.95999999999999375</v>
      </c>
      <c r="M182" t="str">
        <f>IF(L182&lt;=Statistics!$E$6,"Low Difference",IF('Product Positioning'!L182&gt;=Statistics!$E$4,"High Difference","Moderate Difference"))</f>
        <v>Low Difference</v>
      </c>
    </row>
    <row r="183" spans="1:13" x14ac:dyDescent="0.2">
      <c r="A183">
        <v>171520</v>
      </c>
      <c r="B183" s="1">
        <v>30.02</v>
      </c>
      <c r="C183" s="1">
        <v>28.02</v>
      </c>
      <c r="D183">
        <v>2901</v>
      </c>
      <c r="E183" t="str">
        <f>_xlfn.XLOOKUP(A183, 'Customer Information'!$A$1:$A$1001, 'Customer Information'!$B$1:$B$1001)</f>
        <v>Low</v>
      </c>
      <c r="F183" t="str">
        <f>_xlfn.XLOOKUP(A183, 'Customer Information'!$A$1:$A$1001, 'Customer Information'!$C$1:$C$1001)</f>
        <v>Families</v>
      </c>
      <c r="G183" t="str">
        <f>_xlfn.XLOOKUP('Customer Information'!A183, 'Customer Information'!$A$1:$A$1001, 'Customer Information'!$D$1:$D$1001)</f>
        <v>Yes</v>
      </c>
      <c r="H183" t="str">
        <f>INDEX('Additional Product Info.'!$A$1:$C$1001, MATCH('Product Positioning'!$A183, 'Additional Product Info.'!$A$1:$A$1001, 0), MATCH('Product Positioning'!H$1, 'Additional Product Info.'!$A$1:$C$1, 0))</f>
        <v>End-cap</v>
      </c>
      <c r="I183" t="str">
        <f>INDEX('Additional Product Info.'!$A$1:$C$1001, MATCH('Product Positioning'!$A183, 'Additional Product Info.'!$A$1:$A$1001, 0), MATCH('Product Positioning'!I$1, 'Additional Product Info.'!$A$1:$C$1, 0))</f>
        <v>Electronics</v>
      </c>
      <c r="J183" t="str">
        <f>_xlfn.XLOOKUP(A183, $A$1:$A$1001, 'Additional Product Info.'!$D$1:$D$1001)</f>
        <v>Yes</v>
      </c>
      <c r="K183" s="1">
        <f t="shared" si="4"/>
        <v>87088.02</v>
      </c>
      <c r="L183" s="1">
        <f t="shared" si="5"/>
        <v>2</v>
      </c>
      <c r="M183" t="str">
        <f>IF(L183&lt;=Statistics!$E$6,"Low Difference",IF('Product Positioning'!L183&gt;=Statistics!$E$4,"High Difference","Moderate Difference"))</f>
        <v>Moderate Difference</v>
      </c>
    </row>
    <row r="184" spans="1:13" x14ac:dyDescent="0.2">
      <c r="A184">
        <v>122926</v>
      </c>
      <c r="B184" s="1">
        <v>31.05</v>
      </c>
      <c r="C184" s="1">
        <v>27.1</v>
      </c>
      <c r="D184">
        <v>867</v>
      </c>
      <c r="E184" t="str">
        <f>_xlfn.XLOOKUP(A184, 'Customer Information'!$A$1:$A$1001, 'Customer Information'!$B$1:$B$1001)</f>
        <v>Low</v>
      </c>
      <c r="F184" t="str">
        <f>_xlfn.XLOOKUP(A184, 'Customer Information'!$A$1:$A$1001, 'Customer Information'!$C$1:$C$1001)</f>
        <v>Young adults</v>
      </c>
      <c r="G184" t="str">
        <f>_xlfn.XLOOKUP('Customer Information'!A184, 'Customer Information'!$A$1:$A$1001, 'Customer Information'!$D$1:$D$1001)</f>
        <v>No</v>
      </c>
      <c r="H184" t="str">
        <f>INDEX('Additional Product Info.'!$A$1:$C$1001, MATCH('Product Positioning'!$A184, 'Additional Product Info.'!$A$1:$A$1001, 0), MATCH('Product Positioning'!H$1, 'Additional Product Info.'!$A$1:$C$1, 0))</f>
        <v>End-cap</v>
      </c>
      <c r="I184" t="str">
        <f>INDEX('Additional Product Info.'!$A$1:$C$1001, MATCH('Product Positioning'!$A184, 'Additional Product Info.'!$A$1:$A$1001, 0), MATCH('Product Positioning'!I$1, 'Additional Product Info.'!$A$1:$C$1, 0))</f>
        <v>Food</v>
      </c>
      <c r="J184" t="str">
        <f>_xlfn.XLOOKUP(A184, $A$1:$A$1001, 'Additional Product Info.'!$D$1:$D$1001)</f>
        <v>No</v>
      </c>
      <c r="K184" s="1">
        <f t="shared" si="4"/>
        <v>26920.350000000002</v>
      </c>
      <c r="L184" s="1">
        <f t="shared" si="5"/>
        <v>3.9499999999999993</v>
      </c>
      <c r="M184" t="str">
        <f>IF(L184&lt;=Statistics!$E$6,"Low Difference",IF('Product Positioning'!L184&gt;=Statistics!$E$4,"High Difference","Moderate Difference"))</f>
        <v>High Difference</v>
      </c>
    </row>
    <row r="185" spans="1:13" x14ac:dyDescent="0.2">
      <c r="A185">
        <v>150953</v>
      </c>
      <c r="B185" s="1">
        <v>48.14</v>
      </c>
      <c r="C185" s="1">
        <v>47.6</v>
      </c>
      <c r="D185">
        <v>2434</v>
      </c>
      <c r="E185" t="str">
        <f>_xlfn.XLOOKUP(A185, 'Customer Information'!$A$1:$A$1001, 'Customer Information'!$B$1:$B$1001)</f>
        <v>Low</v>
      </c>
      <c r="F185" t="str">
        <f>_xlfn.XLOOKUP(A185, 'Customer Information'!$A$1:$A$1001, 'Customer Information'!$C$1:$C$1001)</f>
        <v>Young adults</v>
      </c>
      <c r="G185" t="str">
        <f>_xlfn.XLOOKUP('Customer Information'!A185, 'Customer Information'!$A$1:$A$1001, 'Customer Information'!$D$1:$D$1001)</f>
        <v>Yes</v>
      </c>
      <c r="H185" t="str">
        <f>INDEX('Additional Product Info.'!$A$1:$C$1001, MATCH('Product Positioning'!$A185, 'Additional Product Info.'!$A$1:$A$1001, 0), MATCH('Product Positioning'!H$1, 'Additional Product Info.'!$A$1:$C$1, 0))</f>
        <v>Front of Store</v>
      </c>
      <c r="I185" t="str">
        <f>INDEX('Additional Product Info.'!$A$1:$C$1001, MATCH('Product Positioning'!$A185, 'Additional Product Info.'!$A$1:$A$1001, 0), MATCH('Product Positioning'!I$1, 'Additional Product Info.'!$A$1:$C$1, 0))</f>
        <v>Food</v>
      </c>
      <c r="J185" t="str">
        <f>_xlfn.XLOOKUP(A185, $A$1:$A$1001, 'Additional Product Info.'!$D$1:$D$1001)</f>
        <v>Yes</v>
      </c>
      <c r="K185" s="1">
        <f t="shared" si="4"/>
        <v>117172.76</v>
      </c>
      <c r="L185" s="1">
        <f t="shared" si="5"/>
        <v>0.53999999999999915</v>
      </c>
      <c r="M185" t="str">
        <f>IF(L185&lt;=Statistics!$E$6,"Low Difference",IF('Product Positioning'!L185&gt;=Statistics!$E$4,"High Difference","Moderate Difference"))</f>
        <v>Low Difference</v>
      </c>
    </row>
    <row r="186" spans="1:13" x14ac:dyDescent="0.2">
      <c r="A186">
        <v>115873</v>
      </c>
      <c r="B186" s="1">
        <v>43.99</v>
      </c>
      <c r="C186" s="1">
        <v>39.08</v>
      </c>
      <c r="D186">
        <v>2606</v>
      </c>
      <c r="E186" t="str">
        <f>_xlfn.XLOOKUP(A186, 'Customer Information'!$A$1:$A$1001, 'Customer Information'!$B$1:$B$1001)</f>
        <v>High</v>
      </c>
      <c r="F186" t="str">
        <f>_xlfn.XLOOKUP(A186, 'Customer Information'!$A$1:$A$1001, 'Customer Information'!$C$1:$C$1001)</f>
        <v>Seniors</v>
      </c>
      <c r="G186" t="str">
        <f>_xlfn.XLOOKUP('Customer Information'!A186, 'Customer Information'!$A$1:$A$1001, 'Customer Information'!$D$1:$D$1001)</f>
        <v>Yes</v>
      </c>
      <c r="H186" t="str">
        <f>INDEX('Additional Product Info.'!$A$1:$C$1001, MATCH('Product Positioning'!$A186, 'Additional Product Info.'!$A$1:$A$1001, 0), MATCH('Product Positioning'!H$1, 'Additional Product Info.'!$A$1:$C$1, 0))</f>
        <v>End-cap</v>
      </c>
      <c r="I186" t="str">
        <f>INDEX('Additional Product Info.'!$A$1:$C$1001, MATCH('Product Positioning'!$A186, 'Additional Product Info.'!$A$1:$A$1001, 0), MATCH('Product Positioning'!I$1, 'Additional Product Info.'!$A$1:$C$1, 0))</f>
        <v>Electronics</v>
      </c>
      <c r="J186" t="str">
        <f>_xlfn.XLOOKUP(A186, $A$1:$A$1001, 'Additional Product Info.'!$D$1:$D$1001)</f>
        <v>Yes</v>
      </c>
      <c r="K186" s="1">
        <f t="shared" si="4"/>
        <v>114637.94</v>
      </c>
      <c r="L186" s="1">
        <f t="shared" si="5"/>
        <v>4.9100000000000037</v>
      </c>
      <c r="M186" t="str">
        <f>IF(L186&lt;=Statistics!$E$6,"Low Difference",IF('Product Positioning'!L186&gt;=Statistics!$E$4,"High Difference","Moderate Difference"))</f>
        <v>High Difference</v>
      </c>
    </row>
    <row r="187" spans="1:13" x14ac:dyDescent="0.2">
      <c r="A187">
        <v>115581</v>
      </c>
      <c r="B187" s="1">
        <v>48.63</v>
      </c>
      <c r="C187" s="1">
        <v>46.11</v>
      </c>
      <c r="D187">
        <v>2728</v>
      </c>
      <c r="E187" t="str">
        <f>_xlfn.XLOOKUP(A187, 'Customer Information'!$A$1:$A$1001, 'Customer Information'!$B$1:$B$1001)</f>
        <v>Medium</v>
      </c>
      <c r="F187" t="str">
        <f>_xlfn.XLOOKUP(A187, 'Customer Information'!$A$1:$A$1001, 'Customer Information'!$C$1:$C$1001)</f>
        <v>College students</v>
      </c>
      <c r="G187" t="str">
        <f>_xlfn.XLOOKUP('Customer Information'!A187, 'Customer Information'!$A$1:$A$1001, 'Customer Information'!$D$1:$D$1001)</f>
        <v>No</v>
      </c>
      <c r="H187" t="str">
        <f>INDEX('Additional Product Info.'!$A$1:$C$1001, MATCH('Product Positioning'!$A187, 'Additional Product Info.'!$A$1:$A$1001, 0), MATCH('Product Positioning'!H$1, 'Additional Product Info.'!$A$1:$C$1, 0))</f>
        <v>Aisle</v>
      </c>
      <c r="I187" t="str">
        <f>INDEX('Additional Product Info.'!$A$1:$C$1001, MATCH('Product Positioning'!$A187, 'Additional Product Info.'!$A$1:$A$1001, 0), MATCH('Product Positioning'!I$1, 'Additional Product Info.'!$A$1:$C$1, 0))</f>
        <v>Clothing</v>
      </c>
      <c r="J187" t="str">
        <f>_xlfn.XLOOKUP(A187, $A$1:$A$1001, 'Additional Product Info.'!$D$1:$D$1001)</f>
        <v>Yes</v>
      </c>
      <c r="K187" s="1">
        <f t="shared" si="4"/>
        <v>132662.64000000001</v>
      </c>
      <c r="L187" s="1">
        <f t="shared" si="5"/>
        <v>2.5200000000000031</v>
      </c>
      <c r="M187" t="str">
        <f>IF(L187&lt;=Statistics!$E$6,"Low Difference",IF('Product Positioning'!L187&gt;=Statistics!$E$4,"High Difference","Moderate Difference"))</f>
        <v>Moderate Difference</v>
      </c>
    </row>
    <row r="188" spans="1:13" x14ac:dyDescent="0.2">
      <c r="A188">
        <v>183634</v>
      </c>
      <c r="B188" s="1">
        <v>25.95</v>
      </c>
      <c r="C188" s="1">
        <v>21.98</v>
      </c>
      <c r="D188">
        <v>2778</v>
      </c>
      <c r="E188" t="str">
        <f>_xlfn.XLOOKUP(A188, 'Customer Information'!$A$1:$A$1001, 'Customer Information'!$B$1:$B$1001)</f>
        <v>Medium</v>
      </c>
      <c r="F188" t="str">
        <f>_xlfn.XLOOKUP(A188, 'Customer Information'!$A$1:$A$1001, 'Customer Information'!$C$1:$C$1001)</f>
        <v>Seniors</v>
      </c>
      <c r="G188" t="str">
        <f>_xlfn.XLOOKUP('Customer Information'!A188, 'Customer Information'!$A$1:$A$1001, 'Customer Information'!$D$1:$D$1001)</f>
        <v>Yes</v>
      </c>
      <c r="H188" t="str">
        <f>INDEX('Additional Product Info.'!$A$1:$C$1001, MATCH('Product Positioning'!$A188, 'Additional Product Info.'!$A$1:$A$1001, 0), MATCH('Product Positioning'!H$1, 'Additional Product Info.'!$A$1:$C$1, 0))</f>
        <v>Front of Store</v>
      </c>
      <c r="I188" t="str">
        <f>INDEX('Additional Product Info.'!$A$1:$C$1001, MATCH('Product Positioning'!$A188, 'Additional Product Info.'!$A$1:$A$1001, 0), MATCH('Product Positioning'!I$1, 'Additional Product Info.'!$A$1:$C$1, 0))</f>
        <v>Clothing</v>
      </c>
      <c r="J188" t="str">
        <f>_xlfn.XLOOKUP(A188, $A$1:$A$1001, 'Additional Product Info.'!$D$1:$D$1001)</f>
        <v>Yes</v>
      </c>
      <c r="K188" s="1">
        <f t="shared" si="4"/>
        <v>72089.099999999991</v>
      </c>
      <c r="L188" s="1">
        <f t="shared" si="5"/>
        <v>3.9699999999999989</v>
      </c>
      <c r="M188" t="str">
        <f>IF(L188&lt;=Statistics!$E$6,"Low Difference",IF('Product Positioning'!L188&gt;=Statistics!$E$4,"High Difference","Moderate Difference"))</f>
        <v>High Difference</v>
      </c>
    </row>
    <row r="189" spans="1:13" x14ac:dyDescent="0.2">
      <c r="A189">
        <v>122484</v>
      </c>
      <c r="B189" s="1">
        <v>21.73</v>
      </c>
      <c r="C189" s="1">
        <v>16.98</v>
      </c>
      <c r="D189">
        <v>558</v>
      </c>
      <c r="E189" t="str">
        <f>_xlfn.XLOOKUP(A189, 'Customer Information'!$A$1:$A$1001, 'Customer Information'!$B$1:$B$1001)</f>
        <v>High</v>
      </c>
      <c r="F189" t="str">
        <f>_xlfn.XLOOKUP(A189, 'Customer Information'!$A$1:$A$1001, 'Customer Information'!$C$1:$C$1001)</f>
        <v>College students</v>
      </c>
      <c r="G189" t="str">
        <f>_xlfn.XLOOKUP('Customer Information'!A189, 'Customer Information'!$A$1:$A$1001, 'Customer Information'!$D$1:$D$1001)</f>
        <v>Yes</v>
      </c>
      <c r="H189" t="str">
        <f>INDEX('Additional Product Info.'!$A$1:$C$1001, MATCH('Product Positioning'!$A189, 'Additional Product Info.'!$A$1:$A$1001, 0), MATCH('Product Positioning'!H$1, 'Additional Product Info.'!$A$1:$C$1, 0))</f>
        <v>Aisle</v>
      </c>
      <c r="I189" t="str">
        <f>INDEX('Additional Product Info.'!$A$1:$C$1001, MATCH('Product Positioning'!$A189, 'Additional Product Info.'!$A$1:$A$1001, 0), MATCH('Product Positioning'!I$1, 'Additional Product Info.'!$A$1:$C$1, 0))</f>
        <v>Food</v>
      </c>
      <c r="J189" t="str">
        <f>_xlfn.XLOOKUP(A189, $A$1:$A$1001, 'Additional Product Info.'!$D$1:$D$1001)</f>
        <v>Yes</v>
      </c>
      <c r="K189" s="1">
        <f t="shared" si="4"/>
        <v>12125.34</v>
      </c>
      <c r="L189" s="1">
        <f t="shared" si="5"/>
        <v>4.75</v>
      </c>
      <c r="M189" t="str">
        <f>IF(L189&lt;=Statistics!$E$6,"Low Difference",IF('Product Positioning'!L189&gt;=Statistics!$E$4,"High Difference","Moderate Difference"))</f>
        <v>High Difference</v>
      </c>
    </row>
    <row r="190" spans="1:13" x14ac:dyDescent="0.2">
      <c r="A190">
        <v>183574</v>
      </c>
      <c r="B190" s="1">
        <v>19</v>
      </c>
      <c r="C190" s="1">
        <v>14.94</v>
      </c>
      <c r="D190">
        <v>1752</v>
      </c>
      <c r="E190" t="str">
        <f>_xlfn.XLOOKUP(A190, 'Customer Information'!$A$1:$A$1001, 'Customer Information'!$B$1:$B$1001)</f>
        <v>High</v>
      </c>
      <c r="F190" t="str">
        <f>_xlfn.XLOOKUP(A190, 'Customer Information'!$A$1:$A$1001, 'Customer Information'!$C$1:$C$1001)</f>
        <v>College students</v>
      </c>
      <c r="G190" t="str">
        <f>_xlfn.XLOOKUP('Customer Information'!A190, 'Customer Information'!$A$1:$A$1001, 'Customer Information'!$D$1:$D$1001)</f>
        <v>Yes</v>
      </c>
      <c r="H190" t="str">
        <f>INDEX('Additional Product Info.'!$A$1:$C$1001, MATCH('Product Positioning'!$A190, 'Additional Product Info.'!$A$1:$A$1001, 0), MATCH('Product Positioning'!H$1, 'Additional Product Info.'!$A$1:$C$1, 0))</f>
        <v>Aisle</v>
      </c>
      <c r="I190" t="str">
        <f>INDEX('Additional Product Info.'!$A$1:$C$1001, MATCH('Product Positioning'!$A190, 'Additional Product Info.'!$A$1:$A$1001, 0), MATCH('Product Positioning'!I$1, 'Additional Product Info.'!$A$1:$C$1, 0))</f>
        <v>Electronics</v>
      </c>
      <c r="J190" t="str">
        <f>_xlfn.XLOOKUP(A190, $A$1:$A$1001, 'Additional Product Info.'!$D$1:$D$1001)</f>
        <v>Yes</v>
      </c>
      <c r="K190" s="1">
        <f t="shared" si="4"/>
        <v>33288</v>
      </c>
      <c r="L190" s="1">
        <f t="shared" si="5"/>
        <v>4.0600000000000005</v>
      </c>
      <c r="M190" t="str">
        <f>IF(L190&lt;=Statistics!$E$6,"Low Difference",IF('Product Positioning'!L190&gt;=Statistics!$E$4,"High Difference","Moderate Difference"))</f>
        <v>High Difference</v>
      </c>
    </row>
    <row r="191" spans="1:13" x14ac:dyDescent="0.2">
      <c r="A191">
        <v>185307</v>
      </c>
      <c r="B191" s="1">
        <v>41.4</v>
      </c>
      <c r="C191" s="1">
        <v>39.950000000000003</v>
      </c>
      <c r="D191">
        <v>2743</v>
      </c>
      <c r="E191" t="str">
        <f>_xlfn.XLOOKUP(A191, 'Customer Information'!$A$1:$A$1001, 'Customer Information'!$B$1:$B$1001)</f>
        <v>High</v>
      </c>
      <c r="F191" t="str">
        <f>_xlfn.XLOOKUP(A191, 'Customer Information'!$A$1:$A$1001, 'Customer Information'!$C$1:$C$1001)</f>
        <v>Families</v>
      </c>
      <c r="G191" t="str">
        <f>_xlfn.XLOOKUP('Customer Information'!A191, 'Customer Information'!$A$1:$A$1001, 'Customer Information'!$D$1:$D$1001)</f>
        <v>No</v>
      </c>
      <c r="H191" t="str">
        <f>INDEX('Additional Product Info.'!$A$1:$C$1001, MATCH('Product Positioning'!$A191, 'Additional Product Info.'!$A$1:$A$1001, 0), MATCH('Product Positioning'!H$1, 'Additional Product Info.'!$A$1:$C$1, 0))</f>
        <v>Front of Store</v>
      </c>
      <c r="I191" t="str">
        <f>INDEX('Additional Product Info.'!$A$1:$C$1001, MATCH('Product Positioning'!$A191, 'Additional Product Info.'!$A$1:$A$1001, 0), MATCH('Product Positioning'!I$1, 'Additional Product Info.'!$A$1:$C$1, 0))</f>
        <v>Clothing</v>
      </c>
      <c r="J191" t="str">
        <f>_xlfn.XLOOKUP(A191, $A$1:$A$1001, 'Additional Product Info.'!$D$1:$D$1001)</f>
        <v>Yes</v>
      </c>
      <c r="K191" s="1">
        <f t="shared" si="4"/>
        <v>113560.2</v>
      </c>
      <c r="L191" s="1">
        <f t="shared" si="5"/>
        <v>1.4499999999999957</v>
      </c>
      <c r="M191" t="str">
        <f>IF(L191&lt;=Statistics!$E$6,"Low Difference",IF('Product Positioning'!L191&gt;=Statistics!$E$4,"High Difference","Moderate Difference"))</f>
        <v>Moderate Difference</v>
      </c>
    </row>
    <row r="192" spans="1:13" x14ac:dyDescent="0.2">
      <c r="A192">
        <v>118719</v>
      </c>
      <c r="B192" s="1">
        <v>31.62</v>
      </c>
      <c r="C192" s="1">
        <v>27.6</v>
      </c>
      <c r="D192">
        <v>1669</v>
      </c>
      <c r="E192" t="str">
        <f>_xlfn.XLOOKUP(A192, 'Customer Information'!$A$1:$A$1001, 'Customer Information'!$B$1:$B$1001)</f>
        <v>Medium</v>
      </c>
      <c r="F192" t="str">
        <f>_xlfn.XLOOKUP(A192, 'Customer Information'!$A$1:$A$1001, 'Customer Information'!$C$1:$C$1001)</f>
        <v>College students</v>
      </c>
      <c r="G192" t="str">
        <f>_xlfn.XLOOKUP('Customer Information'!A192, 'Customer Information'!$A$1:$A$1001, 'Customer Information'!$D$1:$D$1001)</f>
        <v>No</v>
      </c>
      <c r="H192" t="str">
        <f>INDEX('Additional Product Info.'!$A$1:$C$1001, MATCH('Product Positioning'!$A192, 'Additional Product Info.'!$A$1:$A$1001, 0), MATCH('Product Positioning'!H$1, 'Additional Product Info.'!$A$1:$C$1, 0))</f>
        <v>End-cap</v>
      </c>
      <c r="I192" t="str">
        <f>INDEX('Additional Product Info.'!$A$1:$C$1001, MATCH('Product Positioning'!$A192, 'Additional Product Info.'!$A$1:$A$1001, 0), MATCH('Product Positioning'!I$1, 'Additional Product Info.'!$A$1:$C$1, 0))</f>
        <v>Food</v>
      </c>
      <c r="J192" t="str">
        <f>_xlfn.XLOOKUP(A192, $A$1:$A$1001, 'Additional Product Info.'!$D$1:$D$1001)</f>
        <v>Yes</v>
      </c>
      <c r="K192" s="1">
        <f t="shared" si="4"/>
        <v>52773.78</v>
      </c>
      <c r="L192" s="1">
        <f t="shared" si="5"/>
        <v>4.0199999999999996</v>
      </c>
      <c r="M192" t="str">
        <f>IF(L192&lt;=Statistics!$E$6,"Low Difference",IF('Product Positioning'!L192&gt;=Statistics!$E$4,"High Difference","Moderate Difference"))</f>
        <v>High Difference</v>
      </c>
    </row>
    <row r="193" spans="1:13" x14ac:dyDescent="0.2">
      <c r="A193">
        <v>134788</v>
      </c>
      <c r="B193" s="1">
        <v>36.11</v>
      </c>
      <c r="C193" s="1">
        <v>34.17</v>
      </c>
      <c r="D193">
        <v>2179</v>
      </c>
      <c r="E193" t="str">
        <f>_xlfn.XLOOKUP(A193, 'Customer Information'!$A$1:$A$1001, 'Customer Information'!$B$1:$B$1001)</f>
        <v>High</v>
      </c>
      <c r="F193" t="str">
        <f>_xlfn.XLOOKUP(A193, 'Customer Information'!$A$1:$A$1001, 'Customer Information'!$C$1:$C$1001)</f>
        <v>College students</v>
      </c>
      <c r="G193" t="str">
        <f>_xlfn.XLOOKUP('Customer Information'!A193, 'Customer Information'!$A$1:$A$1001, 'Customer Information'!$D$1:$D$1001)</f>
        <v>No</v>
      </c>
      <c r="H193" t="str">
        <f>INDEX('Additional Product Info.'!$A$1:$C$1001, MATCH('Product Positioning'!$A193, 'Additional Product Info.'!$A$1:$A$1001, 0), MATCH('Product Positioning'!H$1, 'Additional Product Info.'!$A$1:$C$1, 0))</f>
        <v>Front of Store</v>
      </c>
      <c r="I193" t="str">
        <f>INDEX('Additional Product Info.'!$A$1:$C$1001, MATCH('Product Positioning'!$A193, 'Additional Product Info.'!$A$1:$A$1001, 0), MATCH('Product Positioning'!I$1, 'Additional Product Info.'!$A$1:$C$1, 0))</f>
        <v>Food</v>
      </c>
      <c r="J193" t="str">
        <f>_xlfn.XLOOKUP(A193, $A$1:$A$1001, 'Additional Product Info.'!$D$1:$D$1001)</f>
        <v>No</v>
      </c>
      <c r="K193" s="1">
        <f t="shared" si="4"/>
        <v>78683.69</v>
      </c>
      <c r="L193" s="1">
        <f t="shared" si="5"/>
        <v>1.9399999999999977</v>
      </c>
      <c r="M193" t="str">
        <f>IF(L193&lt;=Statistics!$E$6,"Low Difference",IF('Product Positioning'!L193&gt;=Statistics!$E$4,"High Difference","Moderate Difference"))</f>
        <v>Moderate Difference</v>
      </c>
    </row>
    <row r="194" spans="1:13" x14ac:dyDescent="0.2">
      <c r="A194">
        <v>140142</v>
      </c>
      <c r="B194" s="1">
        <v>14.5</v>
      </c>
      <c r="C194" s="1">
        <v>13.62</v>
      </c>
      <c r="D194">
        <v>606</v>
      </c>
      <c r="E194" t="str">
        <f>_xlfn.XLOOKUP(A194, 'Customer Information'!$A$1:$A$1001, 'Customer Information'!$B$1:$B$1001)</f>
        <v>Medium</v>
      </c>
      <c r="F194" t="str">
        <f>_xlfn.XLOOKUP(A194, 'Customer Information'!$A$1:$A$1001, 'Customer Information'!$C$1:$C$1001)</f>
        <v>Young adults</v>
      </c>
      <c r="G194" t="str">
        <f>_xlfn.XLOOKUP('Customer Information'!A194, 'Customer Information'!$A$1:$A$1001, 'Customer Information'!$D$1:$D$1001)</f>
        <v>Yes</v>
      </c>
      <c r="H194" t="str">
        <f>INDEX('Additional Product Info.'!$A$1:$C$1001, MATCH('Product Positioning'!$A194, 'Additional Product Info.'!$A$1:$A$1001, 0), MATCH('Product Positioning'!H$1, 'Additional Product Info.'!$A$1:$C$1, 0))</f>
        <v>Front of Store</v>
      </c>
      <c r="I194" t="str">
        <f>INDEX('Additional Product Info.'!$A$1:$C$1001, MATCH('Product Positioning'!$A194, 'Additional Product Info.'!$A$1:$A$1001, 0), MATCH('Product Positioning'!I$1, 'Additional Product Info.'!$A$1:$C$1, 0))</f>
        <v>Food</v>
      </c>
      <c r="J194" t="str">
        <f>_xlfn.XLOOKUP(A194, $A$1:$A$1001, 'Additional Product Info.'!$D$1:$D$1001)</f>
        <v>No</v>
      </c>
      <c r="K194" s="1">
        <f t="shared" ref="K194:K257" si="6">B194*D194</f>
        <v>8787</v>
      </c>
      <c r="L194" s="1">
        <f t="shared" ref="L194:L257" si="7">ABS(B194-C194)</f>
        <v>0.88000000000000078</v>
      </c>
      <c r="M194" t="str">
        <f>IF(L194&lt;=Statistics!$E$6,"Low Difference",IF('Product Positioning'!L194&gt;=Statistics!$E$4,"High Difference","Moderate Difference"))</f>
        <v>Low Difference</v>
      </c>
    </row>
    <row r="195" spans="1:13" x14ac:dyDescent="0.2">
      <c r="A195">
        <v>153997</v>
      </c>
      <c r="B195" s="1">
        <v>15.27</v>
      </c>
      <c r="C195" s="1">
        <v>14.61</v>
      </c>
      <c r="D195">
        <v>1608</v>
      </c>
      <c r="E195" t="str">
        <f>_xlfn.XLOOKUP(A195, 'Customer Information'!$A$1:$A$1001, 'Customer Information'!$B$1:$B$1001)</f>
        <v>High</v>
      </c>
      <c r="F195" t="str">
        <f>_xlfn.XLOOKUP(A195, 'Customer Information'!$A$1:$A$1001, 'Customer Information'!$C$1:$C$1001)</f>
        <v>College students</v>
      </c>
      <c r="G195" t="str">
        <f>_xlfn.XLOOKUP('Customer Information'!A195, 'Customer Information'!$A$1:$A$1001, 'Customer Information'!$D$1:$D$1001)</f>
        <v>No</v>
      </c>
      <c r="H195" t="str">
        <f>INDEX('Additional Product Info.'!$A$1:$C$1001, MATCH('Product Positioning'!$A195, 'Additional Product Info.'!$A$1:$A$1001, 0), MATCH('Product Positioning'!H$1, 'Additional Product Info.'!$A$1:$C$1, 0))</f>
        <v>End-cap</v>
      </c>
      <c r="I195" t="str">
        <f>INDEX('Additional Product Info.'!$A$1:$C$1001, MATCH('Product Positioning'!$A195, 'Additional Product Info.'!$A$1:$A$1001, 0), MATCH('Product Positioning'!I$1, 'Additional Product Info.'!$A$1:$C$1, 0))</f>
        <v>Electronics</v>
      </c>
      <c r="J195" t="str">
        <f>_xlfn.XLOOKUP(A195, $A$1:$A$1001, 'Additional Product Info.'!$D$1:$D$1001)</f>
        <v>Yes</v>
      </c>
      <c r="K195" s="1">
        <f t="shared" si="6"/>
        <v>24554.16</v>
      </c>
      <c r="L195" s="1">
        <f t="shared" si="7"/>
        <v>0.66000000000000014</v>
      </c>
      <c r="M195" t="str">
        <f>IF(L195&lt;=Statistics!$E$6,"Low Difference",IF('Product Positioning'!L195&gt;=Statistics!$E$4,"High Difference","Moderate Difference"))</f>
        <v>Low Difference</v>
      </c>
    </row>
    <row r="196" spans="1:13" x14ac:dyDescent="0.2">
      <c r="A196">
        <v>123230</v>
      </c>
      <c r="B196" s="1">
        <v>16.59</v>
      </c>
      <c r="C196" s="1">
        <v>13.03</v>
      </c>
      <c r="D196">
        <v>880</v>
      </c>
      <c r="E196" t="str">
        <f>_xlfn.XLOOKUP(A196, 'Customer Information'!$A$1:$A$1001, 'Customer Information'!$B$1:$B$1001)</f>
        <v>Medium</v>
      </c>
      <c r="F196" t="str">
        <f>_xlfn.XLOOKUP(A196, 'Customer Information'!$A$1:$A$1001, 'Customer Information'!$C$1:$C$1001)</f>
        <v>Young adults</v>
      </c>
      <c r="G196" t="str">
        <f>_xlfn.XLOOKUP('Customer Information'!A196, 'Customer Information'!$A$1:$A$1001, 'Customer Information'!$D$1:$D$1001)</f>
        <v>No</v>
      </c>
      <c r="H196" t="str">
        <f>INDEX('Additional Product Info.'!$A$1:$C$1001, MATCH('Product Positioning'!$A196, 'Additional Product Info.'!$A$1:$A$1001, 0), MATCH('Product Positioning'!H$1, 'Additional Product Info.'!$A$1:$C$1, 0))</f>
        <v>Aisle</v>
      </c>
      <c r="I196" t="str">
        <f>INDEX('Additional Product Info.'!$A$1:$C$1001, MATCH('Product Positioning'!$A196, 'Additional Product Info.'!$A$1:$A$1001, 0), MATCH('Product Positioning'!I$1, 'Additional Product Info.'!$A$1:$C$1, 0))</f>
        <v>Clothing</v>
      </c>
      <c r="J196" t="str">
        <f>_xlfn.XLOOKUP(A196, $A$1:$A$1001, 'Additional Product Info.'!$D$1:$D$1001)</f>
        <v>Yes</v>
      </c>
      <c r="K196" s="1">
        <f t="shared" si="6"/>
        <v>14599.2</v>
      </c>
      <c r="L196" s="1">
        <f t="shared" si="7"/>
        <v>3.5600000000000005</v>
      </c>
      <c r="M196" t="str">
        <f>IF(L196&lt;=Statistics!$E$6,"Low Difference",IF('Product Positioning'!L196&gt;=Statistics!$E$4,"High Difference","Moderate Difference"))</f>
        <v>Moderate Difference</v>
      </c>
    </row>
    <row r="197" spans="1:13" x14ac:dyDescent="0.2">
      <c r="A197">
        <v>154676</v>
      </c>
      <c r="B197" s="1">
        <v>26.04</v>
      </c>
      <c r="C197" s="1">
        <v>23.26</v>
      </c>
      <c r="D197">
        <v>943</v>
      </c>
      <c r="E197" t="str">
        <f>_xlfn.XLOOKUP(A197, 'Customer Information'!$A$1:$A$1001, 'Customer Information'!$B$1:$B$1001)</f>
        <v>Low</v>
      </c>
      <c r="F197" t="str">
        <f>_xlfn.XLOOKUP(A197, 'Customer Information'!$A$1:$A$1001, 'Customer Information'!$C$1:$C$1001)</f>
        <v>College students</v>
      </c>
      <c r="G197" t="str">
        <f>_xlfn.XLOOKUP('Customer Information'!A197, 'Customer Information'!$A$1:$A$1001, 'Customer Information'!$D$1:$D$1001)</f>
        <v>No</v>
      </c>
      <c r="H197" t="str">
        <f>INDEX('Additional Product Info.'!$A$1:$C$1001, MATCH('Product Positioning'!$A197, 'Additional Product Info.'!$A$1:$A$1001, 0), MATCH('Product Positioning'!H$1, 'Additional Product Info.'!$A$1:$C$1, 0))</f>
        <v>Aisle</v>
      </c>
      <c r="I197" t="str">
        <f>INDEX('Additional Product Info.'!$A$1:$C$1001, MATCH('Product Positioning'!$A197, 'Additional Product Info.'!$A$1:$A$1001, 0), MATCH('Product Positioning'!I$1, 'Additional Product Info.'!$A$1:$C$1, 0))</f>
        <v>Electronics</v>
      </c>
      <c r="J197" t="str">
        <f>_xlfn.XLOOKUP(A197, $A$1:$A$1001, 'Additional Product Info.'!$D$1:$D$1001)</f>
        <v>No</v>
      </c>
      <c r="K197" s="1">
        <f t="shared" si="6"/>
        <v>24555.719999999998</v>
      </c>
      <c r="L197" s="1">
        <f t="shared" si="7"/>
        <v>2.7799999999999976</v>
      </c>
      <c r="M197" t="str">
        <f>IF(L197&lt;=Statistics!$E$6,"Low Difference",IF('Product Positioning'!L197&gt;=Statistics!$E$4,"High Difference","Moderate Difference"))</f>
        <v>Moderate Difference</v>
      </c>
    </row>
    <row r="198" spans="1:13" x14ac:dyDescent="0.2">
      <c r="A198">
        <v>152985</v>
      </c>
      <c r="B198" s="1">
        <v>6.25</v>
      </c>
      <c r="C198" s="1">
        <v>2.86</v>
      </c>
      <c r="D198">
        <v>1049</v>
      </c>
      <c r="E198" t="str">
        <f>_xlfn.XLOOKUP(A198, 'Customer Information'!$A$1:$A$1001, 'Customer Information'!$B$1:$B$1001)</f>
        <v>Medium</v>
      </c>
      <c r="F198" t="str">
        <f>_xlfn.XLOOKUP(A198, 'Customer Information'!$A$1:$A$1001, 'Customer Information'!$C$1:$C$1001)</f>
        <v>Seniors</v>
      </c>
      <c r="G198" t="str">
        <f>_xlfn.XLOOKUP('Customer Information'!A198, 'Customer Information'!$A$1:$A$1001, 'Customer Information'!$D$1:$D$1001)</f>
        <v>Yes</v>
      </c>
      <c r="H198" t="str">
        <f>INDEX('Additional Product Info.'!$A$1:$C$1001, MATCH('Product Positioning'!$A198, 'Additional Product Info.'!$A$1:$A$1001, 0), MATCH('Product Positioning'!H$1, 'Additional Product Info.'!$A$1:$C$1, 0))</f>
        <v>Aisle</v>
      </c>
      <c r="I198" t="str">
        <f>INDEX('Additional Product Info.'!$A$1:$C$1001, MATCH('Product Positioning'!$A198, 'Additional Product Info.'!$A$1:$A$1001, 0), MATCH('Product Positioning'!I$1, 'Additional Product Info.'!$A$1:$C$1, 0))</f>
        <v>Clothing</v>
      </c>
      <c r="J198" t="str">
        <f>_xlfn.XLOOKUP(A198, $A$1:$A$1001, 'Additional Product Info.'!$D$1:$D$1001)</f>
        <v>Yes</v>
      </c>
      <c r="K198" s="1">
        <f t="shared" si="6"/>
        <v>6556.25</v>
      </c>
      <c r="L198" s="1">
        <f t="shared" si="7"/>
        <v>3.39</v>
      </c>
      <c r="M198" t="str">
        <f>IF(L198&lt;=Statistics!$E$6,"Low Difference",IF('Product Positioning'!L198&gt;=Statistics!$E$4,"High Difference","Moderate Difference"))</f>
        <v>Moderate Difference</v>
      </c>
    </row>
    <row r="199" spans="1:13" x14ac:dyDescent="0.2">
      <c r="A199">
        <v>175584</v>
      </c>
      <c r="B199" s="1">
        <v>10.57</v>
      </c>
      <c r="C199" s="1">
        <v>8.5399999999999991</v>
      </c>
      <c r="D199">
        <v>2084</v>
      </c>
      <c r="E199" t="str">
        <f>_xlfn.XLOOKUP(A199, 'Customer Information'!$A$1:$A$1001, 'Customer Information'!$B$1:$B$1001)</f>
        <v>Low</v>
      </c>
      <c r="F199" t="str">
        <f>_xlfn.XLOOKUP(A199, 'Customer Information'!$A$1:$A$1001, 'Customer Information'!$C$1:$C$1001)</f>
        <v>Young adults</v>
      </c>
      <c r="G199" t="str">
        <f>_xlfn.XLOOKUP('Customer Information'!A199, 'Customer Information'!$A$1:$A$1001, 'Customer Information'!$D$1:$D$1001)</f>
        <v>No</v>
      </c>
      <c r="H199" t="str">
        <f>INDEX('Additional Product Info.'!$A$1:$C$1001, MATCH('Product Positioning'!$A199, 'Additional Product Info.'!$A$1:$A$1001, 0), MATCH('Product Positioning'!H$1, 'Additional Product Info.'!$A$1:$C$1, 0))</f>
        <v>Front of Store</v>
      </c>
      <c r="I199" t="str">
        <f>INDEX('Additional Product Info.'!$A$1:$C$1001, MATCH('Product Positioning'!$A199, 'Additional Product Info.'!$A$1:$A$1001, 0), MATCH('Product Positioning'!I$1, 'Additional Product Info.'!$A$1:$C$1, 0))</f>
        <v>Clothing</v>
      </c>
      <c r="J199" t="str">
        <f>_xlfn.XLOOKUP(A199, $A$1:$A$1001, 'Additional Product Info.'!$D$1:$D$1001)</f>
        <v>No</v>
      </c>
      <c r="K199" s="1">
        <f t="shared" si="6"/>
        <v>22027.88</v>
      </c>
      <c r="L199" s="1">
        <f t="shared" si="7"/>
        <v>2.0300000000000011</v>
      </c>
      <c r="M199" t="str">
        <f>IF(L199&lt;=Statistics!$E$6,"Low Difference",IF('Product Positioning'!L199&gt;=Statistics!$E$4,"High Difference","Moderate Difference"))</f>
        <v>Moderate Difference</v>
      </c>
    </row>
    <row r="200" spans="1:13" x14ac:dyDescent="0.2">
      <c r="A200">
        <v>147491</v>
      </c>
      <c r="B200" s="1">
        <v>20.09</v>
      </c>
      <c r="C200" s="1">
        <v>19.82</v>
      </c>
      <c r="D200">
        <v>1563</v>
      </c>
      <c r="E200" t="str">
        <f>_xlfn.XLOOKUP(A200, 'Customer Information'!$A$1:$A$1001, 'Customer Information'!$B$1:$B$1001)</f>
        <v>Medium</v>
      </c>
      <c r="F200" t="str">
        <f>_xlfn.XLOOKUP(A200, 'Customer Information'!$A$1:$A$1001, 'Customer Information'!$C$1:$C$1001)</f>
        <v>College students</v>
      </c>
      <c r="G200" t="str">
        <f>_xlfn.XLOOKUP('Customer Information'!A200, 'Customer Information'!$A$1:$A$1001, 'Customer Information'!$D$1:$D$1001)</f>
        <v>No</v>
      </c>
      <c r="H200" t="str">
        <f>INDEX('Additional Product Info.'!$A$1:$C$1001, MATCH('Product Positioning'!$A200, 'Additional Product Info.'!$A$1:$A$1001, 0), MATCH('Product Positioning'!H$1, 'Additional Product Info.'!$A$1:$C$1, 0))</f>
        <v>End-cap</v>
      </c>
      <c r="I200" t="str">
        <f>INDEX('Additional Product Info.'!$A$1:$C$1001, MATCH('Product Positioning'!$A200, 'Additional Product Info.'!$A$1:$A$1001, 0), MATCH('Product Positioning'!I$1, 'Additional Product Info.'!$A$1:$C$1, 0))</f>
        <v>Clothing</v>
      </c>
      <c r="J200" t="str">
        <f>_xlfn.XLOOKUP(A200, $A$1:$A$1001, 'Additional Product Info.'!$D$1:$D$1001)</f>
        <v>No</v>
      </c>
      <c r="K200" s="1">
        <f t="shared" si="6"/>
        <v>31400.67</v>
      </c>
      <c r="L200" s="1">
        <f t="shared" si="7"/>
        <v>0.26999999999999957</v>
      </c>
      <c r="M200" t="str">
        <f>IF(L200&lt;=Statistics!$E$6,"Low Difference",IF('Product Positioning'!L200&gt;=Statistics!$E$4,"High Difference","Moderate Difference"))</f>
        <v>Low Difference</v>
      </c>
    </row>
    <row r="201" spans="1:13" x14ac:dyDescent="0.2">
      <c r="A201">
        <v>198283</v>
      </c>
      <c r="B201" s="1">
        <v>25.15</v>
      </c>
      <c r="C201" s="1">
        <v>20.84</v>
      </c>
      <c r="D201">
        <v>1558</v>
      </c>
      <c r="E201" t="str">
        <f>_xlfn.XLOOKUP(A201, 'Customer Information'!$A$1:$A$1001, 'Customer Information'!$B$1:$B$1001)</f>
        <v>Medium</v>
      </c>
      <c r="F201" t="str">
        <f>_xlfn.XLOOKUP(A201, 'Customer Information'!$A$1:$A$1001, 'Customer Information'!$C$1:$C$1001)</f>
        <v>Seniors</v>
      </c>
      <c r="G201" t="str">
        <f>_xlfn.XLOOKUP('Customer Information'!A201, 'Customer Information'!$A$1:$A$1001, 'Customer Information'!$D$1:$D$1001)</f>
        <v>Yes</v>
      </c>
      <c r="H201" t="str">
        <f>INDEX('Additional Product Info.'!$A$1:$C$1001, MATCH('Product Positioning'!$A201, 'Additional Product Info.'!$A$1:$A$1001, 0), MATCH('Product Positioning'!H$1, 'Additional Product Info.'!$A$1:$C$1, 0))</f>
        <v>End-cap</v>
      </c>
      <c r="I201" t="str">
        <f>INDEX('Additional Product Info.'!$A$1:$C$1001, MATCH('Product Positioning'!$A201, 'Additional Product Info.'!$A$1:$A$1001, 0), MATCH('Product Positioning'!I$1, 'Additional Product Info.'!$A$1:$C$1, 0))</f>
        <v>Food</v>
      </c>
      <c r="J201" t="str">
        <f>_xlfn.XLOOKUP(A201, $A$1:$A$1001, 'Additional Product Info.'!$D$1:$D$1001)</f>
        <v>Yes</v>
      </c>
      <c r="K201" s="1">
        <f t="shared" si="6"/>
        <v>39183.699999999997</v>
      </c>
      <c r="L201" s="1">
        <f t="shared" si="7"/>
        <v>4.3099999999999987</v>
      </c>
      <c r="M201" t="str">
        <f>IF(L201&lt;=Statistics!$E$6,"Low Difference",IF('Product Positioning'!L201&gt;=Statistics!$E$4,"High Difference","Moderate Difference"))</f>
        <v>High Difference</v>
      </c>
    </row>
    <row r="202" spans="1:13" x14ac:dyDescent="0.2">
      <c r="A202">
        <v>141547</v>
      </c>
      <c r="B202" s="1">
        <v>23.27</v>
      </c>
      <c r="C202" s="1">
        <v>19.05</v>
      </c>
      <c r="D202">
        <v>1426</v>
      </c>
      <c r="E202" t="str">
        <f>_xlfn.XLOOKUP(A202, 'Customer Information'!$A$1:$A$1001, 'Customer Information'!$B$1:$B$1001)</f>
        <v>High</v>
      </c>
      <c r="F202" t="str">
        <f>_xlfn.XLOOKUP(A202, 'Customer Information'!$A$1:$A$1001, 'Customer Information'!$C$1:$C$1001)</f>
        <v>Families</v>
      </c>
      <c r="G202" t="str">
        <f>_xlfn.XLOOKUP('Customer Information'!A202, 'Customer Information'!$A$1:$A$1001, 'Customer Information'!$D$1:$D$1001)</f>
        <v>No</v>
      </c>
      <c r="H202" t="str">
        <f>INDEX('Additional Product Info.'!$A$1:$C$1001, MATCH('Product Positioning'!$A202, 'Additional Product Info.'!$A$1:$A$1001, 0), MATCH('Product Positioning'!H$1, 'Additional Product Info.'!$A$1:$C$1, 0))</f>
        <v>End-cap</v>
      </c>
      <c r="I202" t="str">
        <f>INDEX('Additional Product Info.'!$A$1:$C$1001, MATCH('Product Positioning'!$A202, 'Additional Product Info.'!$A$1:$A$1001, 0), MATCH('Product Positioning'!I$1, 'Additional Product Info.'!$A$1:$C$1, 0))</f>
        <v>Food</v>
      </c>
      <c r="J202" t="str">
        <f>_xlfn.XLOOKUP(A202, $A$1:$A$1001, 'Additional Product Info.'!$D$1:$D$1001)</f>
        <v>No</v>
      </c>
      <c r="K202" s="1">
        <f t="shared" si="6"/>
        <v>33183.019999999997</v>
      </c>
      <c r="L202" s="1">
        <f t="shared" si="7"/>
        <v>4.2199999999999989</v>
      </c>
      <c r="M202" t="str">
        <f>IF(L202&lt;=Statistics!$E$6,"Low Difference",IF('Product Positioning'!L202&gt;=Statistics!$E$4,"High Difference","Moderate Difference"))</f>
        <v>High Difference</v>
      </c>
    </row>
    <row r="203" spans="1:13" x14ac:dyDescent="0.2">
      <c r="A203">
        <v>156342</v>
      </c>
      <c r="B203" s="1">
        <v>38.94</v>
      </c>
      <c r="C203" s="1">
        <v>37.619999999999997</v>
      </c>
      <c r="D203">
        <v>1466</v>
      </c>
      <c r="E203" t="str">
        <f>_xlfn.XLOOKUP(A203, 'Customer Information'!$A$1:$A$1001, 'Customer Information'!$B$1:$B$1001)</f>
        <v>High</v>
      </c>
      <c r="F203" t="str">
        <f>_xlfn.XLOOKUP(A203, 'Customer Information'!$A$1:$A$1001, 'Customer Information'!$C$1:$C$1001)</f>
        <v>Seniors</v>
      </c>
      <c r="G203" t="str">
        <f>_xlfn.XLOOKUP('Customer Information'!A203, 'Customer Information'!$A$1:$A$1001, 'Customer Information'!$D$1:$D$1001)</f>
        <v>Yes</v>
      </c>
      <c r="H203" t="str">
        <f>INDEX('Additional Product Info.'!$A$1:$C$1001, MATCH('Product Positioning'!$A203, 'Additional Product Info.'!$A$1:$A$1001, 0), MATCH('Product Positioning'!H$1, 'Additional Product Info.'!$A$1:$C$1, 0))</f>
        <v>Front of Store</v>
      </c>
      <c r="I203" t="str">
        <f>INDEX('Additional Product Info.'!$A$1:$C$1001, MATCH('Product Positioning'!$A203, 'Additional Product Info.'!$A$1:$A$1001, 0), MATCH('Product Positioning'!I$1, 'Additional Product Info.'!$A$1:$C$1, 0))</f>
        <v>Food</v>
      </c>
      <c r="J203" t="str">
        <f>_xlfn.XLOOKUP(A203, $A$1:$A$1001, 'Additional Product Info.'!$D$1:$D$1001)</f>
        <v>Yes</v>
      </c>
      <c r="K203" s="1">
        <f t="shared" si="6"/>
        <v>57086.039999999994</v>
      </c>
      <c r="L203" s="1">
        <f t="shared" si="7"/>
        <v>1.3200000000000003</v>
      </c>
      <c r="M203" t="str">
        <f>IF(L203&lt;=Statistics!$E$6,"Low Difference",IF('Product Positioning'!L203&gt;=Statistics!$E$4,"High Difference","Moderate Difference"))</f>
        <v>Moderate Difference</v>
      </c>
    </row>
    <row r="204" spans="1:13" x14ac:dyDescent="0.2">
      <c r="A204">
        <v>186083</v>
      </c>
      <c r="B204" s="1">
        <v>28.87</v>
      </c>
      <c r="C204" s="1">
        <v>28.36</v>
      </c>
      <c r="D204">
        <v>624</v>
      </c>
      <c r="E204" t="str">
        <f>_xlfn.XLOOKUP(A204, 'Customer Information'!$A$1:$A$1001, 'Customer Information'!$B$1:$B$1001)</f>
        <v>Low</v>
      </c>
      <c r="F204" t="str">
        <f>_xlfn.XLOOKUP(A204, 'Customer Information'!$A$1:$A$1001, 'Customer Information'!$C$1:$C$1001)</f>
        <v>Seniors</v>
      </c>
      <c r="G204" t="str">
        <f>_xlfn.XLOOKUP('Customer Information'!A204, 'Customer Information'!$A$1:$A$1001, 'Customer Information'!$D$1:$D$1001)</f>
        <v>No</v>
      </c>
      <c r="H204" t="str">
        <f>INDEX('Additional Product Info.'!$A$1:$C$1001, MATCH('Product Positioning'!$A204, 'Additional Product Info.'!$A$1:$A$1001, 0), MATCH('Product Positioning'!H$1, 'Additional Product Info.'!$A$1:$C$1, 0))</f>
        <v>End-cap</v>
      </c>
      <c r="I204" t="str">
        <f>INDEX('Additional Product Info.'!$A$1:$C$1001, MATCH('Product Positioning'!$A204, 'Additional Product Info.'!$A$1:$A$1001, 0), MATCH('Product Positioning'!I$1, 'Additional Product Info.'!$A$1:$C$1, 0))</f>
        <v>Food</v>
      </c>
      <c r="J204" t="str">
        <f>_xlfn.XLOOKUP(A204, $A$1:$A$1001, 'Additional Product Info.'!$D$1:$D$1001)</f>
        <v>Yes</v>
      </c>
      <c r="K204" s="1">
        <f t="shared" si="6"/>
        <v>18014.88</v>
      </c>
      <c r="L204" s="1">
        <f t="shared" si="7"/>
        <v>0.51000000000000156</v>
      </c>
      <c r="M204" t="str">
        <f>IF(L204&lt;=Statistics!$E$6,"Low Difference",IF('Product Positioning'!L204&gt;=Statistics!$E$4,"High Difference","Moderate Difference"))</f>
        <v>Low Difference</v>
      </c>
    </row>
    <row r="205" spans="1:13" x14ac:dyDescent="0.2">
      <c r="A205">
        <v>171776</v>
      </c>
      <c r="B205" s="1">
        <v>34.06</v>
      </c>
      <c r="C205" s="1">
        <v>31.39</v>
      </c>
      <c r="D205">
        <v>1685</v>
      </c>
      <c r="E205" t="str">
        <f>_xlfn.XLOOKUP(A205, 'Customer Information'!$A$1:$A$1001, 'Customer Information'!$B$1:$B$1001)</f>
        <v>Medium</v>
      </c>
      <c r="F205" t="str">
        <f>_xlfn.XLOOKUP(A205, 'Customer Information'!$A$1:$A$1001, 'Customer Information'!$C$1:$C$1001)</f>
        <v>College students</v>
      </c>
      <c r="G205" t="str">
        <f>_xlfn.XLOOKUP('Customer Information'!A205, 'Customer Information'!$A$1:$A$1001, 'Customer Information'!$D$1:$D$1001)</f>
        <v>Yes</v>
      </c>
      <c r="H205" t="str">
        <f>INDEX('Additional Product Info.'!$A$1:$C$1001, MATCH('Product Positioning'!$A205, 'Additional Product Info.'!$A$1:$A$1001, 0), MATCH('Product Positioning'!H$1, 'Additional Product Info.'!$A$1:$C$1, 0))</f>
        <v>Aisle</v>
      </c>
      <c r="I205" t="str">
        <f>INDEX('Additional Product Info.'!$A$1:$C$1001, MATCH('Product Positioning'!$A205, 'Additional Product Info.'!$A$1:$A$1001, 0), MATCH('Product Positioning'!I$1, 'Additional Product Info.'!$A$1:$C$1, 0))</f>
        <v>Food</v>
      </c>
      <c r="J205" t="str">
        <f>_xlfn.XLOOKUP(A205, $A$1:$A$1001, 'Additional Product Info.'!$D$1:$D$1001)</f>
        <v>No</v>
      </c>
      <c r="K205" s="1">
        <f t="shared" si="6"/>
        <v>57391.100000000006</v>
      </c>
      <c r="L205" s="1">
        <f t="shared" si="7"/>
        <v>2.6700000000000017</v>
      </c>
      <c r="M205" t="str">
        <f>IF(L205&lt;=Statistics!$E$6,"Low Difference",IF('Product Positioning'!L205&gt;=Statistics!$E$4,"High Difference","Moderate Difference"))</f>
        <v>Moderate Difference</v>
      </c>
    </row>
    <row r="206" spans="1:13" x14ac:dyDescent="0.2">
      <c r="A206">
        <v>134429</v>
      </c>
      <c r="B206" s="1">
        <v>40.01</v>
      </c>
      <c r="C206" s="1">
        <v>37.93</v>
      </c>
      <c r="D206">
        <v>2914</v>
      </c>
      <c r="E206" t="str">
        <f>_xlfn.XLOOKUP(A206, 'Customer Information'!$A$1:$A$1001, 'Customer Information'!$B$1:$B$1001)</f>
        <v>High</v>
      </c>
      <c r="F206" t="str">
        <f>_xlfn.XLOOKUP(A206, 'Customer Information'!$A$1:$A$1001, 'Customer Information'!$C$1:$C$1001)</f>
        <v>Seniors</v>
      </c>
      <c r="G206" t="str">
        <f>_xlfn.XLOOKUP('Customer Information'!A206, 'Customer Information'!$A$1:$A$1001, 'Customer Information'!$D$1:$D$1001)</f>
        <v>No</v>
      </c>
      <c r="H206" t="str">
        <f>INDEX('Additional Product Info.'!$A$1:$C$1001, MATCH('Product Positioning'!$A206, 'Additional Product Info.'!$A$1:$A$1001, 0), MATCH('Product Positioning'!H$1, 'Additional Product Info.'!$A$1:$C$1, 0))</f>
        <v>Aisle</v>
      </c>
      <c r="I206" t="str">
        <f>INDEX('Additional Product Info.'!$A$1:$C$1001, MATCH('Product Positioning'!$A206, 'Additional Product Info.'!$A$1:$A$1001, 0), MATCH('Product Positioning'!I$1, 'Additional Product Info.'!$A$1:$C$1, 0))</f>
        <v>Food</v>
      </c>
      <c r="J206" t="str">
        <f>_xlfn.XLOOKUP(A206, $A$1:$A$1001, 'Additional Product Info.'!$D$1:$D$1001)</f>
        <v>No</v>
      </c>
      <c r="K206" s="1">
        <f t="shared" si="6"/>
        <v>116589.14</v>
      </c>
      <c r="L206" s="1">
        <f t="shared" si="7"/>
        <v>2.0799999999999983</v>
      </c>
      <c r="M206" t="str">
        <f>IF(L206&lt;=Statistics!$E$6,"Low Difference",IF('Product Positioning'!L206&gt;=Statistics!$E$4,"High Difference","Moderate Difference"))</f>
        <v>Moderate Difference</v>
      </c>
    </row>
    <row r="207" spans="1:13" x14ac:dyDescent="0.2">
      <c r="A207">
        <v>172816</v>
      </c>
      <c r="B207" s="1">
        <v>14.36</v>
      </c>
      <c r="C207" s="1">
        <v>12.26</v>
      </c>
      <c r="D207">
        <v>1524</v>
      </c>
      <c r="E207" t="str">
        <f>_xlfn.XLOOKUP(A207, 'Customer Information'!$A$1:$A$1001, 'Customer Information'!$B$1:$B$1001)</f>
        <v>Medium</v>
      </c>
      <c r="F207" t="str">
        <f>_xlfn.XLOOKUP(A207, 'Customer Information'!$A$1:$A$1001, 'Customer Information'!$C$1:$C$1001)</f>
        <v>Seniors</v>
      </c>
      <c r="G207" t="str">
        <f>_xlfn.XLOOKUP('Customer Information'!A207, 'Customer Information'!$A$1:$A$1001, 'Customer Information'!$D$1:$D$1001)</f>
        <v>No</v>
      </c>
      <c r="H207" t="str">
        <f>INDEX('Additional Product Info.'!$A$1:$C$1001, MATCH('Product Positioning'!$A207, 'Additional Product Info.'!$A$1:$A$1001, 0), MATCH('Product Positioning'!H$1, 'Additional Product Info.'!$A$1:$C$1, 0))</f>
        <v>Aisle</v>
      </c>
      <c r="I207" t="str">
        <f>INDEX('Additional Product Info.'!$A$1:$C$1001, MATCH('Product Positioning'!$A207, 'Additional Product Info.'!$A$1:$A$1001, 0), MATCH('Product Positioning'!I$1, 'Additional Product Info.'!$A$1:$C$1, 0))</f>
        <v>Food</v>
      </c>
      <c r="J207" t="str">
        <f>_xlfn.XLOOKUP(A207, $A$1:$A$1001, 'Additional Product Info.'!$D$1:$D$1001)</f>
        <v>Yes</v>
      </c>
      <c r="K207" s="1">
        <f t="shared" si="6"/>
        <v>21884.639999999999</v>
      </c>
      <c r="L207" s="1">
        <f t="shared" si="7"/>
        <v>2.0999999999999996</v>
      </c>
      <c r="M207" t="str">
        <f>IF(L207&lt;=Statistics!$E$6,"Low Difference",IF('Product Positioning'!L207&gt;=Statistics!$E$4,"High Difference","Moderate Difference"))</f>
        <v>Moderate Difference</v>
      </c>
    </row>
    <row r="208" spans="1:13" x14ac:dyDescent="0.2">
      <c r="A208">
        <v>136272</v>
      </c>
      <c r="B208" s="1">
        <v>28.47</v>
      </c>
      <c r="C208" s="1">
        <v>25.9</v>
      </c>
      <c r="D208">
        <v>2887</v>
      </c>
      <c r="E208" t="str">
        <f>_xlfn.XLOOKUP(A208, 'Customer Information'!$A$1:$A$1001, 'Customer Information'!$B$1:$B$1001)</f>
        <v>Low</v>
      </c>
      <c r="F208" t="str">
        <f>_xlfn.XLOOKUP(A208, 'Customer Information'!$A$1:$A$1001, 'Customer Information'!$C$1:$C$1001)</f>
        <v>Young adults</v>
      </c>
      <c r="G208" t="str">
        <f>_xlfn.XLOOKUP('Customer Information'!A208, 'Customer Information'!$A$1:$A$1001, 'Customer Information'!$D$1:$D$1001)</f>
        <v>No</v>
      </c>
      <c r="H208" t="str">
        <f>INDEX('Additional Product Info.'!$A$1:$C$1001, MATCH('Product Positioning'!$A208, 'Additional Product Info.'!$A$1:$A$1001, 0), MATCH('Product Positioning'!H$1, 'Additional Product Info.'!$A$1:$C$1, 0))</f>
        <v>End-cap</v>
      </c>
      <c r="I208" t="str">
        <f>INDEX('Additional Product Info.'!$A$1:$C$1001, MATCH('Product Positioning'!$A208, 'Additional Product Info.'!$A$1:$A$1001, 0), MATCH('Product Positioning'!I$1, 'Additional Product Info.'!$A$1:$C$1, 0))</f>
        <v>Clothing</v>
      </c>
      <c r="J208" t="str">
        <f>_xlfn.XLOOKUP(A208, $A$1:$A$1001, 'Additional Product Info.'!$D$1:$D$1001)</f>
        <v>Yes</v>
      </c>
      <c r="K208" s="1">
        <f t="shared" si="6"/>
        <v>82192.89</v>
      </c>
      <c r="L208" s="1">
        <f t="shared" si="7"/>
        <v>2.5700000000000003</v>
      </c>
      <c r="M208" t="str">
        <f>IF(L208&lt;=Statistics!$E$6,"Low Difference",IF('Product Positioning'!L208&gt;=Statistics!$E$4,"High Difference","Moderate Difference"))</f>
        <v>Moderate Difference</v>
      </c>
    </row>
    <row r="209" spans="1:13" x14ac:dyDescent="0.2">
      <c r="A209">
        <v>193227</v>
      </c>
      <c r="B209" s="1">
        <v>40.47</v>
      </c>
      <c r="C209" s="1">
        <v>39.26</v>
      </c>
      <c r="D209">
        <v>1778</v>
      </c>
      <c r="E209" t="str">
        <f>_xlfn.XLOOKUP(A209, 'Customer Information'!$A$1:$A$1001, 'Customer Information'!$B$1:$B$1001)</f>
        <v>Low</v>
      </c>
      <c r="F209" t="str">
        <f>_xlfn.XLOOKUP(A209, 'Customer Information'!$A$1:$A$1001, 'Customer Information'!$C$1:$C$1001)</f>
        <v>Seniors</v>
      </c>
      <c r="G209" t="str">
        <f>_xlfn.XLOOKUP('Customer Information'!A209, 'Customer Information'!$A$1:$A$1001, 'Customer Information'!$D$1:$D$1001)</f>
        <v>Yes</v>
      </c>
      <c r="H209" t="str">
        <f>INDEX('Additional Product Info.'!$A$1:$C$1001, MATCH('Product Positioning'!$A209, 'Additional Product Info.'!$A$1:$A$1001, 0), MATCH('Product Positioning'!H$1, 'Additional Product Info.'!$A$1:$C$1, 0))</f>
        <v>End-cap</v>
      </c>
      <c r="I209" t="str">
        <f>INDEX('Additional Product Info.'!$A$1:$C$1001, MATCH('Product Positioning'!$A209, 'Additional Product Info.'!$A$1:$A$1001, 0), MATCH('Product Positioning'!I$1, 'Additional Product Info.'!$A$1:$C$1, 0))</f>
        <v>Electronics</v>
      </c>
      <c r="J209" t="str">
        <f>_xlfn.XLOOKUP(A209, $A$1:$A$1001, 'Additional Product Info.'!$D$1:$D$1001)</f>
        <v>Yes</v>
      </c>
      <c r="K209" s="1">
        <f t="shared" si="6"/>
        <v>71955.66</v>
      </c>
      <c r="L209" s="1">
        <f t="shared" si="7"/>
        <v>1.2100000000000009</v>
      </c>
      <c r="M209" t="str">
        <f>IF(L209&lt;=Statistics!$E$6,"Low Difference",IF('Product Positioning'!L209&gt;=Statistics!$E$4,"High Difference","Moderate Difference"))</f>
        <v>Moderate Difference</v>
      </c>
    </row>
    <row r="210" spans="1:13" x14ac:dyDescent="0.2">
      <c r="A210">
        <v>165786</v>
      </c>
      <c r="B210" s="1">
        <v>18.03</v>
      </c>
      <c r="C210" s="1">
        <v>13.4</v>
      </c>
      <c r="D210">
        <v>1278</v>
      </c>
      <c r="E210" t="str">
        <f>_xlfn.XLOOKUP(A210, 'Customer Information'!$A$1:$A$1001, 'Customer Information'!$B$1:$B$1001)</f>
        <v>High</v>
      </c>
      <c r="F210" t="str">
        <f>_xlfn.XLOOKUP(A210, 'Customer Information'!$A$1:$A$1001, 'Customer Information'!$C$1:$C$1001)</f>
        <v>Families</v>
      </c>
      <c r="G210" t="str">
        <f>_xlfn.XLOOKUP('Customer Information'!A210, 'Customer Information'!$A$1:$A$1001, 'Customer Information'!$D$1:$D$1001)</f>
        <v>No</v>
      </c>
      <c r="H210" t="str">
        <f>INDEX('Additional Product Info.'!$A$1:$C$1001, MATCH('Product Positioning'!$A210, 'Additional Product Info.'!$A$1:$A$1001, 0), MATCH('Product Positioning'!H$1, 'Additional Product Info.'!$A$1:$C$1, 0))</f>
        <v>End-cap</v>
      </c>
      <c r="I210" t="str">
        <f>INDEX('Additional Product Info.'!$A$1:$C$1001, MATCH('Product Positioning'!$A210, 'Additional Product Info.'!$A$1:$A$1001, 0), MATCH('Product Positioning'!I$1, 'Additional Product Info.'!$A$1:$C$1, 0))</f>
        <v>Electronics</v>
      </c>
      <c r="J210" t="str">
        <f>_xlfn.XLOOKUP(A210, $A$1:$A$1001, 'Additional Product Info.'!$D$1:$D$1001)</f>
        <v>Yes</v>
      </c>
      <c r="K210" s="1">
        <f t="shared" si="6"/>
        <v>23042.34</v>
      </c>
      <c r="L210" s="1">
        <f t="shared" si="7"/>
        <v>4.6300000000000008</v>
      </c>
      <c r="M210" t="str">
        <f>IF(L210&lt;=Statistics!$E$6,"Low Difference",IF('Product Positioning'!L210&gt;=Statistics!$E$4,"High Difference","Moderate Difference"))</f>
        <v>High Difference</v>
      </c>
    </row>
    <row r="211" spans="1:13" x14ac:dyDescent="0.2">
      <c r="A211">
        <v>174708</v>
      </c>
      <c r="B211" s="1">
        <v>21.75</v>
      </c>
      <c r="C211" s="1">
        <v>17.579999999999998</v>
      </c>
      <c r="D211">
        <v>529</v>
      </c>
      <c r="E211" t="str">
        <f>_xlfn.XLOOKUP(A211, 'Customer Information'!$A$1:$A$1001, 'Customer Information'!$B$1:$B$1001)</f>
        <v>High</v>
      </c>
      <c r="F211" t="str">
        <f>_xlfn.XLOOKUP(A211, 'Customer Information'!$A$1:$A$1001, 'Customer Information'!$C$1:$C$1001)</f>
        <v>College students</v>
      </c>
      <c r="G211" t="str">
        <f>_xlfn.XLOOKUP('Customer Information'!A211, 'Customer Information'!$A$1:$A$1001, 'Customer Information'!$D$1:$D$1001)</f>
        <v>No</v>
      </c>
      <c r="H211" t="str">
        <f>INDEX('Additional Product Info.'!$A$1:$C$1001, MATCH('Product Positioning'!$A211, 'Additional Product Info.'!$A$1:$A$1001, 0), MATCH('Product Positioning'!H$1, 'Additional Product Info.'!$A$1:$C$1, 0))</f>
        <v>Front of Store</v>
      </c>
      <c r="I211" t="str">
        <f>INDEX('Additional Product Info.'!$A$1:$C$1001, MATCH('Product Positioning'!$A211, 'Additional Product Info.'!$A$1:$A$1001, 0), MATCH('Product Positioning'!I$1, 'Additional Product Info.'!$A$1:$C$1, 0))</f>
        <v>Food</v>
      </c>
      <c r="J211" t="str">
        <f>_xlfn.XLOOKUP(A211, $A$1:$A$1001, 'Additional Product Info.'!$D$1:$D$1001)</f>
        <v>Yes</v>
      </c>
      <c r="K211" s="1">
        <f t="shared" si="6"/>
        <v>11505.75</v>
      </c>
      <c r="L211" s="1">
        <f t="shared" si="7"/>
        <v>4.1700000000000017</v>
      </c>
      <c r="M211" t="str">
        <f>IF(L211&lt;=Statistics!$E$6,"Low Difference",IF('Product Positioning'!L211&gt;=Statistics!$E$4,"High Difference","Moderate Difference"))</f>
        <v>High Difference</v>
      </c>
    </row>
    <row r="212" spans="1:13" x14ac:dyDescent="0.2">
      <c r="A212">
        <v>142257</v>
      </c>
      <c r="B212" s="1">
        <v>21.7</v>
      </c>
      <c r="C212" s="1">
        <v>18.91</v>
      </c>
      <c r="D212">
        <v>1180</v>
      </c>
      <c r="E212" t="str">
        <f>_xlfn.XLOOKUP(A212, 'Customer Information'!$A$1:$A$1001, 'Customer Information'!$B$1:$B$1001)</f>
        <v>Medium</v>
      </c>
      <c r="F212" t="str">
        <f>_xlfn.XLOOKUP(A212, 'Customer Information'!$A$1:$A$1001, 'Customer Information'!$C$1:$C$1001)</f>
        <v>Seniors</v>
      </c>
      <c r="G212" t="str">
        <f>_xlfn.XLOOKUP('Customer Information'!A212, 'Customer Information'!$A$1:$A$1001, 'Customer Information'!$D$1:$D$1001)</f>
        <v>Yes</v>
      </c>
      <c r="H212" t="str">
        <f>INDEX('Additional Product Info.'!$A$1:$C$1001, MATCH('Product Positioning'!$A212, 'Additional Product Info.'!$A$1:$A$1001, 0), MATCH('Product Positioning'!H$1, 'Additional Product Info.'!$A$1:$C$1, 0))</f>
        <v>Aisle</v>
      </c>
      <c r="I212" t="str">
        <f>INDEX('Additional Product Info.'!$A$1:$C$1001, MATCH('Product Positioning'!$A212, 'Additional Product Info.'!$A$1:$A$1001, 0), MATCH('Product Positioning'!I$1, 'Additional Product Info.'!$A$1:$C$1, 0))</f>
        <v>Clothing</v>
      </c>
      <c r="J212" t="str">
        <f>_xlfn.XLOOKUP(A212, $A$1:$A$1001, 'Additional Product Info.'!$D$1:$D$1001)</f>
        <v>Yes</v>
      </c>
      <c r="K212" s="1">
        <f t="shared" si="6"/>
        <v>25606</v>
      </c>
      <c r="L212" s="1">
        <f t="shared" si="7"/>
        <v>2.7899999999999991</v>
      </c>
      <c r="M212" t="str">
        <f>IF(L212&lt;=Statistics!$E$6,"Low Difference",IF('Product Positioning'!L212&gt;=Statistics!$E$4,"High Difference","Moderate Difference"))</f>
        <v>Moderate Difference</v>
      </c>
    </row>
    <row r="213" spans="1:13" x14ac:dyDescent="0.2">
      <c r="A213">
        <v>126146</v>
      </c>
      <c r="B213" s="1">
        <v>34.72</v>
      </c>
      <c r="C213" s="1">
        <v>32.729999999999997</v>
      </c>
      <c r="D213">
        <v>2759</v>
      </c>
      <c r="E213" t="str">
        <f>_xlfn.XLOOKUP(A213, 'Customer Information'!$A$1:$A$1001, 'Customer Information'!$B$1:$B$1001)</f>
        <v>High</v>
      </c>
      <c r="F213" t="str">
        <f>_xlfn.XLOOKUP(A213, 'Customer Information'!$A$1:$A$1001, 'Customer Information'!$C$1:$C$1001)</f>
        <v>Seniors</v>
      </c>
      <c r="G213" t="str">
        <f>_xlfn.XLOOKUP('Customer Information'!A213, 'Customer Information'!$A$1:$A$1001, 'Customer Information'!$D$1:$D$1001)</f>
        <v>No</v>
      </c>
      <c r="H213" t="str">
        <f>INDEX('Additional Product Info.'!$A$1:$C$1001, MATCH('Product Positioning'!$A213, 'Additional Product Info.'!$A$1:$A$1001, 0), MATCH('Product Positioning'!H$1, 'Additional Product Info.'!$A$1:$C$1, 0))</f>
        <v>Aisle</v>
      </c>
      <c r="I213" t="str">
        <f>INDEX('Additional Product Info.'!$A$1:$C$1001, MATCH('Product Positioning'!$A213, 'Additional Product Info.'!$A$1:$A$1001, 0), MATCH('Product Positioning'!I$1, 'Additional Product Info.'!$A$1:$C$1, 0))</f>
        <v>Electronics</v>
      </c>
      <c r="J213" t="str">
        <f>_xlfn.XLOOKUP(A213, $A$1:$A$1001, 'Additional Product Info.'!$D$1:$D$1001)</f>
        <v>No</v>
      </c>
      <c r="K213" s="1">
        <f t="shared" si="6"/>
        <v>95792.48</v>
      </c>
      <c r="L213" s="1">
        <f t="shared" si="7"/>
        <v>1.990000000000002</v>
      </c>
      <c r="M213" t="str">
        <f>IF(L213&lt;=Statistics!$E$6,"Low Difference",IF('Product Positioning'!L213&gt;=Statistics!$E$4,"High Difference","Moderate Difference"))</f>
        <v>Moderate Difference</v>
      </c>
    </row>
    <row r="214" spans="1:13" x14ac:dyDescent="0.2">
      <c r="A214">
        <v>129134</v>
      </c>
      <c r="B214" s="1">
        <v>23.29</v>
      </c>
      <c r="C214" s="1">
        <v>22.91</v>
      </c>
      <c r="D214">
        <v>1831</v>
      </c>
      <c r="E214" t="str">
        <f>_xlfn.XLOOKUP(A214, 'Customer Information'!$A$1:$A$1001, 'Customer Information'!$B$1:$B$1001)</f>
        <v>Medium</v>
      </c>
      <c r="F214" t="str">
        <f>_xlfn.XLOOKUP(A214, 'Customer Information'!$A$1:$A$1001, 'Customer Information'!$C$1:$C$1001)</f>
        <v>College students</v>
      </c>
      <c r="G214" t="str">
        <f>_xlfn.XLOOKUP('Customer Information'!A214, 'Customer Information'!$A$1:$A$1001, 'Customer Information'!$D$1:$D$1001)</f>
        <v>No</v>
      </c>
      <c r="H214" t="str">
        <f>INDEX('Additional Product Info.'!$A$1:$C$1001, MATCH('Product Positioning'!$A214, 'Additional Product Info.'!$A$1:$A$1001, 0), MATCH('Product Positioning'!H$1, 'Additional Product Info.'!$A$1:$C$1, 0))</f>
        <v>Aisle</v>
      </c>
      <c r="I214" t="str">
        <f>INDEX('Additional Product Info.'!$A$1:$C$1001, MATCH('Product Positioning'!$A214, 'Additional Product Info.'!$A$1:$A$1001, 0), MATCH('Product Positioning'!I$1, 'Additional Product Info.'!$A$1:$C$1, 0))</f>
        <v>Food</v>
      </c>
      <c r="J214" t="str">
        <f>_xlfn.XLOOKUP(A214, $A$1:$A$1001, 'Additional Product Info.'!$D$1:$D$1001)</f>
        <v>Yes</v>
      </c>
      <c r="K214" s="1">
        <f t="shared" si="6"/>
        <v>42643.99</v>
      </c>
      <c r="L214" s="1">
        <f t="shared" si="7"/>
        <v>0.37999999999999901</v>
      </c>
      <c r="M214" t="str">
        <f>IF(L214&lt;=Statistics!$E$6,"Low Difference",IF('Product Positioning'!L214&gt;=Statistics!$E$4,"High Difference","Moderate Difference"))</f>
        <v>Low Difference</v>
      </c>
    </row>
    <row r="215" spans="1:13" x14ac:dyDescent="0.2">
      <c r="A215">
        <v>129898</v>
      </c>
      <c r="B215" s="1">
        <v>10.33</v>
      </c>
      <c r="C215" s="1">
        <v>6.98</v>
      </c>
      <c r="D215">
        <v>1866</v>
      </c>
      <c r="E215" t="str">
        <f>_xlfn.XLOOKUP(A215, 'Customer Information'!$A$1:$A$1001, 'Customer Information'!$B$1:$B$1001)</f>
        <v>Low</v>
      </c>
      <c r="F215" t="str">
        <f>_xlfn.XLOOKUP(A215, 'Customer Information'!$A$1:$A$1001, 'Customer Information'!$C$1:$C$1001)</f>
        <v>Seniors</v>
      </c>
      <c r="G215" t="str">
        <f>_xlfn.XLOOKUP('Customer Information'!A215, 'Customer Information'!$A$1:$A$1001, 'Customer Information'!$D$1:$D$1001)</f>
        <v>No</v>
      </c>
      <c r="H215" t="str">
        <f>INDEX('Additional Product Info.'!$A$1:$C$1001, MATCH('Product Positioning'!$A215, 'Additional Product Info.'!$A$1:$A$1001, 0), MATCH('Product Positioning'!H$1, 'Additional Product Info.'!$A$1:$C$1, 0))</f>
        <v>End-cap</v>
      </c>
      <c r="I215" t="str">
        <f>INDEX('Additional Product Info.'!$A$1:$C$1001, MATCH('Product Positioning'!$A215, 'Additional Product Info.'!$A$1:$A$1001, 0), MATCH('Product Positioning'!I$1, 'Additional Product Info.'!$A$1:$C$1, 0))</f>
        <v>Electronics</v>
      </c>
      <c r="J215" t="str">
        <f>_xlfn.XLOOKUP(A215, $A$1:$A$1001, 'Additional Product Info.'!$D$1:$D$1001)</f>
        <v>No</v>
      </c>
      <c r="K215" s="1">
        <f t="shared" si="6"/>
        <v>19275.78</v>
      </c>
      <c r="L215" s="1">
        <f t="shared" si="7"/>
        <v>3.3499999999999996</v>
      </c>
      <c r="M215" t="str">
        <f>IF(L215&lt;=Statistics!$E$6,"Low Difference",IF('Product Positioning'!L215&gt;=Statistics!$E$4,"High Difference","Moderate Difference"))</f>
        <v>Moderate Difference</v>
      </c>
    </row>
    <row r="216" spans="1:13" x14ac:dyDescent="0.2">
      <c r="A216">
        <v>189692</v>
      </c>
      <c r="B216" s="1">
        <v>14.58</v>
      </c>
      <c r="C216" s="1">
        <v>12.26</v>
      </c>
      <c r="D216">
        <v>1553</v>
      </c>
      <c r="E216" t="str">
        <f>_xlfn.XLOOKUP(A216, 'Customer Information'!$A$1:$A$1001, 'Customer Information'!$B$1:$B$1001)</f>
        <v>Low</v>
      </c>
      <c r="F216" t="str">
        <f>_xlfn.XLOOKUP(A216, 'Customer Information'!$A$1:$A$1001, 'Customer Information'!$C$1:$C$1001)</f>
        <v>College students</v>
      </c>
      <c r="G216" t="str">
        <f>_xlfn.XLOOKUP('Customer Information'!A216, 'Customer Information'!$A$1:$A$1001, 'Customer Information'!$D$1:$D$1001)</f>
        <v>Yes</v>
      </c>
      <c r="H216" t="str">
        <f>INDEX('Additional Product Info.'!$A$1:$C$1001, MATCH('Product Positioning'!$A216, 'Additional Product Info.'!$A$1:$A$1001, 0), MATCH('Product Positioning'!H$1, 'Additional Product Info.'!$A$1:$C$1, 0))</f>
        <v>End-cap</v>
      </c>
      <c r="I216" t="str">
        <f>INDEX('Additional Product Info.'!$A$1:$C$1001, MATCH('Product Positioning'!$A216, 'Additional Product Info.'!$A$1:$A$1001, 0), MATCH('Product Positioning'!I$1, 'Additional Product Info.'!$A$1:$C$1, 0))</f>
        <v>Food</v>
      </c>
      <c r="J216" t="str">
        <f>_xlfn.XLOOKUP(A216, $A$1:$A$1001, 'Additional Product Info.'!$D$1:$D$1001)</f>
        <v>No</v>
      </c>
      <c r="K216" s="1">
        <f t="shared" si="6"/>
        <v>22642.74</v>
      </c>
      <c r="L216" s="1">
        <f t="shared" si="7"/>
        <v>2.3200000000000003</v>
      </c>
      <c r="M216" t="str">
        <f>IF(L216&lt;=Statistics!$E$6,"Low Difference",IF('Product Positioning'!L216&gt;=Statistics!$E$4,"High Difference","Moderate Difference"))</f>
        <v>Moderate Difference</v>
      </c>
    </row>
    <row r="217" spans="1:13" x14ac:dyDescent="0.2">
      <c r="A217">
        <v>154846</v>
      </c>
      <c r="B217" s="1">
        <v>35.78</v>
      </c>
      <c r="C217" s="1">
        <v>35.35</v>
      </c>
      <c r="D217">
        <v>917</v>
      </c>
      <c r="E217" t="str">
        <f>_xlfn.XLOOKUP(A217, 'Customer Information'!$A$1:$A$1001, 'Customer Information'!$B$1:$B$1001)</f>
        <v>Low</v>
      </c>
      <c r="F217" t="str">
        <f>_xlfn.XLOOKUP(A217, 'Customer Information'!$A$1:$A$1001, 'Customer Information'!$C$1:$C$1001)</f>
        <v>Families</v>
      </c>
      <c r="G217" t="str">
        <f>_xlfn.XLOOKUP('Customer Information'!A217, 'Customer Information'!$A$1:$A$1001, 'Customer Information'!$D$1:$D$1001)</f>
        <v>Yes</v>
      </c>
      <c r="H217" t="str">
        <f>INDEX('Additional Product Info.'!$A$1:$C$1001, MATCH('Product Positioning'!$A217, 'Additional Product Info.'!$A$1:$A$1001, 0), MATCH('Product Positioning'!H$1, 'Additional Product Info.'!$A$1:$C$1, 0))</f>
        <v>End-cap</v>
      </c>
      <c r="I217" t="str">
        <f>INDEX('Additional Product Info.'!$A$1:$C$1001, MATCH('Product Positioning'!$A217, 'Additional Product Info.'!$A$1:$A$1001, 0), MATCH('Product Positioning'!I$1, 'Additional Product Info.'!$A$1:$C$1, 0))</f>
        <v>Electronics</v>
      </c>
      <c r="J217" t="str">
        <f>_xlfn.XLOOKUP(A217, $A$1:$A$1001, 'Additional Product Info.'!$D$1:$D$1001)</f>
        <v>No</v>
      </c>
      <c r="K217" s="1">
        <f t="shared" si="6"/>
        <v>32810.26</v>
      </c>
      <c r="L217" s="1">
        <f t="shared" si="7"/>
        <v>0.42999999999999972</v>
      </c>
      <c r="M217" t="str">
        <f>IF(L217&lt;=Statistics!$E$6,"Low Difference",IF('Product Positioning'!L217&gt;=Statistics!$E$4,"High Difference","Moderate Difference"))</f>
        <v>Low Difference</v>
      </c>
    </row>
    <row r="218" spans="1:13" x14ac:dyDescent="0.2">
      <c r="A218">
        <v>122307</v>
      </c>
      <c r="B218" s="1">
        <v>32.92</v>
      </c>
      <c r="C218" s="1">
        <v>31.62</v>
      </c>
      <c r="D218">
        <v>702</v>
      </c>
      <c r="E218" t="str">
        <f>_xlfn.XLOOKUP(A218, 'Customer Information'!$A$1:$A$1001, 'Customer Information'!$B$1:$B$1001)</f>
        <v>Low</v>
      </c>
      <c r="F218" t="str">
        <f>_xlfn.XLOOKUP(A218, 'Customer Information'!$A$1:$A$1001, 'Customer Information'!$C$1:$C$1001)</f>
        <v>Seniors</v>
      </c>
      <c r="G218" t="str">
        <f>_xlfn.XLOOKUP('Customer Information'!A218, 'Customer Information'!$A$1:$A$1001, 'Customer Information'!$D$1:$D$1001)</f>
        <v>No</v>
      </c>
      <c r="H218" t="str">
        <f>INDEX('Additional Product Info.'!$A$1:$C$1001, MATCH('Product Positioning'!$A218, 'Additional Product Info.'!$A$1:$A$1001, 0), MATCH('Product Positioning'!H$1, 'Additional Product Info.'!$A$1:$C$1, 0))</f>
        <v>End-cap</v>
      </c>
      <c r="I218" t="str">
        <f>INDEX('Additional Product Info.'!$A$1:$C$1001, MATCH('Product Positioning'!$A218, 'Additional Product Info.'!$A$1:$A$1001, 0), MATCH('Product Positioning'!I$1, 'Additional Product Info.'!$A$1:$C$1, 0))</f>
        <v>Clothing</v>
      </c>
      <c r="J218" t="str">
        <f>_xlfn.XLOOKUP(A218, $A$1:$A$1001, 'Additional Product Info.'!$D$1:$D$1001)</f>
        <v>No</v>
      </c>
      <c r="K218" s="1">
        <f t="shared" si="6"/>
        <v>23109.84</v>
      </c>
      <c r="L218" s="1">
        <f t="shared" si="7"/>
        <v>1.3000000000000007</v>
      </c>
      <c r="M218" t="str">
        <f>IF(L218&lt;=Statistics!$E$6,"Low Difference",IF('Product Positioning'!L218&gt;=Statistics!$E$4,"High Difference","Moderate Difference"))</f>
        <v>Moderate Difference</v>
      </c>
    </row>
    <row r="219" spans="1:13" x14ac:dyDescent="0.2">
      <c r="A219">
        <v>182099</v>
      </c>
      <c r="B219" s="1">
        <v>35.29</v>
      </c>
      <c r="C219" s="1">
        <v>31.65</v>
      </c>
      <c r="D219">
        <v>1978</v>
      </c>
      <c r="E219" t="str">
        <f>_xlfn.XLOOKUP(A219, 'Customer Information'!$A$1:$A$1001, 'Customer Information'!$B$1:$B$1001)</f>
        <v>Low</v>
      </c>
      <c r="F219" t="str">
        <f>_xlfn.XLOOKUP(A219, 'Customer Information'!$A$1:$A$1001, 'Customer Information'!$C$1:$C$1001)</f>
        <v>Families</v>
      </c>
      <c r="G219" t="str">
        <f>_xlfn.XLOOKUP('Customer Information'!A219, 'Customer Information'!$A$1:$A$1001, 'Customer Information'!$D$1:$D$1001)</f>
        <v>Yes</v>
      </c>
      <c r="H219" t="str">
        <f>INDEX('Additional Product Info.'!$A$1:$C$1001, MATCH('Product Positioning'!$A219, 'Additional Product Info.'!$A$1:$A$1001, 0), MATCH('Product Positioning'!H$1, 'Additional Product Info.'!$A$1:$C$1, 0))</f>
        <v>Aisle</v>
      </c>
      <c r="I219" t="str">
        <f>INDEX('Additional Product Info.'!$A$1:$C$1001, MATCH('Product Positioning'!$A219, 'Additional Product Info.'!$A$1:$A$1001, 0), MATCH('Product Positioning'!I$1, 'Additional Product Info.'!$A$1:$C$1, 0))</f>
        <v>Food</v>
      </c>
      <c r="J219" t="str">
        <f>_xlfn.XLOOKUP(A219, $A$1:$A$1001, 'Additional Product Info.'!$D$1:$D$1001)</f>
        <v>No</v>
      </c>
      <c r="K219" s="1">
        <f t="shared" si="6"/>
        <v>69803.62</v>
      </c>
      <c r="L219" s="1">
        <f t="shared" si="7"/>
        <v>3.6400000000000006</v>
      </c>
      <c r="M219" t="str">
        <f>IF(L219&lt;=Statistics!$E$6,"Low Difference",IF('Product Positioning'!L219&gt;=Statistics!$E$4,"High Difference","Moderate Difference"))</f>
        <v>Moderate Difference</v>
      </c>
    </row>
    <row r="220" spans="1:13" x14ac:dyDescent="0.2">
      <c r="A220">
        <v>159816</v>
      </c>
      <c r="B220" s="1">
        <v>34.76</v>
      </c>
      <c r="C220" s="1">
        <v>31.95</v>
      </c>
      <c r="D220">
        <v>1961</v>
      </c>
      <c r="E220" t="str">
        <f>_xlfn.XLOOKUP(A220, 'Customer Information'!$A$1:$A$1001, 'Customer Information'!$B$1:$B$1001)</f>
        <v>Medium</v>
      </c>
      <c r="F220" t="str">
        <f>_xlfn.XLOOKUP(A220, 'Customer Information'!$A$1:$A$1001, 'Customer Information'!$C$1:$C$1001)</f>
        <v>College students</v>
      </c>
      <c r="G220" t="str">
        <f>_xlfn.XLOOKUP('Customer Information'!A220, 'Customer Information'!$A$1:$A$1001, 'Customer Information'!$D$1:$D$1001)</f>
        <v>No</v>
      </c>
      <c r="H220" t="str">
        <f>INDEX('Additional Product Info.'!$A$1:$C$1001, MATCH('Product Positioning'!$A220, 'Additional Product Info.'!$A$1:$A$1001, 0), MATCH('Product Positioning'!H$1, 'Additional Product Info.'!$A$1:$C$1, 0))</f>
        <v>Front of Store</v>
      </c>
      <c r="I220" t="str">
        <f>INDEX('Additional Product Info.'!$A$1:$C$1001, MATCH('Product Positioning'!$A220, 'Additional Product Info.'!$A$1:$A$1001, 0), MATCH('Product Positioning'!I$1, 'Additional Product Info.'!$A$1:$C$1, 0))</f>
        <v>Electronics</v>
      </c>
      <c r="J220" t="str">
        <f>_xlfn.XLOOKUP(A220, $A$1:$A$1001, 'Additional Product Info.'!$D$1:$D$1001)</f>
        <v>Yes</v>
      </c>
      <c r="K220" s="1">
        <f t="shared" si="6"/>
        <v>68164.36</v>
      </c>
      <c r="L220" s="1">
        <f t="shared" si="7"/>
        <v>2.8099999999999987</v>
      </c>
      <c r="M220" t="str">
        <f>IF(L220&lt;=Statistics!$E$6,"Low Difference",IF('Product Positioning'!L220&gt;=Statistics!$E$4,"High Difference","Moderate Difference"))</f>
        <v>Moderate Difference</v>
      </c>
    </row>
    <row r="221" spans="1:13" x14ac:dyDescent="0.2">
      <c r="A221">
        <v>165326</v>
      </c>
      <c r="B221" s="1">
        <v>8.86</v>
      </c>
      <c r="C221" s="1">
        <v>3.91</v>
      </c>
      <c r="D221">
        <v>1188</v>
      </c>
      <c r="E221" t="str">
        <f>_xlfn.XLOOKUP(A221, 'Customer Information'!$A$1:$A$1001, 'Customer Information'!$B$1:$B$1001)</f>
        <v>Medium</v>
      </c>
      <c r="F221" t="str">
        <f>_xlfn.XLOOKUP(A221, 'Customer Information'!$A$1:$A$1001, 'Customer Information'!$C$1:$C$1001)</f>
        <v>Young adults</v>
      </c>
      <c r="G221" t="str">
        <f>_xlfn.XLOOKUP('Customer Information'!A221, 'Customer Information'!$A$1:$A$1001, 'Customer Information'!$D$1:$D$1001)</f>
        <v>No</v>
      </c>
      <c r="H221" t="str">
        <f>INDEX('Additional Product Info.'!$A$1:$C$1001, MATCH('Product Positioning'!$A221, 'Additional Product Info.'!$A$1:$A$1001, 0), MATCH('Product Positioning'!H$1, 'Additional Product Info.'!$A$1:$C$1, 0))</f>
        <v>Aisle</v>
      </c>
      <c r="I221" t="str">
        <f>INDEX('Additional Product Info.'!$A$1:$C$1001, MATCH('Product Positioning'!$A221, 'Additional Product Info.'!$A$1:$A$1001, 0), MATCH('Product Positioning'!I$1, 'Additional Product Info.'!$A$1:$C$1, 0))</f>
        <v>Clothing</v>
      </c>
      <c r="J221" t="str">
        <f>_xlfn.XLOOKUP(A221, $A$1:$A$1001, 'Additional Product Info.'!$D$1:$D$1001)</f>
        <v>No</v>
      </c>
      <c r="K221" s="1">
        <f t="shared" si="6"/>
        <v>10525.679999999998</v>
      </c>
      <c r="L221" s="1">
        <f t="shared" si="7"/>
        <v>4.9499999999999993</v>
      </c>
      <c r="M221" t="str">
        <f>IF(L221&lt;=Statistics!$E$6,"Low Difference",IF('Product Positioning'!L221&gt;=Statistics!$E$4,"High Difference","Moderate Difference"))</f>
        <v>High Difference</v>
      </c>
    </row>
    <row r="222" spans="1:13" x14ac:dyDescent="0.2">
      <c r="A222">
        <v>185154</v>
      </c>
      <c r="B222" s="1">
        <v>24.95</v>
      </c>
      <c r="C222" s="1">
        <v>20.84</v>
      </c>
      <c r="D222">
        <v>996</v>
      </c>
      <c r="E222" t="str">
        <f>_xlfn.XLOOKUP(A222, 'Customer Information'!$A$1:$A$1001, 'Customer Information'!$B$1:$B$1001)</f>
        <v>High</v>
      </c>
      <c r="F222" t="str">
        <f>_xlfn.XLOOKUP(A222, 'Customer Information'!$A$1:$A$1001, 'Customer Information'!$C$1:$C$1001)</f>
        <v>Young adults</v>
      </c>
      <c r="G222" t="str">
        <f>_xlfn.XLOOKUP('Customer Information'!A222, 'Customer Information'!$A$1:$A$1001, 'Customer Information'!$D$1:$D$1001)</f>
        <v>Yes</v>
      </c>
      <c r="H222" t="str">
        <f>INDEX('Additional Product Info.'!$A$1:$C$1001, MATCH('Product Positioning'!$A222, 'Additional Product Info.'!$A$1:$A$1001, 0), MATCH('Product Positioning'!H$1, 'Additional Product Info.'!$A$1:$C$1, 0))</f>
        <v>Aisle</v>
      </c>
      <c r="I222" t="str">
        <f>INDEX('Additional Product Info.'!$A$1:$C$1001, MATCH('Product Positioning'!$A222, 'Additional Product Info.'!$A$1:$A$1001, 0), MATCH('Product Positioning'!I$1, 'Additional Product Info.'!$A$1:$C$1, 0))</f>
        <v>Food</v>
      </c>
      <c r="J222" t="str">
        <f>_xlfn.XLOOKUP(A222, $A$1:$A$1001, 'Additional Product Info.'!$D$1:$D$1001)</f>
        <v>No</v>
      </c>
      <c r="K222" s="1">
        <f t="shared" si="6"/>
        <v>24850.2</v>
      </c>
      <c r="L222" s="1">
        <f t="shared" si="7"/>
        <v>4.1099999999999994</v>
      </c>
      <c r="M222" t="str">
        <f>IF(L222&lt;=Statistics!$E$6,"Low Difference",IF('Product Positioning'!L222&gt;=Statistics!$E$4,"High Difference","Moderate Difference"))</f>
        <v>High Difference</v>
      </c>
    </row>
    <row r="223" spans="1:13" x14ac:dyDescent="0.2">
      <c r="A223">
        <v>141330</v>
      </c>
      <c r="B223" s="1">
        <v>46.1</v>
      </c>
      <c r="C223" s="1">
        <v>45.49</v>
      </c>
      <c r="D223">
        <v>1915</v>
      </c>
      <c r="E223" t="str">
        <f>_xlfn.XLOOKUP(A223, 'Customer Information'!$A$1:$A$1001, 'Customer Information'!$B$1:$B$1001)</f>
        <v>High</v>
      </c>
      <c r="F223" t="str">
        <f>_xlfn.XLOOKUP(A223, 'Customer Information'!$A$1:$A$1001, 'Customer Information'!$C$1:$C$1001)</f>
        <v>Seniors</v>
      </c>
      <c r="G223" t="str">
        <f>_xlfn.XLOOKUP('Customer Information'!A223, 'Customer Information'!$A$1:$A$1001, 'Customer Information'!$D$1:$D$1001)</f>
        <v>No</v>
      </c>
      <c r="H223" t="str">
        <f>INDEX('Additional Product Info.'!$A$1:$C$1001, MATCH('Product Positioning'!$A223, 'Additional Product Info.'!$A$1:$A$1001, 0), MATCH('Product Positioning'!H$1, 'Additional Product Info.'!$A$1:$C$1, 0))</f>
        <v>Aisle</v>
      </c>
      <c r="I223" t="str">
        <f>INDEX('Additional Product Info.'!$A$1:$C$1001, MATCH('Product Positioning'!$A223, 'Additional Product Info.'!$A$1:$A$1001, 0), MATCH('Product Positioning'!I$1, 'Additional Product Info.'!$A$1:$C$1, 0))</f>
        <v>Clothing</v>
      </c>
      <c r="J223" t="str">
        <f>_xlfn.XLOOKUP(A223, $A$1:$A$1001, 'Additional Product Info.'!$D$1:$D$1001)</f>
        <v>Yes</v>
      </c>
      <c r="K223" s="1">
        <f t="shared" si="6"/>
        <v>88281.5</v>
      </c>
      <c r="L223" s="1">
        <f t="shared" si="7"/>
        <v>0.60999999999999943</v>
      </c>
      <c r="M223" t="str">
        <f>IF(L223&lt;=Statistics!$E$6,"Low Difference",IF('Product Positioning'!L223&gt;=Statistics!$E$4,"High Difference","Moderate Difference"))</f>
        <v>Low Difference</v>
      </c>
    </row>
    <row r="224" spans="1:13" x14ac:dyDescent="0.2">
      <c r="A224">
        <v>158958</v>
      </c>
      <c r="B224" s="1">
        <v>5.62</v>
      </c>
      <c r="C224" s="1">
        <v>2.52</v>
      </c>
      <c r="D224">
        <v>903</v>
      </c>
      <c r="E224" t="str">
        <f>_xlfn.XLOOKUP(A224, 'Customer Information'!$A$1:$A$1001, 'Customer Information'!$B$1:$B$1001)</f>
        <v>High</v>
      </c>
      <c r="F224" t="str">
        <f>_xlfn.XLOOKUP(A224, 'Customer Information'!$A$1:$A$1001, 'Customer Information'!$C$1:$C$1001)</f>
        <v>Young adults</v>
      </c>
      <c r="G224" t="str">
        <f>_xlfn.XLOOKUP('Customer Information'!A224, 'Customer Information'!$A$1:$A$1001, 'Customer Information'!$D$1:$D$1001)</f>
        <v>No</v>
      </c>
      <c r="H224" t="str">
        <f>INDEX('Additional Product Info.'!$A$1:$C$1001, MATCH('Product Positioning'!$A224, 'Additional Product Info.'!$A$1:$A$1001, 0), MATCH('Product Positioning'!H$1, 'Additional Product Info.'!$A$1:$C$1, 0))</f>
        <v>End-cap</v>
      </c>
      <c r="I224" t="str">
        <f>INDEX('Additional Product Info.'!$A$1:$C$1001, MATCH('Product Positioning'!$A224, 'Additional Product Info.'!$A$1:$A$1001, 0), MATCH('Product Positioning'!I$1, 'Additional Product Info.'!$A$1:$C$1, 0))</f>
        <v>Clothing</v>
      </c>
      <c r="J224" t="str">
        <f>_xlfn.XLOOKUP(A224, $A$1:$A$1001, 'Additional Product Info.'!$D$1:$D$1001)</f>
        <v>No</v>
      </c>
      <c r="K224" s="1">
        <f t="shared" si="6"/>
        <v>5074.8599999999997</v>
      </c>
      <c r="L224" s="1">
        <f t="shared" si="7"/>
        <v>3.1</v>
      </c>
      <c r="M224" t="str">
        <f>IF(L224&lt;=Statistics!$E$6,"Low Difference",IF('Product Positioning'!L224&gt;=Statistics!$E$4,"High Difference","Moderate Difference"))</f>
        <v>Moderate Difference</v>
      </c>
    </row>
    <row r="225" spans="1:13" x14ac:dyDescent="0.2">
      <c r="A225">
        <v>155010</v>
      </c>
      <c r="B225" s="1">
        <v>45.12</v>
      </c>
      <c r="C225" s="1">
        <v>42.21</v>
      </c>
      <c r="D225">
        <v>729</v>
      </c>
      <c r="E225" t="str">
        <f>_xlfn.XLOOKUP(A225, 'Customer Information'!$A$1:$A$1001, 'Customer Information'!$B$1:$B$1001)</f>
        <v>Medium</v>
      </c>
      <c r="F225" t="str">
        <f>_xlfn.XLOOKUP(A225, 'Customer Information'!$A$1:$A$1001, 'Customer Information'!$C$1:$C$1001)</f>
        <v>Families</v>
      </c>
      <c r="G225" t="str">
        <f>_xlfn.XLOOKUP('Customer Information'!A225, 'Customer Information'!$A$1:$A$1001, 'Customer Information'!$D$1:$D$1001)</f>
        <v>Yes</v>
      </c>
      <c r="H225" t="str">
        <f>INDEX('Additional Product Info.'!$A$1:$C$1001, MATCH('Product Positioning'!$A225, 'Additional Product Info.'!$A$1:$A$1001, 0), MATCH('Product Positioning'!H$1, 'Additional Product Info.'!$A$1:$C$1, 0))</f>
        <v>Aisle</v>
      </c>
      <c r="I225" t="str">
        <f>INDEX('Additional Product Info.'!$A$1:$C$1001, MATCH('Product Positioning'!$A225, 'Additional Product Info.'!$A$1:$A$1001, 0), MATCH('Product Positioning'!I$1, 'Additional Product Info.'!$A$1:$C$1, 0))</f>
        <v>Electronics</v>
      </c>
      <c r="J225" t="str">
        <f>_xlfn.XLOOKUP(A225, $A$1:$A$1001, 'Additional Product Info.'!$D$1:$D$1001)</f>
        <v>Yes</v>
      </c>
      <c r="K225" s="1">
        <f t="shared" si="6"/>
        <v>32892.479999999996</v>
      </c>
      <c r="L225" s="1">
        <f t="shared" si="7"/>
        <v>2.9099999999999966</v>
      </c>
      <c r="M225" t="str">
        <f>IF(L225&lt;=Statistics!$E$6,"Low Difference",IF('Product Positioning'!L225&gt;=Statistics!$E$4,"High Difference","Moderate Difference"))</f>
        <v>Moderate Difference</v>
      </c>
    </row>
    <row r="226" spans="1:13" x14ac:dyDescent="0.2">
      <c r="A226">
        <v>135857</v>
      </c>
      <c r="B226" s="1">
        <v>36.020000000000003</v>
      </c>
      <c r="C226" s="1">
        <v>34.82</v>
      </c>
      <c r="D226">
        <v>2045</v>
      </c>
      <c r="E226" t="str">
        <f>_xlfn.XLOOKUP(A226, 'Customer Information'!$A$1:$A$1001, 'Customer Information'!$B$1:$B$1001)</f>
        <v>Medium</v>
      </c>
      <c r="F226" t="str">
        <f>_xlfn.XLOOKUP(A226, 'Customer Information'!$A$1:$A$1001, 'Customer Information'!$C$1:$C$1001)</f>
        <v>Young adults</v>
      </c>
      <c r="G226" t="str">
        <f>_xlfn.XLOOKUP('Customer Information'!A226, 'Customer Information'!$A$1:$A$1001, 'Customer Information'!$D$1:$D$1001)</f>
        <v>No</v>
      </c>
      <c r="H226" t="str">
        <f>INDEX('Additional Product Info.'!$A$1:$C$1001, MATCH('Product Positioning'!$A226, 'Additional Product Info.'!$A$1:$A$1001, 0), MATCH('Product Positioning'!H$1, 'Additional Product Info.'!$A$1:$C$1, 0))</f>
        <v>Aisle</v>
      </c>
      <c r="I226" t="str">
        <f>INDEX('Additional Product Info.'!$A$1:$C$1001, MATCH('Product Positioning'!$A226, 'Additional Product Info.'!$A$1:$A$1001, 0), MATCH('Product Positioning'!I$1, 'Additional Product Info.'!$A$1:$C$1, 0))</f>
        <v>Electronics</v>
      </c>
      <c r="J226" t="str">
        <f>_xlfn.XLOOKUP(A226, $A$1:$A$1001, 'Additional Product Info.'!$D$1:$D$1001)</f>
        <v>Yes</v>
      </c>
      <c r="K226" s="1">
        <f t="shared" si="6"/>
        <v>73660.900000000009</v>
      </c>
      <c r="L226" s="1">
        <f t="shared" si="7"/>
        <v>1.2000000000000028</v>
      </c>
      <c r="M226" t="str">
        <f>IF(L226&lt;=Statistics!$E$6,"Low Difference",IF('Product Positioning'!L226&gt;=Statistics!$E$4,"High Difference","Moderate Difference"))</f>
        <v>Moderate Difference</v>
      </c>
    </row>
    <row r="227" spans="1:13" x14ac:dyDescent="0.2">
      <c r="A227">
        <v>147690</v>
      </c>
      <c r="B227" s="1">
        <v>20.14</v>
      </c>
      <c r="C227" s="1">
        <v>16.600000000000001</v>
      </c>
      <c r="D227">
        <v>881</v>
      </c>
      <c r="E227" t="str">
        <f>_xlfn.XLOOKUP(A227, 'Customer Information'!$A$1:$A$1001, 'Customer Information'!$B$1:$B$1001)</f>
        <v>High</v>
      </c>
      <c r="F227" t="str">
        <f>_xlfn.XLOOKUP(A227, 'Customer Information'!$A$1:$A$1001, 'Customer Information'!$C$1:$C$1001)</f>
        <v>Families</v>
      </c>
      <c r="G227" t="str">
        <f>_xlfn.XLOOKUP('Customer Information'!A227, 'Customer Information'!$A$1:$A$1001, 'Customer Information'!$D$1:$D$1001)</f>
        <v>Yes</v>
      </c>
      <c r="H227" t="str">
        <f>INDEX('Additional Product Info.'!$A$1:$C$1001, MATCH('Product Positioning'!$A227, 'Additional Product Info.'!$A$1:$A$1001, 0), MATCH('Product Positioning'!H$1, 'Additional Product Info.'!$A$1:$C$1, 0))</f>
        <v>Aisle</v>
      </c>
      <c r="I227" t="str">
        <f>INDEX('Additional Product Info.'!$A$1:$C$1001, MATCH('Product Positioning'!$A227, 'Additional Product Info.'!$A$1:$A$1001, 0), MATCH('Product Positioning'!I$1, 'Additional Product Info.'!$A$1:$C$1, 0))</f>
        <v>Food</v>
      </c>
      <c r="J227" t="str">
        <f>_xlfn.XLOOKUP(A227, $A$1:$A$1001, 'Additional Product Info.'!$D$1:$D$1001)</f>
        <v>No</v>
      </c>
      <c r="K227" s="1">
        <f t="shared" si="6"/>
        <v>17743.34</v>
      </c>
      <c r="L227" s="1">
        <f t="shared" si="7"/>
        <v>3.5399999999999991</v>
      </c>
      <c r="M227" t="str">
        <f>IF(L227&lt;=Statistics!$E$6,"Low Difference",IF('Product Positioning'!L227&gt;=Statistics!$E$4,"High Difference","Moderate Difference"))</f>
        <v>Moderate Difference</v>
      </c>
    </row>
    <row r="228" spans="1:13" x14ac:dyDescent="0.2">
      <c r="A228">
        <v>130321</v>
      </c>
      <c r="B228" s="1">
        <v>24.71</v>
      </c>
      <c r="C228" s="1">
        <v>23.07</v>
      </c>
      <c r="D228">
        <v>2093</v>
      </c>
      <c r="E228" t="str">
        <f>_xlfn.XLOOKUP(A228, 'Customer Information'!$A$1:$A$1001, 'Customer Information'!$B$1:$B$1001)</f>
        <v>Low</v>
      </c>
      <c r="F228" t="str">
        <f>_xlfn.XLOOKUP(A228, 'Customer Information'!$A$1:$A$1001, 'Customer Information'!$C$1:$C$1001)</f>
        <v>College students</v>
      </c>
      <c r="G228" t="str">
        <f>_xlfn.XLOOKUP('Customer Information'!A228, 'Customer Information'!$A$1:$A$1001, 'Customer Information'!$D$1:$D$1001)</f>
        <v>Yes</v>
      </c>
      <c r="H228" t="str">
        <f>INDEX('Additional Product Info.'!$A$1:$C$1001, MATCH('Product Positioning'!$A228, 'Additional Product Info.'!$A$1:$A$1001, 0), MATCH('Product Positioning'!H$1, 'Additional Product Info.'!$A$1:$C$1, 0))</f>
        <v>End-cap</v>
      </c>
      <c r="I228" t="str">
        <f>INDEX('Additional Product Info.'!$A$1:$C$1001, MATCH('Product Positioning'!$A228, 'Additional Product Info.'!$A$1:$A$1001, 0), MATCH('Product Positioning'!I$1, 'Additional Product Info.'!$A$1:$C$1, 0))</f>
        <v>Clothing</v>
      </c>
      <c r="J228" t="str">
        <f>_xlfn.XLOOKUP(A228, $A$1:$A$1001, 'Additional Product Info.'!$D$1:$D$1001)</f>
        <v>No</v>
      </c>
      <c r="K228" s="1">
        <f t="shared" si="6"/>
        <v>51718.03</v>
      </c>
      <c r="L228" s="1">
        <f t="shared" si="7"/>
        <v>1.6400000000000006</v>
      </c>
      <c r="M228" t="str">
        <f>IF(L228&lt;=Statistics!$E$6,"Low Difference",IF('Product Positioning'!L228&gt;=Statistics!$E$4,"High Difference","Moderate Difference"))</f>
        <v>Moderate Difference</v>
      </c>
    </row>
    <row r="229" spans="1:13" x14ac:dyDescent="0.2">
      <c r="A229">
        <v>196752</v>
      </c>
      <c r="B229" s="1">
        <v>17.3</v>
      </c>
      <c r="C229" s="1">
        <v>15.83</v>
      </c>
      <c r="D229">
        <v>2227</v>
      </c>
      <c r="E229" t="str">
        <f>_xlfn.XLOOKUP(A229, 'Customer Information'!$A$1:$A$1001, 'Customer Information'!$B$1:$B$1001)</f>
        <v>Medium</v>
      </c>
      <c r="F229" t="str">
        <f>_xlfn.XLOOKUP(A229, 'Customer Information'!$A$1:$A$1001, 'Customer Information'!$C$1:$C$1001)</f>
        <v>College students</v>
      </c>
      <c r="G229" t="str">
        <f>_xlfn.XLOOKUP('Customer Information'!A229, 'Customer Information'!$A$1:$A$1001, 'Customer Information'!$D$1:$D$1001)</f>
        <v>No</v>
      </c>
      <c r="H229" t="str">
        <f>INDEX('Additional Product Info.'!$A$1:$C$1001, MATCH('Product Positioning'!$A229, 'Additional Product Info.'!$A$1:$A$1001, 0), MATCH('Product Positioning'!H$1, 'Additional Product Info.'!$A$1:$C$1, 0))</f>
        <v>End-cap</v>
      </c>
      <c r="I229" t="str">
        <f>INDEX('Additional Product Info.'!$A$1:$C$1001, MATCH('Product Positioning'!$A229, 'Additional Product Info.'!$A$1:$A$1001, 0), MATCH('Product Positioning'!I$1, 'Additional Product Info.'!$A$1:$C$1, 0))</f>
        <v>Clothing</v>
      </c>
      <c r="J229" t="str">
        <f>_xlfn.XLOOKUP(A229, $A$1:$A$1001, 'Additional Product Info.'!$D$1:$D$1001)</f>
        <v>No</v>
      </c>
      <c r="K229" s="1">
        <f t="shared" si="6"/>
        <v>38527.1</v>
      </c>
      <c r="L229" s="1">
        <f t="shared" si="7"/>
        <v>1.4700000000000006</v>
      </c>
      <c r="M229" t="str">
        <f>IF(L229&lt;=Statistics!$E$6,"Low Difference",IF('Product Positioning'!L229&gt;=Statistics!$E$4,"High Difference","Moderate Difference"))</f>
        <v>Moderate Difference</v>
      </c>
    </row>
    <row r="230" spans="1:13" x14ac:dyDescent="0.2">
      <c r="A230">
        <v>181011</v>
      </c>
      <c r="B230" s="1">
        <v>8.9</v>
      </c>
      <c r="C230" s="1">
        <v>4.0599999999999996</v>
      </c>
      <c r="D230">
        <v>994</v>
      </c>
      <c r="E230" t="str">
        <f>_xlfn.XLOOKUP(A230, 'Customer Information'!$A$1:$A$1001, 'Customer Information'!$B$1:$B$1001)</f>
        <v>High</v>
      </c>
      <c r="F230" t="str">
        <f>_xlfn.XLOOKUP(A230, 'Customer Information'!$A$1:$A$1001, 'Customer Information'!$C$1:$C$1001)</f>
        <v>Seniors</v>
      </c>
      <c r="G230" t="str">
        <f>_xlfn.XLOOKUP('Customer Information'!A230, 'Customer Information'!$A$1:$A$1001, 'Customer Information'!$D$1:$D$1001)</f>
        <v>Yes</v>
      </c>
      <c r="H230" t="str">
        <f>INDEX('Additional Product Info.'!$A$1:$C$1001, MATCH('Product Positioning'!$A230, 'Additional Product Info.'!$A$1:$A$1001, 0), MATCH('Product Positioning'!H$1, 'Additional Product Info.'!$A$1:$C$1, 0))</f>
        <v>Aisle</v>
      </c>
      <c r="I230" t="str">
        <f>INDEX('Additional Product Info.'!$A$1:$C$1001, MATCH('Product Positioning'!$A230, 'Additional Product Info.'!$A$1:$A$1001, 0), MATCH('Product Positioning'!I$1, 'Additional Product Info.'!$A$1:$C$1, 0))</f>
        <v>Food</v>
      </c>
      <c r="J230" t="str">
        <f>_xlfn.XLOOKUP(A230, $A$1:$A$1001, 'Additional Product Info.'!$D$1:$D$1001)</f>
        <v>Yes</v>
      </c>
      <c r="K230" s="1">
        <f t="shared" si="6"/>
        <v>8846.6</v>
      </c>
      <c r="L230" s="1">
        <f t="shared" si="7"/>
        <v>4.8400000000000007</v>
      </c>
      <c r="M230" t="str">
        <f>IF(L230&lt;=Statistics!$E$6,"Low Difference",IF('Product Positioning'!L230&gt;=Statistics!$E$4,"High Difference","Moderate Difference"))</f>
        <v>High Difference</v>
      </c>
    </row>
    <row r="231" spans="1:13" x14ac:dyDescent="0.2">
      <c r="A231">
        <v>139967</v>
      </c>
      <c r="B231" s="1">
        <v>28.7</v>
      </c>
      <c r="C231" s="1">
        <v>24.82</v>
      </c>
      <c r="D231">
        <v>2634</v>
      </c>
      <c r="E231" t="str">
        <f>_xlfn.XLOOKUP(A231, 'Customer Information'!$A$1:$A$1001, 'Customer Information'!$B$1:$B$1001)</f>
        <v>High</v>
      </c>
      <c r="F231" t="str">
        <f>_xlfn.XLOOKUP(A231, 'Customer Information'!$A$1:$A$1001, 'Customer Information'!$C$1:$C$1001)</f>
        <v>College students</v>
      </c>
      <c r="G231" t="str">
        <f>_xlfn.XLOOKUP('Customer Information'!A231, 'Customer Information'!$A$1:$A$1001, 'Customer Information'!$D$1:$D$1001)</f>
        <v>No</v>
      </c>
      <c r="H231" t="str">
        <f>INDEX('Additional Product Info.'!$A$1:$C$1001, MATCH('Product Positioning'!$A231, 'Additional Product Info.'!$A$1:$A$1001, 0), MATCH('Product Positioning'!H$1, 'Additional Product Info.'!$A$1:$C$1, 0))</f>
        <v>End-cap</v>
      </c>
      <c r="I231" t="str">
        <f>INDEX('Additional Product Info.'!$A$1:$C$1001, MATCH('Product Positioning'!$A231, 'Additional Product Info.'!$A$1:$A$1001, 0), MATCH('Product Positioning'!I$1, 'Additional Product Info.'!$A$1:$C$1, 0))</f>
        <v>Electronics</v>
      </c>
      <c r="J231" t="str">
        <f>_xlfn.XLOOKUP(A231, $A$1:$A$1001, 'Additional Product Info.'!$D$1:$D$1001)</f>
        <v>No</v>
      </c>
      <c r="K231" s="1">
        <f t="shared" si="6"/>
        <v>75595.8</v>
      </c>
      <c r="L231" s="1">
        <f t="shared" si="7"/>
        <v>3.879999999999999</v>
      </c>
      <c r="M231" t="str">
        <f>IF(L231&lt;=Statistics!$E$6,"Low Difference",IF('Product Positioning'!L231&gt;=Statistics!$E$4,"High Difference","Moderate Difference"))</f>
        <v>High Difference</v>
      </c>
    </row>
    <row r="232" spans="1:13" x14ac:dyDescent="0.2">
      <c r="A232">
        <v>162699</v>
      </c>
      <c r="B232" s="1">
        <v>49.58</v>
      </c>
      <c r="C232" s="1">
        <v>47.36</v>
      </c>
      <c r="D232">
        <v>2732</v>
      </c>
      <c r="E232" t="str">
        <f>_xlfn.XLOOKUP(A232, 'Customer Information'!$A$1:$A$1001, 'Customer Information'!$B$1:$B$1001)</f>
        <v>High</v>
      </c>
      <c r="F232" t="str">
        <f>_xlfn.XLOOKUP(A232, 'Customer Information'!$A$1:$A$1001, 'Customer Information'!$C$1:$C$1001)</f>
        <v>Young adults</v>
      </c>
      <c r="G232" t="str">
        <f>_xlfn.XLOOKUP('Customer Information'!A232, 'Customer Information'!$A$1:$A$1001, 'Customer Information'!$D$1:$D$1001)</f>
        <v>No</v>
      </c>
      <c r="H232" t="str">
        <f>INDEX('Additional Product Info.'!$A$1:$C$1001, MATCH('Product Positioning'!$A232, 'Additional Product Info.'!$A$1:$A$1001, 0), MATCH('Product Positioning'!H$1, 'Additional Product Info.'!$A$1:$C$1, 0))</f>
        <v>End-cap</v>
      </c>
      <c r="I232" t="str">
        <f>INDEX('Additional Product Info.'!$A$1:$C$1001, MATCH('Product Positioning'!$A232, 'Additional Product Info.'!$A$1:$A$1001, 0), MATCH('Product Positioning'!I$1, 'Additional Product Info.'!$A$1:$C$1, 0))</f>
        <v>Electronics</v>
      </c>
      <c r="J232" t="str">
        <f>_xlfn.XLOOKUP(A232, $A$1:$A$1001, 'Additional Product Info.'!$D$1:$D$1001)</f>
        <v>Yes</v>
      </c>
      <c r="K232" s="1">
        <f t="shared" si="6"/>
        <v>135452.56</v>
      </c>
      <c r="L232" s="1">
        <f t="shared" si="7"/>
        <v>2.2199999999999989</v>
      </c>
      <c r="M232" t="str">
        <f>IF(L232&lt;=Statistics!$E$6,"Low Difference",IF('Product Positioning'!L232&gt;=Statistics!$E$4,"High Difference","Moderate Difference"))</f>
        <v>Moderate Difference</v>
      </c>
    </row>
    <row r="233" spans="1:13" x14ac:dyDescent="0.2">
      <c r="A233">
        <v>119044</v>
      </c>
      <c r="B233" s="1">
        <v>36.67</v>
      </c>
      <c r="C233" s="1">
        <v>32.79</v>
      </c>
      <c r="D233">
        <v>1140</v>
      </c>
      <c r="E233" t="str">
        <f>_xlfn.XLOOKUP(A233, 'Customer Information'!$A$1:$A$1001, 'Customer Information'!$B$1:$B$1001)</f>
        <v>High</v>
      </c>
      <c r="F233" t="str">
        <f>_xlfn.XLOOKUP(A233, 'Customer Information'!$A$1:$A$1001, 'Customer Information'!$C$1:$C$1001)</f>
        <v>College students</v>
      </c>
      <c r="G233" t="str">
        <f>_xlfn.XLOOKUP('Customer Information'!A233, 'Customer Information'!$A$1:$A$1001, 'Customer Information'!$D$1:$D$1001)</f>
        <v>No</v>
      </c>
      <c r="H233" t="str">
        <f>INDEX('Additional Product Info.'!$A$1:$C$1001, MATCH('Product Positioning'!$A233, 'Additional Product Info.'!$A$1:$A$1001, 0), MATCH('Product Positioning'!H$1, 'Additional Product Info.'!$A$1:$C$1, 0))</f>
        <v>Aisle</v>
      </c>
      <c r="I233" t="str">
        <f>INDEX('Additional Product Info.'!$A$1:$C$1001, MATCH('Product Positioning'!$A233, 'Additional Product Info.'!$A$1:$A$1001, 0), MATCH('Product Positioning'!I$1, 'Additional Product Info.'!$A$1:$C$1, 0))</f>
        <v>Food</v>
      </c>
      <c r="J233" t="str">
        <f>_xlfn.XLOOKUP(A233, $A$1:$A$1001, 'Additional Product Info.'!$D$1:$D$1001)</f>
        <v>Yes</v>
      </c>
      <c r="K233" s="1">
        <f t="shared" si="6"/>
        <v>41803.800000000003</v>
      </c>
      <c r="L233" s="1">
        <f t="shared" si="7"/>
        <v>3.8800000000000026</v>
      </c>
      <c r="M233" t="str">
        <f>IF(L233&lt;=Statistics!$E$6,"Low Difference",IF('Product Positioning'!L233&gt;=Statistics!$E$4,"High Difference","Moderate Difference"))</f>
        <v>High Difference</v>
      </c>
    </row>
    <row r="234" spans="1:13" x14ac:dyDescent="0.2">
      <c r="A234">
        <v>121348</v>
      </c>
      <c r="B234" s="1">
        <v>32.06</v>
      </c>
      <c r="C234" s="1">
        <v>29</v>
      </c>
      <c r="D234">
        <v>1008</v>
      </c>
      <c r="E234" t="str">
        <f>_xlfn.XLOOKUP(A234, 'Customer Information'!$A$1:$A$1001, 'Customer Information'!$B$1:$B$1001)</f>
        <v>High</v>
      </c>
      <c r="F234" t="str">
        <f>_xlfn.XLOOKUP(A234, 'Customer Information'!$A$1:$A$1001, 'Customer Information'!$C$1:$C$1001)</f>
        <v>Seniors</v>
      </c>
      <c r="G234" t="str">
        <f>_xlfn.XLOOKUP('Customer Information'!A234, 'Customer Information'!$A$1:$A$1001, 'Customer Information'!$D$1:$D$1001)</f>
        <v>No</v>
      </c>
      <c r="H234" t="str">
        <f>INDEX('Additional Product Info.'!$A$1:$C$1001, MATCH('Product Positioning'!$A234, 'Additional Product Info.'!$A$1:$A$1001, 0), MATCH('Product Positioning'!H$1, 'Additional Product Info.'!$A$1:$C$1, 0))</f>
        <v>End-cap</v>
      </c>
      <c r="I234" t="str">
        <f>INDEX('Additional Product Info.'!$A$1:$C$1001, MATCH('Product Positioning'!$A234, 'Additional Product Info.'!$A$1:$A$1001, 0), MATCH('Product Positioning'!I$1, 'Additional Product Info.'!$A$1:$C$1, 0))</f>
        <v>Electronics</v>
      </c>
      <c r="J234" t="str">
        <f>_xlfn.XLOOKUP(A234, $A$1:$A$1001, 'Additional Product Info.'!$D$1:$D$1001)</f>
        <v>Yes</v>
      </c>
      <c r="K234" s="1">
        <f t="shared" si="6"/>
        <v>32316.480000000003</v>
      </c>
      <c r="L234" s="1">
        <f t="shared" si="7"/>
        <v>3.0600000000000023</v>
      </c>
      <c r="M234" t="str">
        <f>IF(L234&lt;=Statistics!$E$6,"Low Difference",IF('Product Positioning'!L234&gt;=Statistics!$E$4,"High Difference","Moderate Difference"))</f>
        <v>Moderate Difference</v>
      </c>
    </row>
    <row r="235" spans="1:13" x14ac:dyDescent="0.2">
      <c r="A235">
        <v>163982</v>
      </c>
      <c r="B235" s="1">
        <v>17.2</v>
      </c>
      <c r="C235" s="1">
        <v>12.21</v>
      </c>
      <c r="D235">
        <v>2685</v>
      </c>
      <c r="E235" t="str">
        <f>_xlfn.XLOOKUP(A235, 'Customer Information'!$A$1:$A$1001, 'Customer Information'!$B$1:$B$1001)</f>
        <v>Medium</v>
      </c>
      <c r="F235" t="str">
        <f>_xlfn.XLOOKUP(A235, 'Customer Information'!$A$1:$A$1001, 'Customer Information'!$C$1:$C$1001)</f>
        <v>Families</v>
      </c>
      <c r="G235" t="str">
        <f>_xlfn.XLOOKUP('Customer Information'!A235, 'Customer Information'!$A$1:$A$1001, 'Customer Information'!$D$1:$D$1001)</f>
        <v>No</v>
      </c>
      <c r="H235" t="str">
        <f>INDEX('Additional Product Info.'!$A$1:$C$1001, MATCH('Product Positioning'!$A235, 'Additional Product Info.'!$A$1:$A$1001, 0), MATCH('Product Positioning'!H$1, 'Additional Product Info.'!$A$1:$C$1, 0))</f>
        <v>Front of Store</v>
      </c>
      <c r="I235" t="str">
        <f>INDEX('Additional Product Info.'!$A$1:$C$1001, MATCH('Product Positioning'!$A235, 'Additional Product Info.'!$A$1:$A$1001, 0), MATCH('Product Positioning'!I$1, 'Additional Product Info.'!$A$1:$C$1, 0))</f>
        <v>Clothing</v>
      </c>
      <c r="J235" t="str">
        <f>_xlfn.XLOOKUP(A235, $A$1:$A$1001, 'Additional Product Info.'!$D$1:$D$1001)</f>
        <v>No</v>
      </c>
      <c r="K235" s="1">
        <f t="shared" si="6"/>
        <v>46182</v>
      </c>
      <c r="L235" s="1">
        <f t="shared" si="7"/>
        <v>4.9899999999999984</v>
      </c>
      <c r="M235" t="str">
        <f>IF(L235&lt;=Statistics!$E$6,"Low Difference",IF('Product Positioning'!L235&gt;=Statistics!$E$4,"High Difference","Moderate Difference"))</f>
        <v>High Difference</v>
      </c>
    </row>
    <row r="236" spans="1:13" x14ac:dyDescent="0.2">
      <c r="A236">
        <v>185774</v>
      </c>
      <c r="B236" s="1">
        <v>7.33</v>
      </c>
      <c r="C236" s="1">
        <v>2.63</v>
      </c>
      <c r="D236">
        <v>1145</v>
      </c>
      <c r="E236" t="str">
        <f>_xlfn.XLOOKUP(A236, 'Customer Information'!$A$1:$A$1001, 'Customer Information'!$B$1:$B$1001)</f>
        <v>High</v>
      </c>
      <c r="F236" t="str">
        <f>_xlfn.XLOOKUP(A236, 'Customer Information'!$A$1:$A$1001, 'Customer Information'!$C$1:$C$1001)</f>
        <v>College students</v>
      </c>
      <c r="G236" t="str">
        <f>_xlfn.XLOOKUP('Customer Information'!A236, 'Customer Information'!$A$1:$A$1001, 'Customer Information'!$D$1:$D$1001)</f>
        <v>Yes</v>
      </c>
      <c r="H236" t="str">
        <f>INDEX('Additional Product Info.'!$A$1:$C$1001, MATCH('Product Positioning'!$A236, 'Additional Product Info.'!$A$1:$A$1001, 0), MATCH('Product Positioning'!H$1, 'Additional Product Info.'!$A$1:$C$1, 0))</f>
        <v>End-cap</v>
      </c>
      <c r="I236" t="str">
        <f>INDEX('Additional Product Info.'!$A$1:$C$1001, MATCH('Product Positioning'!$A236, 'Additional Product Info.'!$A$1:$A$1001, 0), MATCH('Product Positioning'!I$1, 'Additional Product Info.'!$A$1:$C$1, 0))</f>
        <v>Clothing</v>
      </c>
      <c r="J236" t="str">
        <f>_xlfn.XLOOKUP(A236, $A$1:$A$1001, 'Additional Product Info.'!$D$1:$D$1001)</f>
        <v>Yes</v>
      </c>
      <c r="K236" s="1">
        <f t="shared" si="6"/>
        <v>8392.85</v>
      </c>
      <c r="L236" s="1">
        <f t="shared" si="7"/>
        <v>4.7</v>
      </c>
      <c r="M236" t="str">
        <f>IF(L236&lt;=Statistics!$E$6,"Low Difference",IF('Product Positioning'!L236&gt;=Statistics!$E$4,"High Difference","Moderate Difference"))</f>
        <v>High Difference</v>
      </c>
    </row>
    <row r="237" spans="1:13" x14ac:dyDescent="0.2">
      <c r="A237">
        <v>144651</v>
      </c>
      <c r="B237" s="1">
        <v>31.45</v>
      </c>
      <c r="C237" s="1">
        <v>31.4</v>
      </c>
      <c r="D237">
        <v>1791</v>
      </c>
      <c r="E237" t="str">
        <f>_xlfn.XLOOKUP(A237, 'Customer Information'!$A$1:$A$1001, 'Customer Information'!$B$1:$B$1001)</f>
        <v>High</v>
      </c>
      <c r="F237" t="str">
        <f>_xlfn.XLOOKUP(A237, 'Customer Information'!$A$1:$A$1001, 'Customer Information'!$C$1:$C$1001)</f>
        <v>Families</v>
      </c>
      <c r="G237" t="str">
        <f>_xlfn.XLOOKUP('Customer Information'!A237, 'Customer Information'!$A$1:$A$1001, 'Customer Information'!$D$1:$D$1001)</f>
        <v>Yes</v>
      </c>
      <c r="H237" t="str">
        <f>INDEX('Additional Product Info.'!$A$1:$C$1001, MATCH('Product Positioning'!$A237, 'Additional Product Info.'!$A$1:$A$1001, 0), MATCH('Product Positioning'!H$1, 'Additional Product Info.'!$A$1:$C$1, 0))</f>
        <v>Aisle</v>
      </c>
      <c r="I237" t="str">
        <f>INDEX('Additional Product Info.'!$A$1:$C$1001, MATCH('Product Positioning'!$A237, 'Additional Product Info.'!$A$1:$A$1001, 0), MATCH('Product Positioning'!I$1, 'Additional Product Info.'!$A$1:$C$1, 0))</f>
        <v>Clothing</v>
      </c>
      <c r="J237" t="str">
        <f>_xlfn.XLOOKUP(A237, $A$1:$A$1001, 'Additional Product Info.'!$D$1:$D$1001)</f>
        <v>No</v>
      </c>
      <c r="K237" s="1">
        <f t="shared" si="6"/>
        <v>56326.95</v>
      </c>
      <c r="L237" s="1">
        <f t="shared" si="7"/>
        <v>5.0000000000000711E-2</v>
      </c>
      <c r="M237" t="str">
        <f>IF(L237&lt;=Statistics!$E$6,"Low Difference",IF('Product Positioning'!L237&gt;=Statistics!$E$4,"High Difference","Moderate Difference"))</f>
        <v>Low Difference</v>
      </c>
    </row>
    <row r="238" spans="1:13" x14ac:dyDescent="0.2">
      <c r="A238">
        <v>195103</v>
      </c>
      <c r="B238" s="1">
        <v>41.79</v>
      </c>
      <c r="C238" s="1">
        <v>41.5</v>
      </c>
      <c r="D238">
        <v>2849</v>
      </c>
      <c r="E238" t="str">
        <f>_xlfn.XLOOKUP(A238, 'Customer Information'!$A$1:$A$1001, 'Customer Information'!$B$1:$B$1001)</f>
        <v>High</v>
      </c>
      <c r="F238" t="str">
        <f>_xlfn.XLOOKUP(A238, 'Customer Information'!$A$1:$A$1001, 'Customer Information'!$C$1:$C$1001)</f>
        <v>Families</v>
      </c>
      <c r="G238" t="str">
        <f>_xlfn.XLOOKUP('Customer Information'!A238, 'Customer Information'!$A$1:$A$1001, 'Customer Information'!$D$1:$D$1001)</f>
        <v>Yes</v>
      </c>
      <c r="H238" t="str">
        <f>INDEX('Additional Product Info.'!$A$1:$C$1001, MATCH('Product Positioning'!$A238, 'Additional Product Info.'!$A$1:$A$1001, 0), MATCH('Product Positioning'!H$1, 'Additional Product Info.'!$A$1:$C$1, 0))</f>
        <v>Aisle</v>
      </c>
      <c r="I238" t="str">
        <f>INDEX('Additional Product Info.'!$A$1:$C$1001, MATCH('Product Positioning'!$A238, 'Additional Product Info.'!$A$1:$A$1001, 0), MATCH('Product Positioning'!I$1, 'Additional Product Info.'!$A$1:$C$1, 0))</f>
        <v>Food</v>
      </c>
      <c r="J238" t="str">
        <f>_xlfn.XLOOKUP(A238, $A$1:$A$1001, 'Additional Product Info.'!$D$1:$D$1001)</f>
        <v>No</v>
      </c>
      <c r="K238" s="1">
        <f t="shared" si="6"/>
        <v>119059.70999999999</v>
      </c>
      <c r="L238" s="1">
        <f t="shared" si="7"/>
        <v>0.28999999999999915</v>
      </c>
      <c r="M238" t="str">
        <f>IF(L238&lt;=Statistics!$E$6,"Low Difference",IF('Product Positioning'!L238&gt;=Statistics!$E$4,"High Difference","Moderate Difference"))</f>
        <v>Low Difference</v>
      </c>
    </row>
    <row r="239" spans="1:13" x14ac:dyDescent="0.2">
      <c r="A239">
        <v>123047</v>
      </c>
      <c r="B239" s="1">
        <v>9.8800000000000008</v>
      </c>
      <c r="C239" s="1">
        <v>6.03</v>
      </c>
      <c r="D239">
        <v>2985</v>
      </c>
      <c r="E239" t="str">
        <f>_xlfn.XLOOKUP(A239, 'Customer Information'!$A$1:$A$1001, 'Customer Information'!$B$1:$B$1001)</f>
        <v>Low</v>
      </c>
      <c r="F239" t="str">
        <f>_xlfn.XLOOKUP(A239, 'Customer Information'!$A$1:$A$1001, 'Customer Information'!$C$1:$C$1001)</f>
        <v>Seniors</v>
      </c>
      <c r="G239" t="str">
        <f>_xlfn.XLOOKUP('Customer Information'!A239, 'Customer Information'!$A$1:$A$1001, 'Customer Information'!$D$1:$D$1001)</f>
        <v>No</v>
      </c>
      <c r="H239" t="str">
        <f>INDEX('Additional Product Info.'!$A$1:$C$1001, MATCH('Product Positioning'!$A239, 'Additional Product Info.'!$A$1:$A$1001, 0), MATCH('Product Positioning'!H$1, 'Additional Product Info.'!$A$1:$C$1, 0))</f>
        <v>Aisle</v>
      </c>
      <c r="I239" t="str">
        <f>INDEX('Additional Product Info.'!$A$1:$C$1001, MATCH('Product Positioning'!$A239, 'Additional Product Info.'!$A$1:$A$1001, 0), MATCH('Product Positioning'!I$1, 'Additional Product Info.'!$A$1:$C$1, 0))</f>
        <v>Food</v>
      </c>
      <c r="J239" t="str">
        <f>_xlfn.XLOOKUP(A239, $A$1:$A$1001, 'Additional Product Info.'!$D$1:$D$1001)</f>
        <v>Yes</v>
      </c>
      <c r="K239" s="1">
        <f t="shared" si="6"/>
        <v>29491.800000000003</v>
      </c>
      <c r="L239" s="1">
        <f t="shared" si="7"/>
        <v>3.8500000000000005</v>
      </c>
      <c r="M239" t="str">
        <f>IF(L239&lt;=Statistics!$E$6,"Low Difference",IF('Product Positioning'!L239&gt;=Statistics!$E$4,"High Difference","Moderate Difference"))</f>
        <v>High Difference</v>
      </c>
    </row>
    <row r="240" spans="1:13" x14ac:dyDescent="0.2">
      <c r="A240">
        <v>123077</v>
      </c>
      <c r="B240" s="1">
        <v>16.27</v>
      </c>
      <c r="C240" s="1">
        <v>13.48</v>
      </c>
      <c r="D240">
        <v>1603</v>
      </c>
      <c r="E240" t="str">
        <f>_xlfn.XLOOKUP(A240, 'Customer Information'!$A$1:$A$1001, 'Customer Information'!$B$1:$B$1001)</f>
        <v>Medium</v>
      </c>
      <c r="F240" t="str">
        <f>_xlfn.XLOOKUP(A240, 'Customer Information'!$A$1:$A$1001, 'Customer Information'!$C$1:$C$1001)</f>
        <v>Young adults</v>
      </c>
      <c r="G240" t="str">
        <f>_xlfn.XLOOKUP('Customer Information'!A240, 'Customer Information'!$A$1:$A$1001, 'Customer Information'!$D$1:$D$1001)</f>
        <v>No</v>
      </c>
      <c r="H240" t="str">
        <f>INDEX('Additional Product Info.'!$A$1:$C$1001, MATCH('Product Positioning'!$A240, 'Additional Product Info.'!$A$1:$A$1001, 0), MATCH('Product Positioning'!H$1, 'Additional Product Info.'!$A$1:$C$1, 0))</f>
        <v>Front of Store</v>
      </c>
      <c r="I240" t="str">
        <f>INDEX('Additional Product Info.'!$A$1:$C$1001, MATCH('Product Positioning'!$A240, 'Additional Product Info.'!$A$1:$A$1001, 0), MATCH('Product Positioning'!I$1, 'Additional Product Info.'!$A$1:$C$1, 0))</f>
        <v>Electronics</v>
      </c>
      <c r="J240" t="str">
        <f>_xlfn.XLOOKUP(A240, $A$1:$A$1001, 'Additional Product Info.'!$D$1:$D$1001)</f>
        <v>No</v>
      </c>
      <c r="K240" s="1">
        <f t="shared" si="6"/>
        <v>26080.809999999998</v>
      </c>
      <c r="L240" s="1">
        <f t="shared" si="7"/>
        <v>2.7899999999999991</v>
      </c>
      <c r="M240" t="str">
        <f>IF(L240&lt;=Statistics!$E$6,"Low Difference",IF('Product Positioning'!L240&gt;=Statistics!$E$4,"High Difference","Moderate Difference"))</f>
        <v>Moderate Difference</v>
      </c>
    </row>
    <row r="241" spans="1:13" x14ac:dyDescent="0.2">
      <c r="A241">
        <v>171860</v>
      </c>
      <c r="B241" s="1">
        <v>43.18</v>
      </c>
      <c r="C241" s="1">
        <v>39.47</v>
      </c>
      <c r="D241">
        <v>707</v>
      </c>
      <c r="E241" t="str">
        <f>_xlfn.XLOOKUP(A241, 'Customer Information'!$A$1:$A$1001, 'Customer Information'!$B$1:$B$1001)</f>
        <v>High</v>
      </c>
      <c r="F241" t="str">
        <f>_xlfn.XLOOKUP(A241, 'Customer Information'!$A$1:$A$1001, 'Customer Information'!$C$1:$C$1001)</f>
        <v>Young adults</v>
      </c>
      <c r="G241" t="str">
        <f>_xlfn.XLOOKUP('Customer Information'!A241, 'Customer Information'!$A$1:$A$1001, 'Customer Information'!$D$1:$D$1001)</f>
        <v>Yes</v>
      </c>
      <c r="H241" t="str">
        <f>INDEX('Additional Product Info.'!$A$1:$C$1001, MATCH('Product Positioning'!$A241, 'Additional Product Info.'!$A$1:$A$1001, 0), MATCH('Product Positioning'!H$1, 'Additional Product Info.'!$A$1:$C$1, 0))</f>
        <v>Aisle</v>
      </c>
      <c r="I241" t="str">
        <f>INDEX('Additional Product Info.'!$A$1:$C$1001, MATCH('Product Positioning'!$A241, 'Additional Product Info.'!$A$1:$A$1001, 0), MATCH('Product Positioning'!I$1, 'Additional Product Info.'!$A$1:$C$1, 0))</f>
        <v>Electronics</v>
      </c>
      <c r="J241" t="str">
        <f>_xlfn.XLOOKUP(A241, $A$1:$A$1001, 'Additional Product Info.'!$D$1:$D$1001)</f>
        <v>No</v>
      </c>
      <c r="K241" s="1">
        <f t="shared" si="6"/>
        <v>30528.26</v>
      </c>
      <c r="L241" s="1">
        <f t="shared" si="7"/>
        <v>3.7100000000000009</v>
      </c>
      <c r="M241" t="str">
        <f>IF(L241&lt;=Statistics!$E$6,"Low Difference",IF('Product Positioning'!L241&gt;=Statistics!$E$4,"High Difference","Moderate Difference"))</f>
        <v>High Difference</v>
      </c>
    </row>
    <row r="242" spans="1:13" x14ac:dyDescent="0.2">
      <c r="A242">
        <v>149487</v>
      </c>
      <c r="B242" s="1">
        <v>25.54</v>
      </c>
      <c r="C242" s="1">
        <v>20.91</v>
      </c>
      <c r="D242">
        <v>1258</v>
      </c>
      <c r="E242" t="str">
        <f>_xlfn.XLOOKUP(A242, 'Customer Information'!$A$1:$A$1001, 'Customer Information'!$B$1:$B$1001)</f>
        <v>High</v>
      </c>
      <c r="F242" t="str">
        <f>_xlfn.XLOOKUP(A242, 'Customer Information'!$A$1:$A$1001, 'Customer Information'!$C$1:$C$1001)</f>
        <v>Families</v>
      </c>
      <c r="G242" t="str">
        <f>_xlfn.XLOOKUP('Customer Information'!A242, 'Customer Information'!$A$1:$A$1001, 'Customer Information'!$D$1:$D$1001)</f>
        <v>No</v>
      </c>
      <c r="H242" t="str">
        <f>INDEX('Additional Product Info.'!$A$1:$C$1001, MATCH('Product Positioning'!$A242, 'Additional Product Info.'!$A$1:$A$1001, 0), MATCH('Product Positioning'!H$1, 'Additional Product Info.'!$A$1:$C$1, 0))</f>
        <v>Aisle</v>
      </c>
      <c r="I242" t="str">
        <f>INDEX('Additional Product Info.'!$A$1:$C$1001, MATCH('Product Positioning'!$A242, 'Additional Product Info.'!$A$1:$A$1001, 0), MATCH('Product Positioning'!I$1, 'Additional Product Info.'!$A$1:$C$1, 0))</f>
        <v>Clothing</v>
      </c>
      <c r="J242" t="str">
        <f>_xlfn.XLOOKUP(A242, $A$1:$A$1001, 'Additional Product Info.'!$D$1:$D$1001)</f>
        <v>Yes</v>
      </c>
      <c r="K242" s="1">
        <f t="shared" si="6"/>
        <v>32129.32</v>
      </c>
      <c r="L242" s="1">
        <f t="shared" si="7"/>
        <v>4.629999999999999</v>
      </c>
      <c r="M242" t="str">
        <f>IF(L242&lt;=Statistics!$E$6,"Low Difference",IF('Product Positioning'!L242&gt;=Statistics!$E$4,"High Difference","Moderate Difference"))</f>
        <v>High Difference</v>
      </c>
    </row>
    <row r="243" spans="1:13" x14ac:dyDescent="0.2">
      <c r="A243">
        <v>168516</v>
      </c>
      <c r="B243" s="1">
        <v>17.09</v>
      </c>
      <c r="C243" s="1">
        <v>14.13</v>
      </c>
      <c r="D243">
        <v>2168</v>
      </c>
      <c r="E243" t="str">
        <f>_xlfn.XLOOKUP(A243, 'Customer Information'!$A$1:$A$1001, 'Customer Information'!$B$1:$B$1001)</f>
        <v>Medium</v>
      </c>
      <c r="F243" t="str">
        <f>_xlfn.XLOOKUP(A243, 'Customer Information'!$A$1:$A$1001, 'Customer Information'!$C$1:$C$1001)</f>
        <v>College students</v>
      </c>
      <c r="G243" t="str">
        <f>_xlfn.XLOOKUP('Customer Information'!A243, 'Customer Information'!$A$1:$A$1001, 'Customer Information'!$D$1:$D$1001)</f>
        <v>Yes</v>
      </c>
      <c r="H243" t="str">
        <f>INDEX('Additional Product Info.'!$A$1:$C$1001, MATCH('Product Positioning'!$A243, 'Additional Product Info.'!$A$1:$A$1001, 0), MATCH('Product Positioning'!H$1, 'Additional Product Info.'!$A$1:$C$1, 0))</f>
        <v>Front of Store</v>
      </c>
      <c r="I243" t="str">
        <f>INDEX('Additional Product Info.'!$A$1:$C$1001, MATCH('Product Positioning'!$A243, 'Additional Product Info.'!$A$1:$A$1001, 0), MATCH('Product Positioning'!I$1, 'Additional Product Info.'!$A$1:$C$1, 0))</f>
        <v>Clothing</v>
      </c>
      <c r="J243" t="str">
        <f>_xlfn.XLOOKUP(A243, $A$1:$A$1001, 'Additional Product Info.'!$D$1:$D$1001)</f>
        <v>No</v>
      </c>
      <c r="K243" s="1">
        <f t="shared" si="6"/>
        <v>37051.120000000003</v>
      </c>
      <c r="L243" s="1">
        <f t="shared" si="7"/>
        <v>2.9599999999999991</v>
      </c>
      <c r="M243" t="str">
        <f>IF(L243&lt;=Statistics!$E$6,"Low Difference",IF('Product Positioning'!L243&gt;=Statistics!$E$4,"High Difference","Moderate Difference"))</f>
        <v>Moderate Difference</v>
      </c>
    </row>
    <row r="244" spans="1:13" x14ac:dyDescent="0.2">
      <c r="A244">
        <v>177771</v>
      </c>
      <c r="B244" s="1">
        <v>37.72</v>
      </c>
      <c r="C244" s="1">
        <v>36.32</v>
      </c>
      <c r="D244">
        <v>1764</v>
      </c>
      <c r="E244" t="str">
        <f>_xlfn.XLOOKUP(A244, 'Customer Information'!$A$1:$A$1001, 'Customer Information'!$B$1:$B$1001)</f>
        <v>Low</v>
      </c>
      <c r="F244" t="str">
        <f>_xlfn.XLOOKUP(A244, 'Customer Information'!$A$1:$A$1001, 'Customer Information'!$C$1:$C$1001)</f>
        <v>Young adults</v>
      </c>
      <c r="G244" t="str">
        <f>_xlfn.XLOOKUP('Customer Information'!A244, 'Customer Information'!$A$1:$A$1001, 'Customer Information'!$D$1:$D$1001)</f>
        <v>Yes</v>
      </c>
      <c r="H244" t="str">
        <f>INDEX('Additional Product Info.'!$A$1:$C$1001, MATCH('Product Positioning'!$A244, 'Additional Product Info.'!$A$1:$A$1001, 0), MATCH('Product Positioning'!H$1, 'Additional Product Info.'!$A$1:$C$1, 0))</f>
        <v>End-cap</v>
      </c>
      <c r="I244" t="str">
        <f>INDEX('Additional Product Info.'!$A$1:$C$1001, MATCH('Product Positioning'!$A244, 'Additional Product Info.'!$A$1:$A$1001, 0), MATCH('Product Positioning'!I$1, 'Additional Product Info.'!$A$1:$C$1, 0))</f>
        <v>Electronics</v>
      </c>
      <c r="J244" t="str">
        <f>_xlfn.XLOOKUP(A244, $A$1:$A$1001, 'Additional Product Info.'!$D$1:$D$1001)</f>
        <v>Yes</v>
      </c>
      <c r="K244" s="1">
        <f t="shared" si="6"/>
        <v>66538.080000000002</v>
      </c>
      <c r="L244" s="1">
        <f t="shared" si="7"/>
        <v>1.3999999999999986</v>
      </c>
      <c r="M244" t="str">
        <f>IF(L244&lt;=Statistics!$E$6,"Low Difference",IF('Product Positioning'!L244&gt;=Statistics!$E$4,"High Difference","Moderate Difference"))</f>
        <v>Moderate Difference</v>
      </c>
    </row>
    <row r="245" spans="1:13" x14ac:dyDescent="0.2">
      <c r="A245">
        <v>172015</v>
      </c>
      <c r="B245" s="1">
        <v>33.93</v>
      </c>
      <c r="C245" s="1">
        <v>30.5</v>
      </c>
      <c r="D245">
        <v>2622</v>
      </c>
      <c r="E245" t="str">
        <f>_xlfn.XLOOKUP(A245, 'Customer Information'!$A$1:$A$1001, 'Customer Information'!$B$1:$B$1001)</f>
        <v>Medium</v>
      </c>
      <c r="F245" t="str">
        <f>_xlfn.XLOOKUP(A245, 'Customer Information'!$A$1:$A$1001, 'Customer Information'!$C$1:$C$1001)</f>
        <v>College students</v>
      </c>
      <c r="G245" t="str">
        <f>_xlfn.XLOOKUP('Customer Information'!A245, 'Customer Information'!$A$1:$A$1001, 'Customer Information'!$D$1:$D$1001)</f>
        <v>Yes</v>
      </c>
      <c r="H245" t="str">
        <f>INDEX('Additional Product Info.'!$A$1:$C$1001, MATCH('Product Positioning'!$A245, 'Additional Product Info.'!$A$1:$A$1001, 0), MATCH('Product Positioning'!H$1, 'Additional Product Info.'!$A$1:$C$1, 0))</f>
        <v>End-cap</v>
      </c>
      <c r="I245" t="str">
        <f>INDEX('Additional Product Info.'!$A$1:$C$1001, MATCH('Product Positioning'!$A245, 'Additional Product Info.'!$A$1:$A$1001, 0), MATCH('Product Positioning'!I$1, 'Additional Product Info.'!$A$1:$C$1, 0))</f>
        <v>Electronics</v>
      </c>
      <c r="J245" t="str">
        <f>_xlfn.XLOOKUP(A245, $A$1:$A$1001, 'Additional Product Info.'!$D$1:$D$1001)</f>
        <v>Yes</v>
      </c>
      <c r="K245" s="1">
        <f t="shared" si="6"/>
        <v>88964.46</v>
      </c>
      <c r="L245" s="1">
        <f t="shared" si="7"/>
        <v>3.4299999999999997</v>
      </c>
      <c r="M245" t="str">
        <f>IF(L245&lt;=Statistics!$E$6,"Low Difference",IF('Product Positioning'!L245&gt;=Statistics!$E$4,"High Difference","Moderate Difference"))</f>
        <v>Moderate Difference</v>
      </c>
    </row>
    <row r="246" spans="1:13" x14ac:dyDescent="0.2">
      <c r="A246">
        <v>118985</v>
      </c>
      <c r="B246" s="1">
        <v>49.12</v>
      </c>
      <c r="C246" s="1">
        <v>48.16</v>
      </c>
      <c r="D246">
        <v>694</v>
      </c>
      <c r="E246" t="str">
        <f>_xlfn.XLOOKUP(A246, 'Customer Information'!$A$1:$A$1001, 'Customer Information'!$B$1:$B$1001)</f>
        <v>Medium</v>
      </c>
      <c r="F246" t="str">
        <f>_xlfn.XLOOKUP(A246, 'Customer Information'!$A$1:$A$1001, 'Customer Information'!$C$1:$C$1001)</f>
        <v>Young adults</v>
      </c>
      <c r="G246" t="str">
        <f>_xlfn.XLOOKUP('Customer Information'!A246, 'Customer Information'!$A$1:$A$1001, 'Customer Information'!$D$1:$D$1001)</f>
        <v>No</v>
      </c>
      <c r="H246" t="str">
        <f>INDEX('Additional Product Info.'!$A$1:$C$1001, MATCH('Product Positioning'!$A246, 'Additional Product Info.'!$A$1:$A$1001, 0), MATCH('Product Positioning'!H$1, 'Additional Product Info.'!$A$1:$C$1, 0))</f>
        <v>Aisle</v>
      </c>
      <c r="I246" t="str">
        <f>INDEX('Additional Product Info.'!$A$1:$C$1001, MATCH('Product Positioning'!$A246, 'Additional Product Info.'!$A$1:$A$1001, 0), MATCH('Product Positioning'!I$1, 'Additional Product Info.'!$A$1:$C$1, 0))</f>
        <v>Clothing</v>
      </c>
      <c r="J246" t="str">
        <f>_xlfn.XLOOKUP(A246, $A$1:$A$1001, 'Additional Product Info.'!$D$1:$D$1001)</f>
        <v>Yes</v>
      </c>
      <c r="K246" s="1">
        <f t="shared" si="6"/>
        <v>34089.279999999999</v>
      </c>
      <c r="L246" s="1">
        <f t="shared" si="7"/>
        <v>0.96000000000000085</v>
      </c>
      <c r="M246" t="str">
        <f>IF(L246&lt;=Statistics!$E$6,"Low Difference",IF('Product Positioning'!L246&gt;=Statistics!$E$4,"High Difference","Moderate Difference"))</f>
        <v>Low Difference</v>
      </c>
    </row>
    <row r="247" spans="1:13" x14ac:dyDescent="0.2">
      <c r="A247">
        <v>112194</v>
      </c>
      <c r="B247" s="1">
        <v>14.02</v>
      </c>
      <c r="C247" s="1">
        <v>10.78</v>
      </c>
      <c r="D247">
        <v>2187</v>
      </c>
      <c r="E247" t="str">
        <f>_xlfn.XLOOKUP(A247, 'Customer Information'!$A$1:$A$1001, 'Customer Information'!$B$1:$B$1001)</f>
        <v>High</v>
      </c>
      <c r="F247" t="str">
        <f>_xlfn.XLOOKUP(A247, 'Customer Information'!$A$1:$A$1001, 'Customer Information'!$C$1:$C$1001)</f>
        <v>Young adults</v>
      </c>
      <c r="G247" t="str">
        <f>_xlfn.XLOOKUP('Customer Information'!A247, 'Customer Information'!$A$1:$A$1001, 'Customer Information'!$D$1:$D$1001)</f>
        <v>Yes</v>
      </c>
      <c r="H247" t="str">
        <f>INDEX('Additional Product Info.'!$A$1:$C$1001, MATCH('Product Positioning'!$A247, 'Additional Product Info.'!$A$1:$A$1001, 0), MATCH('Product Positioning'!H$1, 'Additional Product Info.'!$A$1:$C$1, 0))</f>
        <v>Aisle</v>
      </c>
      <c r="I247" t="str">
        <f>INDEX('Additional Product Info.'!$A$1:$C$1001, MATCH('Product Positioning'!$A247, 'Additional Product Info.'!$A$1:$A$1001, 0), MATCH('Product Positioning'!I$1, 'Additional Product Info.'!$A$1:$C$1, 0))</f>
        <v>Food</v>
      </c>
      <c r="J247" t="str">
        <f>_xlfn.XLOOKUP(A247, $A$1:$A$1001, 'Additional Product Info.'!$D$1:$D$1001)</f>
        <v>Yes</v>
      </c>
      <c r="K247" s="1">
        <f t="shared" si="6"/>
        <v>30661.739999999998</v>
      </c>
      <c r="L247" s="1">
        <f t="shared" si="7"/>
        <v>3.24</v>
      </c>
      <c r="M247" t="str">
        <f>IF(L247&lt;=Statistics!$E$6,"Low Difference",IF('Product Positioning'!L247&gt;=Statistics!$E$4,"High Difference","Moderate Difference"))</f>
        <v>Moderate Difference</v>
      </c>
    </row>
    <row r="248" spans="1:13" x14ac:dyDescent="0.2">
      <c r="A248">
        <v>113435</v>
      </c>
      <c r="B248" s="1">
        <v>6.72</v>
      </c>
      <c r="C248" s="1">
        <v>3.47</v>
      </c>
      <c r="D248">
        <v>2973</v>
      </c>
      <c r="E248" t="str">
        <f>_xlfn.XLOOKUP(A248, 'Customer Information'!$A$1:$A$1001, 'Customer Information'!$B$1:$B$1001)</f>
        <v>Low</v>
      </c>
      <c r="F248" t="str">
        <f>_xlfn.XLOOKUP(A248, 'Customer Information'!$A$1:$A$1001, 'Customer Information'!$C$1:$C$1001)</f>
        <v>Seniors</v>
      </c>
      <c r="G248" t="str">
        <f>_xlfn.XLOOKUP('Customer Information'!A248, 'Customer Information'!$A$1:$A$1001, 'Customer Information'!$D$1:$D$1001)</f>
        <v>No</v>
      </c>
      <c r="H248" t="str">
        <f>INDEX('Additional Product Info.'!$A$1:$C$1001, MATCH('Product Positioning'!$A248, 'Additional Product Info.'!$A$1:$A$1001, 0), MATCH('Product Positioning'!H$1, 'Additional Product Info.'!$A$1:$C$1, 0))</f>
        <v>Aisle</v>
      </c>
      <c r="I248" t="str">
        <f>INDEX('Additional Product Info.'!$A$1:$C$1001, MATCH('Product Positioning'!$A248, 'Additional Product Info.'!$A$1:$A$1001, 0), MATCH('Product Positioning'!I$1, 'Additional Product Info.'!$A$1:$C$1, 0))</f>
        <v>Food</v>
      </c>
      <c r="J248" t="str">
        <f>_xlfn.XLOOKUP(A248, $A$1:$A$1001, 'Additional Product Info.'!$D$1:$D$1001)</f>
        <v>Yes</v>
      </c>
      <c r="K248" s="1">
        <f t="shared" si="6"/>
        <v>19978.559999999998</v>
      </c>
      <c r="L248" s="1">
        <f t="shared" si="7"/>
        <v>3.2499999999999996</v>
      </c>
      <c r="M248" t="str">
        <f>IF(L248&lt;=Statistics!$E$6,"Low Difference",IF('Product Positioning'!L248&gt;=Statistics!$E$4,"High Difference","Moderate Difference"))</f>
        <v>Moderate Difference</v>
      </c>
    </row>
    <row r="249" spans="1:13" x14ac:dyDescent="0.2">
      <c r="A249">
        <v>159182</v>
      </c>
      <c r="B249" s="1">
        <v>8.5500000000000007</v>
      </c>
      <c r="C249" s="1">
        <v>4.4400000000000004</v>
      </c>
      <c r="D249">
        <v>1014</v>
      </c>
      <c r="E249" t="str">
        <f>_xlfn.XLOOKUP(A249, 'Customer Information'!$A$1:$A$1001, 'Customer Information'!$B$1:$B$1001)</f>
        <v>Medium</v>
      </c>
      <c r="F249" t="str">
        <f>_xlfn.XLOOKUP(A249, 'Customer Information'!$A$1:$A$1001, 'Customer Information'!$C$1:$C$1001)</f>
        <v>Young adults</v>
      </c>
      <c r="G249" t="str">
        <f>_xlfn.XLOOKUP('Customer Information'!A249, 'Customer Information'!$A$1:$A$1001, 'Customer Information'!$D$1:$D$1001)</f>
        <v>Yes</v>
      </c>
      <c r="H249" t="str">
        <f>INDEX('Additional Product Info.'!$A$1:$C$1001, MATCH('Product Positioning'!$A249, 'Additional Product Info.'!$A$1:$A$1001, 0), MATCH('Product Positioning'!H$1, 'Additional Product Info.'!$A$1:$C$1, 0))</f>
        <v>Front of Store</v>
      </c>
      <c r="I249" t="str">
        <f>INDEX('Additional Product Info.'!$A$1:$C$1001, MATCH('Product Positioning'!$A249, 'Additional Product Info.'!$A$1:$A$1001, 0), MATCH('Product Positioning'!I$1, 'Additional Product Info.'!$A$1:$C$1, 0))</f>
        <v>Electronics</v>
      </c>
      <c r="J249" t="str">
        <f>_xlfn.XLOOKUP(A249, $A$1:$A$1001, 'Additional Product Info.'!$D$1:$D$1001)</f>
        <v>No</v>
      </c>
      <c r="K249" s="1">
        <f t="shared" si="6"/>
        <v>8669.7000000000007</v>
      </c>
      <c r="L249" s="1">
        <f t="shared" si="7"/>
        <v>4.1100000000000003</v>
      </c>
      <c r="M249" t="str">
        <f>IF(L249&lt;=Statistics!$E$6,"Low Difference",IF('Product Positioning'!L249&gt;=Statistics!$E$4,"High Difference","Moderate Difference"))</f>
        <v>High Difference</v>
      </c>
    </row>
    <row r="250" spans="1:13" x14ac:dyDescent="0.2">
      <c r="A250">
        <v>199233</v>
      </c>
      <c r="B250" s="1">
        <v>13.99</v>
      </c>
      <c r="C250" s="1">
        <v>13.2</v>
      </c>
      <c r="D250">
        <v>2222</v>
      </c>
      <c r="E250" t="str">
        <f>_xlfn.XLOOKUP(A250, 'Customer Information'!$A$1:$A$1001, 'Customer Information'!$B$1:$B$1001)</f>
        <v>Low</v>
      </c>
      <c r="F250" t="str">
        <f>_xlfn.XLOOKUP(A250, 'Customer Information'!$A$1:$A$1001, 'Customer Information'!$C$1:$C$1001)</f>
        <v>Families</v>
      </c>
      <c r="G250" t="str">
        <f>_xlfn.XLOOKUP('Customer Information'!A250, 'Customer Information'!$A$1:$A$1001, 'Customer Information'!$D$1:$D$1001)</f>
        <v>Yes</v>
      </c>
      <c r="H250" t="str">
        <f>INDEX('Additional Product Info.'!$A$1:$C$1001, MATCH('Product Positioning'!$A250, 'Additional Product Info.'!$A$1:$A$1001, 0), MATCH('Product Positioning'!H$1, 'Additional Product Info.'!$A$1:$C$1, 0))</f>
        <v>Aisle</v>
      </c>
      <c r="I250" t="str">
        <f>INDEX('Additional Product Info.'!$A$1:$C$1001, MATCH('Product Positioning'!$A250, 'Additional Product Info.'!$A$1:$A$1001, 0), MATCH('Product Positioning'!I$1, 'Additional Product Info.'!$A$1:$C$1, 0))</f>
        <v>Clothing</v>
      </c>
      <c r="J250" t="str">
        <f>_xlfn.XLOOKUP(A250, $A$1:$A$1001, 'Additional Product Info.'!$D$1:$D$1001)</f>
        <v>No</v>
      </c>
      <c r="K250" s="1">
        <f t="shared" si="6"/>
        <v>31085.78</v>
      </c>
      <c r="L250" s="1">
        <f t="shared" si="7"/>
        <v>0.79000000000000092</v>
      </c>
      <c r="M250" t="str">
        <f>IF(L250&lt;=Statistics!$E$6,"Low Difference",IF('Product Positioning'!L250&gt;=Statistics!$E$4,"High Difference","Moderate Difference"))</f>
        <v>Low Difference</v>
      </c>
    </row>
    <row r="251" spans="1:13" x14ac:dyDescent="0.2">
      <c r="A251">
        <v>137044</v>
      </c>
      <c r="B251" s="1">
        <v>46.2</v>
      </c>
      <c r="C251" s="1">
        <v>45.42</v>
      </c>
      <c r="D251">
        <v>2534</v>
      </c>
      <c r="E251" t="str">
        <f>_xlfn.XLOOKUP(A251, 'Customer Information'!$A$1:$A$1001, 'Customer Information'!$B$1:$B$1001)</f>
        <v>Low</v>
      </c>
      <c r="F251" t="str">
        <f>_xlfn.XLOOKUP(A251, 'Customer Information'!$A$1:$A$1001, 'Customer Information'!$C$1:$C$1001)</f>
        <v>Seniors</v>
      </c>
      <c r="G251" t="str">
        <f>_xlfn.XLOOKUP('Customer Information'!A251, 'Customer Information'!$A$1:$A$1001, 'Customer Information'!$D$1:$D$1001)</f>
        <v>No</v>
      </c>
      <c r="H251" t="str">
        <f>INDEX('Additional Product Info.'!$A$1:$C$1001, MATCH('Product Positioning'!$A251, 'Additional Product Info.'!$A$1:$A$1001, 0), MATCH('Product Positioning'!H$1, 'Additional Product Info.'!$A$1:$C$1, 0))</f>
        <v>Aisle</v>
      </c>
      <c r="I251" t="str">
        <f>INDEX('Additional Product Info.'!$A$1:$C$1001, MATCH('Product Positioning'!$A251, 'Additional Product Info.'!$A$1:$A$1001, 0), MATCH('Product Positioning'!I$1, 'Additional Product Info.'!$A$1:$C$1, 0))</f>
        <v>Electronics</v>
      </c>
      <c r="J251" t="str">
        <f>_xlfn.XLOOKUP(A251, $A$1:$A$1001, 'Additional Product Info.'!$D$1:$D$1001)</f>
        <v>Yes</v>
      </c>
      <c r="K251" s="1">
        <f t="shared" si="6"/>
        <v>117070.8</v>
      </c>
      <c r="L251" s="1">
        <f t="shared" si="7"/>
        <v>0.78000000000000114</v>
      </c>
      <c r="M251" t="str">
        <f>IF(L251&lt;=Statistics!$E$6,"Low Difference",IF('Product Positioning'!L251&gt;=Statistics!$E$4,"High Difference","Moderate Difference"))</f>
        <v>Low Difference</v>
      </c>
    </row>
    <row r="252" spans="1:13" x14ac:dyDescent="0.2">
      <c r="A252">
        <v>154736</v>
      </c>
      <c r="B252" s="1">
        <v>9.2799999999999994</v>
      </c>
      <c r="C252" s="1">
        <v>7.91</v>
      </c>
      <c r="D252">
        <v>1466</v>
      </c>
      <c r="E252" t="str">
        <f>_xlfn.XLOOKUP(A252, 'Customer Information'!$A$1:$A$1001, 'Customer Information'!$B$1:$B$1001)</f>
        <v>Medium</v>
      </c>
      <c r="F252" t="str">
        <f>_xlfn.XLOOKUP(A252, 'Customer Information'!$A$1:$A$1001, 'Customer Information'!$C$1:$C$1001)</f>
        <v>Families</v>
      </c>
      <c r="G252" t="str">
        <f>_xlfn.XLOOKUP('Customer Information'!A252, 'Customer Information'!$A$1:$A$1001, 'Customer Information'!$D$1:$D$1001)</f>
        <v>Yes</v>
      </c>
      <c r="H252" t="str">
        <f>INDEX('Additional Product Info.'!$A$1:$C$1001, MATCH('Product Positioning'!$A252, 'Additional Product Info.'!$A$1:$A$1001, 0), MATCH('Product Positioning'!H$1, 'Additional Product Info.'!$A$1:$C$1, 0))</f>
        <v>Front of Store</v>
      </c>
      <c r="I252" t="str">
        <f>INDEX('Additional Product Info.'!$A$1:$C$1001, MATCH('Product Positioning'!$A252, 'Additional Product Info.'!$A$1:$A$1001, 0), MATCH('Product Positioning'!I$1, 'Additional Product Info.'!$A$1:$C$1, 0))</f>
        <v>Food</v>
      </c>
      <c r="J252" t="str">
        <f>_xlfn.XLOOKUP(A252, $A$1:$A$1001, 'Additional Product Info.'!$D$1:$D$1001)</f>
        <v>Yes</v>
      </c>
      <c r="K252" s="1">
        <f t="shared" si="6"/>
        <v>13604.48</v>
      </c>
      <c r="L252" s="1">
        <f t="shared" si="7"/>
        <v>1.3699999999999992</v>
      </c>
      <c r="M252" t="str">
        <f>IF(L252&lt;=Statistics!$E$6,"Low Difference",IF('Product Positioning'!L252&gt;=Statistics!$E$4,"High Difference","Moderate Difference"))</f>
        <v>Moderate Difference</v>
      </c>
    </row>
    <row r="253" spans="1:13" x14ac:dyDescent="0.2">
      <c r="A253">
        <v>141434</v>
      </c>
      <c r="B253" s="1">
        <v>46.6</v>
      </c>
      <c r="C253" s="1">
        <v>45.81</v>
      </c>
      <c r="D253">
        <v>2870</v>
      </c>
      <c r="E253" t="str">
        <f>_xlfn.XLOOKUP(A253, 'Customer Information'!$A$1:$A$1001, 'Customer Information'!$B$1:$B$1001)</f>
        <v>Low</v>
      </c>
      <c r="F253" t="str">
        <f>_xlfn.XLOOKUP(A253, 'Customer Information'!$A$1:$A$1001, 'Customer Information'!$C$1:$C$1001)</f>
        <v>Families</v>
      </c>
      <c r="G253" t="str">
        <f>_xlfn.XLOOKUP('Customer Information'!A253, 'Customer Information'!$A$1:$A$1001, 'Customer Information'!$D$1:$D$1001)</f>
        <v>No</v>
      </c>
      <c r="H253" t="str">
        <f>INDEX('Additional Product Info.'!$A$1:$C$1001, MATCH('Product Positioning'!$A253, 'Additional Product Info.'!$A$1:$A$1001, 0), MATCH('Product Positioning'!H$1, 'Additional Product Info.'!$A$1:$C$1, 0))</f>
        <v>Front of Store</v>
      </c>
      <c r="I253" t="str">
        <f>INDEX('Additional Product Info.'!$A$1:$C$1001, MATCH('Product Positioning'!$A253, 'Additional Product Info.'!$A$1:$A$1001, 0), MATCH('Product Positioning'!I$1, 'Additional Product Info.'!$A$1:$C$1, 0))</f>
        <v>Clothing</v>
      </c>
      <c r="J253" t="str">
        <f>_xlfn.XLOOKUP(A253, $A$1:$A$1001, 'Additional Product Info.'!$D$1:$D$1001)</f>
        <v>Yes</v>
      </c>
      <c r="K253" s="1">
        <f t="shared" si="6"/>
        <v>133742</v>
      </c>
      <c r="L253" s="1">
        <f t="shared" si="7"/>
        <v>0.78999999999999915</v>
      </c>
      <c r="M253" t="str">
        <f>IF(L253&lt;=Statistics!$E$6,"Low Difference",IF('Product Positioning'!L253&gt;=Statistics!$E$4,"High Difference","Moderate Difference"))</f>
        <v>Low Difference</v>
      </c>
    </row>
    <row r="254" spans="1:13" x14ac:dyDescent="0.2">
      <c r="A254">
        <v>155659</v>
      </c>
      <c r="B254" s="1">
        <v>47.38</v>
      </c>
      <c r="C254" s="1">
        <v>42.54</v>
      </c>
      <c r="D254">
        <v>2654</v>
      </c>
      <c r="E254" t="str">
        <f>_xlfn.XLOOKUP(A254, 'Customer Information'!$A$1:$A$1001, 'Customer Information'!$B$1:$B$1001)</f>
        <v>Medium</v>
      </c>
      <c r="F254" t="str">
        <f>_xlfn.XLOOKUP(A254, 'Customer Information'!$A$1:$A$1001, 'Customer Information'!$C$1:$C$1001)</f>
        <v>Seniors</v>
      </c>
      <c r="G254" t="str">
        <f>_xlfn.XLOOKUP('Customer Information'!A254, 'Customer Information'!$A$1:$A$1001, 'Customer Information'!$D$1:$D$1001)</f>
        <v>Yes</v>
      </c>
      <c r="H254" t="str">
        <f>INDEX('Additional Product Info.'!$A$1:$C$1001, MATCH('Product Positioning'!$A254, 'Additional Product Info.'!$A$1:$A$1001, 0), MATCH('Product Positioning'!H$1, 'Additional Product Info.'!$A$1:$C$1, 0))</f>
        <v>Aisle</v>
      </c>
      <c r="I254" t="str">
        <f>INDEX('Additional Product Info.'!$A$1:$C$1001, MATCH('Product Positioning'!$A254, 'Additional Product Info.'!$A$1:$A$1001, 0), MATCH('Product Positioning'!I$1, 'Additional Product Info.'!$A$1:$C$1, 0))</f>
        <v>Food</v>
      </c>
      <c r="J254" t="str">
        <f>_xlfn.XLOOKUP(A254, $A$1:$A$1001, 'Additional Product Info.'!$D$1:$D$1001)</f>
        <v>Yes</v>
      </c>
      <c r="K254" s="1">
        <f t="shared" si="6"/>
        <v>125746.52</v>
      </c>
      <c r="L254" s="1">
        <f t="shared" si="7"/>
        <v>4.8400000000000034</v>
      </c>
      <c r="M254" t="str">
        <f>IF(L254&lt;=Statistics!$E$6,"Low Difference",IF('Product Positioning'!L254&gt;=Statistics!$E$4,"High Difference","Moderate Difference"))</f>
        <v>High Difference</v>
      </c>
    </row>
    <row r="255" spans="1:13" x14ac:dyDescent="0.2">
      <c r="A255">
        <v>168643</v>
      </c>
      <c r="B255" s="1">
        <v>33.26</v>
      </c>
      <c r="C255" s="1">
        <v>32.47</v>
      </c>
      <c r="D255">
        <v>2166</v>
      </c>
      <c r="E255" t="str">
        <f>_xlfn.XLOOKUP(A255, 'Customer Information'!$A$1:$A$1001, 'Customer Information'!$B$1:$B$1001)</f>
        <v>High</v>
      </c>
      <c r="F255" t="str">
        <f>_xlfn.XLOOKUP(A255, 'Customer Information'!$A$1:$A$1001, 'Customer Information'!$C$1:$C$1001)</f>
        <v>Seniors</v>
      </c>
      <c r="G255" t="str">
        <f>_xlfn.XLOOKUP('Customer Information'!A255, 'Customer Information'!$A$1:$A$1001, 'Customer Information'!$D$1:$D$1001)</f>
        <v>No</v>
      </c>
      <c r="H255" t="str">
        <f>INDEX('Additional Product Info.'!$A$1:$C$1001, MATCH('Product Positioning'!$A255, 'Additional Product Info.'!$A$1:$A$1001, 0), MATCH('Product Positioning'!H$1, 'Additional Product Info.'!$A$1:$C$1, 0))</f>
        <v>End-cap</v>
      </c>
      <c r="I255" t="str">
        <f>INDEX('Additional Product Info.'!$A$1:$C$1001, MATCH('Product Positioning'!$A255, 'Additional Product Info.'!$A$1:$A$1001, 0), MATCH('Product Positioning'!I$1, 'Additional Product Info.'!$A$1:$C$1, 0))</f>
        <v>Food</v>
      </c>
      <c r="J255" t="str">
        <f>_xlfn.XLOOKUP(A255, $A$1:$A$1001, 'Additional Product Info.'!$D$1:$D$1001)</f>
        <v>No</v>
      </c>
      <c r="K255" s="1">
        <f t="shared" si="6"/>
        <v>72041.159999999989</v>
      </c>
      <c r="L255" s="1">
        <f t="shared" si="7"/>
        <v>0.78999999999999915</v>
      </c>
      <c r="M255" t="str">
        <f>IF(L255&lt;=Statistics!$E$6,"Low Difference",IF('Product Positioning'!L255&gt;=Statistics!$E$4,"High Difference","Moderate Difference"))</f>
        <v>Low Difference</v>
      </c>
    </row>
    <row r="256" spans="1:13" x14ac:dyDescent="0.2">
      <c r="A256">
        <v>175357</v>
      </c>
      <c r="B256" s="1">
        <v>23.04</v>
      </c>
      <c r="C256" s="1">
        <v>20.07</v>
      </c>
      <c r="D256">
        <v>867</v>
      </c>
      <c r="E256" t="str">
        <f>_xlfn.XLOOKUP(A256, 'Customer Information'!$A$1:$A$1001, 'Customer Information'!$B$1:$B$1001)</f>
        <v>Medium</v>
      </c>
      <c r="F256" t="str">
        <f>_xlfn.XLOOKUP(A256, 'Customer Information'!$A$1:$A$1001, 'Customer Information'!$C$1:$C$1001)</f>
        <v>Families</v>
      </c>
      <c r="G256" t="str">
        <f>_xlfn.XLOOKUP('Customer Information'!A256, 'Customer Information'!$A$1:$A$1001, 'Customer Information'!$D$1:$D$1001)</f>
        <v>No</v>
      </c>
      <c r="H256" t="str">
        <f>INDEX('Additional Product Info.'!$A$1:$C$1001, MATCH('Product Positioning'!$A256, 'Additional Product Info.'!$A$1:$A$1001, 0), MATCH('Product Positioning'!H$1, 'Additional Product Info.'!$A$1:$C$1, 0))</f>
        <v>End-cap</v>
      </c>
      <c r="I256" t="str">
        <f>INDEX('Additional Product Info.'!$A$1:$C$1001, MATCH('Product Positioning'!$A256, 'Additional Product Info.'!$A$1:$A$1001, 0), MATCH('Product Positioning'!I$1, 'Additional Product Info.'!$A$1:$C$1, 0))</f>
        <v>Clothing</v>
      </c>
      <c r="J256" t="str">
        <f>_xlfn.XLOOKUP(A256, $A$1:$A$1001, 'Additional Product Info.'!$D$1:$D$1001)</f>
        <v>Yes</v>
      </c>
      <c r="K256" s="1">
        <f t="shared" si="6"/>
        <v>19975.68</v>
      </c>
      <c r="L256" s="1">
        <f t="shared" si="7"/>
        <v>2.9699999999999989</v>
      </c>
      <c r="M256" t="str">
        <f>IF(L256&lt;=Statistics!$E$6,"Low Difference",IF('Product Positioning'!L256&gt;=Statistics!$E$4,"High Difference","Moderate Difference"))</f>
        <v>Moderate Difference</v>
      </c>
    </row>
    <row r="257" spans="1:13" x14ac:dyDescent="0.2">
      <c r="A257">
        <v>137530</v>
      </c>
      <c r="B257" s="1">
        <v>45.45</v>
      </c>
      <c r="C257" s="1">
        <v>41.12</v>
      </c>
      <c r="D257">
        <v>1522</v>
      </c>
      <c r="E257" t="str">
        <f>_xlfn.XLOOKUP(A257, 'Customer Information'!$A$1:$A$1001, 'Customer Information'!$B$1:$B$1001)</f>
        <v>Medium</v>
      </c>
      <c r="F257" t="str">
        <f>_xlfn.XLOOKUP(A257, 'Customer Information'!$A$1:$A$1001, 'Customer Information'!$C$1:$C$1001)</f>
        <v>College students</v>
      </c>
      <c r="G257" t="str">
        <f>_xlfn.XLOOKUP('Customer Information'!A257, 'Customer Information'!$A$1:$A$1001, 'Customer Information'!$D$1:$D$1001)</f>
        <v>No</v>
      </c>
      <c r="H257" t="str">
        <f>INDEX('Additional Product Info.'!$A$1:$C$1001, MATCH('Product Positioning'!$A257, 'Additional Product Info.'!$A$1:$A$1001, 0), MATCH('Product Positioning'!H$1, 'Additional Product Info.'!$A$1:$C$1, 0))</f>
        <v>Front of Store</v>
      </c>
      <c r="I257" t="str">
        <f>INDEX('Additional Product Info.'!$A$1:$C$1001, MATCH('Product Positioning'!$A257, 'Additional Product Info.'!$A$1:$A$1001, 0), MATCH('Product Positioning'!I$1, 'Additional Product Info.'!$A$1:$C$1, 0))</f>
        <v>Food</v>
      </c>
      <c r="J257" t="str">
        <f>_xlfn.XLOOKUP(A257, $A$1:$A$1001, 'Additional Product Info.'!$D$1:$D$1001)</f>
        <v>No</v>
      </c>
      <c r="K257" s="1">
        <f t="shared" si="6"/>
        <v>69174.900000000009</v>
      </c>
      <c r="L257" s="1">
        <f t="shared" si="7"/>
        <v>4.3300000000000054</v>
      </c>
      <c r="M257" t="str">
        <f>IF(L257&lt;=Statistics!$E$6,"Low Difference",IF('Product Positioning'!L257&gt;=Statistics!$E$4,"High Difference","Moderate Difference"))</f>
        <v>High Difference</v>
      </c>
    </row>
    <row r="258" spans="1:13" x14ac:dyDescent="0.2">
      <c r="A258">
        <v>153482</v>
      </c>
      <c r="B258" s="1">
        <v>39.56</v>
      </c>
      <c r="C258" s="1">
        <v>36.33</v>
      </c>
      <c r="D258">
        <v>2969</v>
      </c>
      <c r="E258" t="str">
        <f>_xlfn.XLOOKUP(A258, 'Customer Information'!$A$1:$A$1001, 'Customer Information'!$B$1:$B$1001)</f>
        <v>Low</v>
      </c>
      <c r="F258" t="str">
        <f>_xlfn.XLOOKUP(A258, 'Customer Information'!$A$1:$A$1001, 'Customer Information'!$C$1:$C$1001)</f>
        <v>Young adults</v>
      </c>
      <c r="G258" t="str">
        <f>_xlfn.XLOOKUP('Customer Information'!A258, 'Customer Information'!$A$1:$A$1001, 'Customer Information'!$D$1:$D$1001)</f>
        <v>Yes</v>
      </c>
      <c r="H258" t="str">
        <f>INDEX('Additional Product Info.'!$A$1:$C$1001, MATCH('Product Positioning'!$A258, 'Additional Product Info.'!$A$1:$A$1001, 0), MATCH('Product Positioning'!H$1, 'Additional Product Info.'!$A$1:$C$1, 0))</f>
        <v>Aisle</v>
      </c>
      <c r="I258" t="str">
        <f>INDEX('Additional Product Info.'!$A$1:$C$1001, MATCH('Product Positioning'!$A258, 'Additional Product Info.'!$A$1:$A$1001, 0), MATCH('Product Positioning'!I$1, 'Additional Product Info.'!$A$1:$C$1, 0))</f>
        <v>Electronics</v>
      </c>
      <c r="J258" t="str">
        <f>_xlfn.XLOOKUP(A258, $A$1:$A$1001, 'Additional Product Info.'!$D$1:$D$1001)</f>
        <v>No</v>
      </c>
      <c r="K258" s="1">
        <f t="shared" ref="K258:K321" si="8">B258*D258</f>
        <v>117453.64000000001</v>
      </c>
      <c r="L258" s="1">
        <f t="shared" ref="L258:L321" si="9">ABS(B258-C258)</f>
        <v>3.230000000000004</v>
      </c>
      <c r="M258" t="str">
        <f>IF(L258&lt;=Statistics!$E$6,"Low Difference",IF('Product Positioning'!L258&gt;=Statistics!$E$4,"High Difference","Moderate Difference"))</f>
        <v>Moderate Difference</v>
      </c>
    </row>
    <row r="259" spans="1:13" x14ac:dyDescent="0.2">
      <c r="A259">
        <v>112593</v>
      </c>
      <c r="B259" s="1">
        <v>41.98</v>
      </c>
      <c r="C259" s="1">
        <v>41.17</v>
      </c>
      <c r="D259">
        <v>2651</v>
      </c>
      <c r="E259" t="str">
        <f>_xlfn.XLOOKUP(A259, 'Customer Information'!$A$1:$A$1001, 'Customer Information'!$B$1:$B$1001)</f>
        <v>Medium</v>
      </c>
      <c r="F259" t="str">
        <f>_xlfn.XLOOKUP(A259, 'Customer Information'!$A$1:$A$1001, 'Customer Information'!$C$1:$C$1001)</f>
        <v>Young adults</v>
      </c>
      <c r="G259" t="str">
        <f>_xlfn.XLOOKUP('Customer Information'!A259, 'Customer Information'!$A$1:$A$1001, 'Customer Information'!$D$1:$D$1001)</f>
        <v>No</v>
      </c>
      <c r="H259" t="str">
        <f>INDEX('Additional Product Info.'!$A$1:$C$1001, MATCH('Product Positioning'!$A259, 'Additional Product Info.'!$A$1:$A$1001, 0), MATCH('Product Positioning'!H$1, 'Additional Product Info.'!$A$1:$C$1, 0))</f>
        <v>Aisle</v>
      </c>
      <c r="I259" t="str">
        <f>INDEX('Additional Product Info.'!$A$1:$C$1001, MATCH('Product Positioning'!$A259, 'Additional Product Info.'!$A$1:$A$1001, 0), MATCH('Product Positioning'!I$1, 'Additional Product Info.'!$A$1:$C$1, 0))</f>
        <v>Food</v>
      </c>
      <c r="J259" t="str">
        <f>_xlfn.XLOOKUP(A259, $A$1:$A$1001, 'Additional Product Info.'!$D$1:$D$1001)</f>
        <v>Yes</v>
      </c>
      <c r="K259" s="1">
        <f t="shared" si="8"/>
        <v>111288.98</v>
      </c>
      <c r="L259" s="1">
        <f t="shared" si="9"/>
        <v>0.80999999999999517</v>
      </c>
      <c r="M259" t="str">
        <f>IF(L259&lt;=Statistics!$E$6,"Low Difference",IF('Product Positioning'!L259&gt;=Statistics!$E$4,"High Difference","Moderate Difference"))</f>
        <v>Low Difference</v>
      </c>
    </row>
    <row r="260" spans="1:13" x14ac:dyDescent="0.2">
      <c r="A260">
        <v>110241</v>
      </c>
      <c r="B260" s="1">
        <v>28.62</v>
      </c>
      <c r="C260" s="1">
        <v>27</v>
      </c>
      <c r="D260">
        <v>2353</v>
      </c>
      <c r="E260" t="str">
        <f>_xlfn.XLOOKUP(A260, 'Customer Information'!$A$1:$A$1001, 'Customer Information'!$B$1:$B$1001)</f>
        <v>Low</v>
      </c>
      <c r="F260" t="str">
        <f>_xlfn.XLOOKUP(A260, 'Customer Information'!$A$1:$A$1001, 'Customer Information'!$C$1:$C$1001)</f>
        <v>College students</v>
      </c>
      <c r="G260" t="str">
        <f>_xlfn.XLOOKUP('Customer Information'!A260, 'Customer Information'!$A$1:$A$1001, 'Customer Information'!$D$1:$D$1001)</f>
        <v>No</v>
      </c>
      <c r="H260" t="str">
        <f>INDEX('Additional Product Info.'!$A$1:$C$1001, MATCH('Product Positioning'!$A260, 'Additional Product Info.'!$A$1:$A$1001, 0), MATCH('Product Positioning'!H$1, 'Additional Product Info.'!$A$1:$C$1, 0))</f>
        <v>End-cap</v>
      </c>
      <c r="I260" t="str">
        <f>INDEX('Additional Product Info.'!$A$1:$C$1001, MATCH('Product Positioning'!$A260, 'Additional Product Info.'!$A$1:$A$1001, 0), MATCH('Product Positioning'!I$1, 'Additional Product Info.'!$A$1:$C$1, 0))</f>
        <v>Electronics</v>
      </c>
      <c r="J260" t="str">
        <f>_xlfn.XLOOKUP(A260, $A$1:$A$1001, 'Additional Product Info.'!$D$1:$D$1001)</f>
        <v>No</v>
      </c>
      <c r="K260" s="1">
        <f t="shared" si="8"/>
        <v>67342.86</v>
      </c>
      <c r="L260" s="1">
        <f t="shared" si="9"/>
        <v>1.620000000000001</v>
      </c>
      <c r="M260" t="str">
        <f>IF(L260&lt;=Statistics!$E$6,"Low Difference",IF('Product Positioning'!L260&gt;=Statistics!$E$4,"High Difference","Moderate Difference"))</f>
        <v>Moderate Difference</v>
      </c>
    </row>
    <row r="261" spans="1:13" x14ac:dyDescent="0.2">
      <c r="A261">
        <v>144970</v>
      </c>
      <c r="B261" s="1">
        <v>44.16</v>
      </c>
      <c r="C261" s="1">
        <v>40.380000000000003</v>
      </c>
      <c r="D261">
        <v>1461</v>
      </c>
      <c r="E261" t="str">
        <f>_xlfn.XLOOKUP(A261, 'Customer Information'!$A$1:$A$1001, 'Customer Information'!$B$1:$B$1001)</f>
        <v>High</v>
      </c>
      <c r="F261" t="str">
        <f>_xlfn.XLOOKUP(A261, 'Customer Information'!$A$1:$A$1001, 'Customer Information'!$C$1:$C$1001)</f>
        <v>Families</v>
      </c>
      <c r="G261" t="str">
        <f>_xlfn.XLOOKUP('Customer Information'!A261, 'Customer Information'!$A$1:$A$1001, 'Customer Information'!$D$1:$D$1001)</f>
        <v>No</v>
      </c>
      <c r="H261" t="str">
        <f>INDEX('Additional Product Info.'!$A$1:$C$1001, MATCH('Product Positioning'!$A261, 'Additional Product Info.'!$A$1:$A$1001, 0), MATCH('Product Positioning'!H$1, 'Additional Product Info.'!$A$1:$C$1, 0))</f>
        <v>Front of Store</v>
      </c>
      <c r="I261" t="str">
        <f>INDEX('Additional Product Info.'!$A$1:$C$1001, MATCH('Product Positioning'!$A261, 'Additional Product Info.'!$A$1:$A$1001, 0), MATCH('Product Positioning'!I$1, 'Additional Product Info.'!$A$1:$C$1, 0))</f>
        <v>Food</v>
      </c>
      <c r="J261" t="str">
        <f>_xlfn.XLOOKUP(A261, $A$1:$A$1001, 'Additional Product Info.'!$D$1:$D$1001)</f>
        <v>Yes</v>
      </c>
      <c r="K261" s="1">
        <f t="shared" si="8"/>
        <v>64517.759999999995</v>
      </c>
      <c r="L261" s="1">
        <f t="shared" si="9"/>
        <v>3.779999999999994</v>
      </c>
      <c r="M261" t="str">
        <f>IF(L261&lt;=Statistics!$E$6,"Low Difference",IF('Product Positioning'!L261&gt;=Statistics!$E$4,"High Difference","Moderate Difference"))</f>
        <v>High Difference</v>
      </c>
    </row>
    <row r="262" spans="1:13" x14ac:dyDescent="0.2">
      <c r="A262">
        <v>114822</v>
      </c>
      <c r="B262" s="1">
        <v>17.98</v>
      </c>
      <c r="C262" s="1">
        <v>16.78</v>
      </c>
      <c r="D262">
        <v>1698</v>
      </c>
      <c r="E262" t="str">
        <f>_xlfn.XLOOKUP(A262, 'Customer Information'!$A$1:$A$1001, 'Customer Information'!$B$1:$B$1001)</f>
        <v>Low</v>
      </c>
      <c r="F262" t="str">
        <f>_xlfn.XLOOKUP(A262, 'Customer Information'!$A$1:$A$1001, 'Customer Information'!$C$1:$C$1001)</f>
        <v>Young adults</v>
      </c>
      <c r="G262" t="str">
        <f>_xlfn.XLOOKUP('Customer Information'!A262, 'Customer Information'!$A$1:$A$1001, 'Customer Information'!$D$1:$D$1001)</f>
        <v>Yes</v>
      </c>
      <c r="H262" t="str">
        <f>INDEX('Additional Product Info.'!$A$1:$C$1001, MATCH('Product Positioning'!$A262, 'Additional Product Info.'!$A$1:$A$1001, 0), MATCH('Product Positioning'!H$1, 'Additional Product Info.'!$A$1:$C$1, 0))</f>
        <v>Front of Store</v>
      </c>
      <c r="I262" t="str">
        <f>INDEX('Additional Product Info.'!$A$1:$C$1001, MATCH('Product Positioning'!$A262, 'Additional Product Info.'!$A$1:$A$1001, 0), MATCH('Product Positioning'!I$1, 'Additional Product Info.'!$A$1:$C$1, 0))</f>
        <v>Electronics</v>
      </c>
      <c r="J262" t="str">
        <f>_xlfn.XLOOKUP(A262, $A$1:$A$1001, 'Additional Product Info.'!$D$1:$D$1001)</f>
        <v>No</v>
      </c>
      <c r="K262" s="1">
        <f t="shared" si="8"/>
        <v>30530.04</v>
      </c>
      <c r="L262" s="1">
        <f t="shared" si="9"/>
        <v>1.1999999999999993</v>
      </c>
      <c r="M262" t="str">
        <f>IF(L262&lt;=Statistics!$E$6,"Low Difference",IF('Product Positioning'!L262&gt;=Statistics!$E$4,"High Difference","Moderate Difference"))</f>
        <v>Moderate Difference</v>
      </c>
    </row>
    <row r="263" spans="1:13" x14ac:dyDescent="0.2">
      <c r="A263">
        <v>153452</v>
      </c>
      <c r="B263" s="1">
        <v>34.49</v>
      </c>
      <c r="C263" s="1">
        <v>31.14</v>
      </c>
      <c r="D263">
        <v>1563</v>
      </c>
      <c r="E263" t="str">
        <f>_xlfn.XLOOKUP(A263, 'Customer Information'!$A$1:$A$1001, 'Customer Information'!$B$1:$B$1001)</f>
        <v>Medium</v>
      </c>
      <c r="F263" t="str">
        <f>_xlfn.XLOOKUP(A263, 'Customer Information'!$A$1:$A$1001, 'Customer Information'!$C$1:$C$1001)</f>
        <v>College students</v>
      </c>
      <c r="G263" t="str">
        <f>_xlfn.XLOOKUP('Customer Information'!A263, 'Customer Information'!$A$1:$A$1001, 'Customer Information'!$D$1:$D$1001)</f>
        <v>Yes</v>
      </c>
      <c r="H263" t="str">
        <f>INDEX('Additional Product Info.'!$A$1:$C$1001, MATCH('Product Positioning'!$A263, 'Additional Product Info.'!$A$1:$A$1001, 0), MATCH('Product Positioning'!H$1, 'Additional Product Info.'!$A$1:$C$1, 0))</f>
        <v>Front of Store</v>
      </c>
      <c r="I263" t="str">
        <f>INDEX('Additional Product Info.'!$A$1:$C$1001, MATCH('Product Positioning'!$A263, 'Additional Product Info.'!$A$1:$A$1001, 0), MATCH('Product Positioning'!I$1, 'Additional Product Info.'!$A$1:$C$1, 0))</f>
        <v>Electronics</v>
      </c>
      <c r="J263" t="str">
        <f>_xlfn.XLOOKUP(A263, $A$1:$A$1001, 'Additional Product Info.'!$D$1:$D$1001)</f>
        <v>Yes</v>
      </c>
      <c r="K263" s="1">
        <f t="shared" si="8"/>
        <v>53907.87</v>
      </c>
      <c r="L263" s="1">
        <f t="shared" si="9"/>
        <v>3.3500000000000014</v>
      </c>
      <c r="M263" t="str">
        <f>IF(L263&lt;=Statistics!$E$6,"Low Difference",IF('Product Positioning'!L263&gt;=Statistics!$E$4,"High Difference","Moderate Difference"))</f>
        <v>Moderate Difference</v>
      </c>
    </row>
    <row r="264" spans="1:13" x14ac:dyDescent="0.2">
      <c r="A264">
        <v>144264</v>
      </c>
      <c r="B264" s="1">
        <v>14.56</v>
      </c>
      <c r="C264" s="1">
        <v>11.4</v>
      </c>
      <c r="D264">
        <v>2516</v>
      </c>
      <c r="E264" t="str">
        <f>_xlfn.XLOOKUP(A264, 'Customer Information'!$A$1:$A$1001, 'Customer Information'!$B$1:$B$1001)</f>
        <v>Low</v>
      </c>
      <c r="F264" t="str">
        <f>_xlfn.XLOOKUP(A264, 'Customer Information'!$A$1:$A$1001, 'Customer Information'!$C$1:$C$1001)</f>
        <v>Families</v>
      </c>
      <c r="G264" t="str">
        <f>_xlfn.XLOOKUP('Customer Information'!A264, 'Customer Information'!$A$1:$A$1001, 'Customer Information'!$D$1:$D$1001)</f>
        <v>Yes</v>
      </c>
      <c r="H264" t="str">
        <f>INDEX('Additional Product Info.'!$A$1:$C$1001, MATCH('Product Positioning'!$A264, 'Additional Product Info.'!$A$1:$A$1001, 0), MATCH('Product Positioning'!H$1, 'Additional Product Info.'!$A$1:$C$1, 0))</f>
        <v>End-cap</v>
      </c>
      <c r="I264" t="str">
        <f>INDEX('Additional Product Info.'!$A$1:$C$1001, MATCH('Product Positioning'!$A264, 'Additional Product Info.'!$A$1:$A$1001, 0), MATCH('Product Positioning'!I$1, 'Additional Product Info.'!$A$1:$C$1, 0))</f>
        <v>Electronics</v>
      </c>
      <c r="J264" t="str">
        <f>_xlfn.XLOOKUP(A264, $A$1:$A$1001, 'Additional Product Info.'!$D$1:$D$1001)</f>
        <v>Yes</v>
      </c>
      <c r="K264" s="1">
        <f t="shared" si="8"/>
        <v>36632.959999999999</v>
      </c>
      <c r="L264" s="1">
        <f t="shared" si="9"/>
        <v>3.16</v>
      </c>
      <c r="M264" t="str">
        <f>IF(L264&lt;=Statistics!$E$6,"Low Difference",IF('Product Positioning'!L264&gt;=Statistics!$E$4,"High Difference","Moderate Difference"))</f>
        <v>Moderate Difference</v>
      </c>
    </row>
    <row r="265" spans="1:13" x14ac:dyDescent="0.2">
      <c r="A265">
        <v>128749</v>
      </c>
      <c r="B265" s="1">
        <v>44.71</v>
      </c>
      <c r="C265" s="1">
        <v>42.78</v>
      </c>
      <c r="D265">
        <v>1061</v>
      </c>
      <c r="E265" t="str">
        <f>_xlfn.XLOOKUP(A265, 'Customer Information'!$A$1:$A$1001, 'Customer Information'!$B$1:$B$1001)</f>
        <v>Medium</v>
      </c>
      <c r="F265" t="str">
        <f>_xlfn.XLOOKUP(A265, 'Customer Information'!$A$1:$A$1001, 'Customer Information'!$C$1:$C$1001)</f>
        <v>Seniors</v>
      </c>
      <c r="G265" t="str">
        <f>_xlfn.XLOOKUP('Customer Information'!A265, 'Customer Information'!$A$1:$A$1001, 'Customer Information'!$D$1:$D$1001)</f>
        <v>Yes</v>
      </c>
      <c r="H265" t="str">
        <f>INDEX('Additional Product Info.'!$A$1:$C$1001, MATCH('Product Positioning'!$A265, 'Additional Product Info.'!$A$1:$A$1001, 0), MATCH('Product Positioning'!H$1, 'Additional Product Info.'!$A$1:$C$1, 0))</f>
        <v>Front of Store</v>
      </c>
      <c r="I265" t="str">
        <f>INDEX('Additional Product Info.'!$A$1:$C$1001, MATCH('Product Positioning'!$A265, 'Additional Product Info.'!$A$1:$A$1001, 0), MATCH('Product Positioning'!I$1, 'Additional Product Info.'!$A$1:$C$1, 0))</f>
        <v>Food</v>
      </c>
      <c r="J265" t="str">
        <f>_xlfn.XLOOKUP(A265, $A$1:$A$1001, 'Additional Product Info.'!$D$1:$D$1001)</f>
        <v>No</v>
      </c>
      <c r="K265" s="1">
        <f t="shared" si="8"/>
        <v>47437.31</v>
      </c>
      <c r="L265" s="1">
        <f t="shared" si="9"/>
        <v>1.9299999999999997</v>
      </c>
      <c r="M265" t="str">
        <f>IF(L265&lt;=Statistics!$E$6,"Low Difference",IF('Product Positioning'!L265&gt;=Statistics!$E$4,"High Difference","Moderate Difference"))</f>
        <v>Moderate Difference</v>
      </c>
    </row>
    <row r="266" spans="1:13" x14ac:dyDescent="0.2">
      <c r="A266">
        <v>147955</v>
      </c>
      <c r="B266" s="1">
        <v>19.47</v>
      </c>
      <c r="C266" s="1">
        <v>14.6</v>
      </c>
      <c r="D266">
        <v>1898</v>
      </c>
      <c r="E266" t="str">
        <f>_xlfn.XLOOKUP(A266, 'Customer Information'!$A$1:$A$1001, 'Customer Information'!$B$1:$B$1001)</f>
        <v>Medium</v>
      </c>
      <c r="F266" t="str">
        <f>_xlfn.XLOOKUP(A266, 'Customer Information'!$A$1:$A$1001, 'Customer Information'!$C$1:$C$1001)</f>
        <v>College students</v>
      </c>
      <c r="G266" t="str">
        <f>_xlfn.XLOOKUP('Customer Information'!A266, 'Customer Information'!$A$1:$A$1001, 'Customer Information'!$D$1:$D$1001)</f>
        <v>No</v>
      </c>
      <c r="H266" t="str">
        <f>INDEX('Additional Product Info.'!$A$1:$C$1001, MATCH('Product Positioning'!$A266, 'Additional Product Info.'!$A$1:$A$1001, 0), MATCH('Product Positioning'!H$1, 'Additional Product Info.'!$A$1:$C$1, 0))</f>
        <v>End-cap</v>
      </c>
      <c r="I266" t="str">
        <f>INDEX('Additional Product Info.'!$A$1:$C$1001, MATCH('Product Positioning'!$A266, 'Additional Product Info.'!$A$1:$A$1001, 0), MATCH('Product Positioning'!I$1, 'Additional Product Info.'!$A$1:$C$1, 0))</f>
        <v>Food</v>
      </c>
      <c r="J266" t="str">
        <f>_xlfn.XLOOKUP(A266, $A$1:$A$1001, 'Additional Product Info.'!$D$1:$D$1001)</f>
        <v>Yes</v>
      </c>
      <c r="K266" s="1">
        <f t="shared" si="8"/>
        <v>36954.06</v>
      </c>
      <c r="L266" s="1">
        <f t="shared" si="9"/>
        <v>4.8699999999999992</v>
      </c>
      <c r="M266" t="str">
        <f>IF(L266&lt;=Statistics!$E$6,"Low Difference",IF('Product Positioning'!L266&gt;=Statistics!$E$4,"High Difference","Moderate Difference"))</f>
        <v>High Difference</v>
      </c>
    </row>
    <row r="267" spans="1:13" x14ac:dyDescent="0.2">
      <c r="A267">
        <v>142210</v>
      </c>
      <c r="B267" s="1">
        <v>42.69</v>
      </c>
      <c r="C267" s="1">
        <v>38.51</v>
      </c>
      <c r="D267">
        <v>1959</v>
      </c>
      <c r="E267" t="str">
        <f>_xlfn.XLOOKUP(A267, 'Customer Information'!$A$1:$A$1001, 'Customer Information'!$B$1:$B$1001)</f>
        <v>High</v>
      </c>
      <c r="F267" t="str">
        <f>_xlfn.XLOOKUP(A267, 'Customer Information'!$A$1:$A$1001, 'Customer Information'!$C$1:$C$1001)</f>
        <v>Families</v>
      </c>
      <c r="G267" t="str">
        <f>_xlfn.XLOOKUP('Customer Information'!A267, 'Customer Information'!$A$1:$A$1001, 'Customer Information'!$D$1:$D$1001)</f>
        <v>Yes</v>
      </c>
      <c r="H267" t="str">
        <f>INDEX('Additional Product Info.'!$A$1:$C$1001, MATCH('Product Positioning'!$A267, 'Additional Product Info.'!$A$1:$A$1001, 0), MATCH('Product Positioning'!H$1, 'Additional Product Info.'!$A$1:$C$1, 0))</f>
        <v>Front of Store</v>
      </c>
      <c r="I267" t="str">
        <f>INDEX('Additional Product Info.'!$A$1:$C$1001, MATCH('Product Positioning'!$A267, 'Additional Product Info.'!$A$1:$A$1001, 0), MATCH('Product Positioning'!I$1, 'Additional Product Info.'!$A$1:$C$1, 0))</f>
        <v>Clothing</v>
      </c>
      <c r="J267" t="str">
        <f>_xlfn.XLOOKUP(A267, $A$1:$A$1001, 'Additional Product Info.'!$D$1:$D$1001)</f>
        <v>No</v>
      </c>
      <c r="K267" s="1">
        <f t="shared" si="8"/>
        <v>83629.709999999992</v>
      </c>
      <c r="L267" s="1">
        <f t="shared" si="9"/>
        <v>4.18</v>
      </c>
      <c r="M267" t="str">
        <f>IF(L267&lt;=Statistics!$E$6,"Low Difference",IF('Product Positioning'!L267&gt;=Statistics!$E$4,"High Difference","Moderate Difference"))</f>
        <v>High Difference</v>
      </c>
    </row>
    <row r="268" spans="1:13" x14ac:dyDescent="0.2">
      <c r="A268">
        <v>110696</v>
      </c>
      <c r="B268" s="1">
        <v>33.200000000000003</v>
      </c>
      <c r="C268" s="1">
        <v>32.630000000000003</v>
      </c>
      <c r="D268">
        <v>2630</v>
      </c>
      <c r="E268" t="str">
        <f>_xlfn.XLOOKUP(A268, 'Customer Information'!$A$1:$A$1001, 'Customer Information'!$B$1:$B$1001)</f>
        <v>High</v>
      </c>
      <c r="F268" t="str">
        <f>_xlfn.XLOOKUP(A268, 'Customer Information'!$A$1:$A$1001, 'Customer Information'!$C$1:$C$1001)</f>
        <v>Families</v>
      </c>
      <c r="G268" t="str">
        <f>_xlfn.XLOOKUP('Customer Information'!A268, 'Customer Information'!$A$1:$A$1001, 'Customer Information'!$D$1:$D$1001)</f>
        <v>No</v>
      </c>
      <c r="H268" t="str">
        <f>INDEX('Additional Product Info.'!$A$1:$C$1001, MATCH('Product Positioning'!$A268, 'Additional Product Info.'!$A$1:$A$1001, 0), MATCH('Product Positioning'!H$1, 'Additional Product Info.'!$A$1:$C$1, 0))</f>
        <v>Aisle</v>
      </c>
      <c r="I268" t="str">
        <f>INDEX('Additional Product Info.'!$A$1:$C$1001, MATCH('Product Positioning'!$A268, 'Additional Product Info.'!$A$1:$A$1001, 0), MATCH('Product Positioning'!I$1, 'Additional Product Info.'!$A$1:$C$1, 0))</f>
        <v>Clothing</v>
      </c>
      <c r="J268" t="str">
        <f>_xlfn.XLOOKUP(A268, $A$1:$A$1001, 'Additional Product Info.'!$D$1:$D$1001)</f>
        <v>No</v>
      </c>
      <c r="K268" s="1">
        <f t="shared" si="8"/>
        <v>87316.000000000015</v>
      </c>
      <c r="L268" s="1">
        <f t="shared" si="9"/>
        <v>0.57000000000000028</v>
      </c>
      <c r="M268" t="str">
        <f>IF(L268&lt;=Statistics!$E$6,"Low Difference",IF('Product Positioning'!L268&gt;=Statistics!$E$4,"High Difference","Moderate Difference"))</f>
        <v>Low Difference</v>
      </c>
    </row>
    <row r="269" spans="1:13" x14ac:dyDescent="0.2">
      <c r="A269">
        <v>111826</v>
      </c>
      <c r="B269" s="1">
        <v>29.04</v>
      </c>
      <c r="C269" s="1">
        <v>27.7</v>
      </c>
      <c r="D269">
        <v>1926</v>
      </c>
      <c r="E269" t="str">
        <f>_xlfn.XLOOKUP(A269, 'Customer Information'!$A$1:$A$1001, 'Customer Information'!$B$1:$B$1001)</f>
        <v>Low</v>
      </c>
      <c r="F269" t="str">
        <f>_xlfn.XLOOKUP(A269, 'Customer Information'!$A$1:$A$1001, 'Customer Information'!$C$1:$C$1001)</f>
        <v>Seniors</v>
      </c>
      <c r="G269" t="str">
        <f>_xlfn.XLOOKUP('Customer Information'!A269, 'Customer Information'!$A$1:$A$1001, 'Customer Information'!$D$1:$D$1001)</f>
        <v>No</v>
      </c>
      <c r="H269" t="str">
        <f>INDEX('Additional Product Info.'!$A$1:$C$1001, MATCH('Product Positioning'!$A269, 'Additional Product Info.'!$A$1:$A$1001, 0), MATCH('Product Positioning'!H$1, 'Additional Product Info.'!$A$1:$C$1, 0))</f>
        <v>Front of Store</v>
      </c>
      <c r="I269" t="str">
        <f>INDEX('Additional Product Info.'!$A$1:$C$1001, MATCH('Product Positioning'!$A269, 'Additional Product Info.'!$A$1:$A$1001, 0), MATCH('Product Positioning'!I$1, 'Additional Product Info.'!$A$1:$C$1, 0))</f>
        <v>Food</v>
      </c>
      <c r="J269" t="str">
        <f>_xlfn.XLOOKUP(A269, $A$1:$A$1001, 'Additional Product Info.'!$D$1:$D$1001)</f>
        <v>No</v>
      </c>
      <c r="K269" s="1">
        <f t="shared" si="8"/>
        <v>55931.040000000001</v>
      </c>
      <c r="L269" s="1">
        <f t="shared" si="9"/>
        <v>1.3399999999999999</v>
      </c>
      <c r="M269" t="str">
        <f>IF(L269&lt;=Statistics!$E$6,"Low Difference",IF('Product Positioning'!L269&gt;=Statistics!$E$4,"High Difference","Moderate Difference"))</f>
        <v>Moderate Difference</v>
      </c>
    </row>
    <row r="270" spans="1:13" x14ac:dyDescent="0.2">
      <c r="A270">
        <v>118116</v>
      </c>
      <c r="B270" s="1">
        <v>38.6</v>
      </c>
      <c r="C270" s="1">
        <v>38.229999999999997</v>
      </c>
      <c r="D270">
        <v>1857</v>
      </c>
      <c r="E270" t="str">
        <f>_xlfn.XLOOKUP(A270, 'Customer Information'!$A$1:$A$1001, 'Customer Information'!$B$1:$B$1001)</f>
        <v>Medium</v>
      </c>
      <c r="F270" t="str">
        <f>_xlfn.XLOOKUP(A270, 'Customer Information'!$A$1:$A$1001, 'Customer Information'!$C$1:$C$1001)</f>
        <v>Young adults</v>
      </c>
      <c r="G270" t="str">
        <f>_xlfn.XLOOKUP('Customer Information'!A270, 'Customer Information'!$A$1:$A$1001, 'Customer Information'!$D$1:$D$1001)</f>
        <v>No</v>
      </c>
      <c r="H270" t="str">
        <f>INDEX('Additional Product Info.'!$A$1:$C$1001, MATCH('Product Positioning'!$A270, 'Additional Product Info.'!$A$1:$A$1001, 0), MATCH('Product Positioning'!H$1, 'Additional Product Info.'!$A$1:$C$1, 0))</f>
        <v>End-cap</v>
      </c>
      <c r="I270" t="str">
        <f>INDEX('Additional Product Info.'!$A$1:$C$1001, MATCH('Product Positioning'!$A270, 'Additional Product Info.'!$A$1:$A$1001, 0), MATCH('Product Positioning'!I$1, 'Additional Product Info.'!$A$1:$C$1, 0))</f>
        <v>Clothing</v>
      </c>
      <c r="J270" t="str">
        <f>_xlfn.XLOOKUP(A270, $A$1:$A$1001, 'Additional Product Info.'!$D$1:$D$1001)</f>
        <v>No</v>
      </c>
      <c r="K270" s="1">
        <f t="shared" si="8"/>
        <v>71680.2</v>
      </c>
      <c r="L270" s="1">
        <f t="shared" si="9"/>
        <v>0.37000000000000455</v>
      </c>
      <c r="M270" t="str">
        <f>IF(L270&lt;=Statistics!$E$6,"Low Difference",IF('Product Positioning'!L270&gt;=Statistics!$E$4,"High Difference","Moderate Difference"))</f>
        <v>Low Difference</v>
      </c>
    </row>
    <row r="271" spans="1:13" x14ac:dyDescent="0.2">
      <c r="A271">
        <v>152727</v>
      </c>
      <c r="B271" s="1">
        <v>15.44</v>
      </c>
      <c r="C271" s="1">
        <v>13.43</v>
      </c>
      <c r="D271">
        <v>1383</v>
      </c>
      <c r="E271" t="str">
        <f>_xlfn.XLOOKUP(A271, 'Customer Information'!$A$1:$A$1001, 'Customer Information'!$B$1:$B$1001)</f>
        <v>Low</v>
      </c>
      <c r="F271" t="str">
        <f>_xlfn.XLOOKUP(A271, 'Customer Information'!$A$1:$A$1001, 'Customer Information'!$C$1:$C$1001)</f>
        <v>College students</v>
      </c>
      <c r="G271" t="str">
        <f>_xlfn.XLOOKUP('Customer Information'!A271, 'Customer Information'!$A$1:$A$1001, 'Customer Information'!$D$1:$D$1001)</f>
        <v>No</v>
      </c>
      <c r="H271" t="str">
        <f>INDEX('Additional Product Info.'!$A$1:$C$1001, MATCH('Product Positioning'!$A271, 'Additional Product Info.'!$A$1:$A$1001, 0), MATCH('Product Positioning'!H$1, 'Additional Product Info.'!$A$1:$C$1, 0))</f>
        <v>Front of Store</v>
      </c>
      <c r="I271" t="str">
        <f>INDEX('Additional Product Info.'!$A$1:$C$1001, MATCH('Product Positioning'!$A271, 'Additional Product Info.'!$A$1:$A$1001, 0), MATCH('Product Positioning'!I$1, 'Additional Product Info.'!$A$1:$C$1, 0))</f>
        <v>Clothing</v>
      </c>
      <c r="J271" t="str">
        <f>_xlfn.XLOOKUP(A271, $A$1:$A$1001, 'Additional Product Info.'!$D$1:$D$1001)</f>
        <v>Yes</v>
      </c>
      <c r="K271" s="1">
        <f t="shared" si="8"/>
        <v>21353.52</v>
      </c>
      <c r="L271" s="1">
        <f t="shared" si="9"/>
        <v>2.0099999999999998</v>
      </c>
      <c r="M271" t="str">
        <f>IF(L271&lt;=Statistics!$E$6,"Low Difference",IF('Product Positioning'!L271&gt;=Statistics!$E$4,"High Difference","Moderate Difference"))</f>
        <v>Moderate Difference</v>
      </c>
    </row>
    <row r="272" spans="1:13" x14ac:dyDescent="0.2">
      <c r="A272">
        <v>198291</v>
      </c>
      <c r="B272" s="1">
        <v>21.52</v>
      </c>
      <c r="C272" s="1">
        <v>19.8</v>
      </c>
      <c r="D272">
        <v>2475</v>
      </c>
      <c r="E272" t="str">
        <f>_xlfn.XLOOKUP(A272, 'Customer Information'!$A$1:$A$1001, 'Customer Information'!$B$1:$B$1001)</f>
        <v>Medium</v>
      </c>
      <c r="F272" t="str">
        <f>_xlfn.XLOOKUP(A272, 'Customer Information'!$A$1:$A$1001, 'Customer Information'!$C$1:$C$1001)</f>
        <v>Seniors</v>
      </c>
      <c r="G272" t="str">
        <f>_xlfn.XLOOKUP('Customer Information'!A272, 'Customer Information'!$A$1:$A$1001, 'Customer Information'!$D$1:$D$1001)</f>
        <v>Yes</v>
      </c>
      <c r="H272" t="str">
        <f>INDEX('Additional Product Info.'!$A$1:$C$1001, MATCH('Product Positioning'!$A272, 'Additional Product Info.'!$A$1:$A$1001, 0), MATCH('Product Positioning'!H$1, 'Additional Product Info.'!$A$1:$C$1, 0))</f>
        <v>Front of Store</v>
      </c>
      <c r="I272" t="str">
        <f>INDEX('Additional Product Info.'!$A$1:$C$1001, MATCH('Product Positioning'!$A272, 'Additional Product Info.'!$A$1:$A$1001, 0), MATCH('Product Positioning'!I$1, 'Additional Product Info.'!$A$1:$C$1, 0))</f>
        <v>Food</v>
      </c>
      <c r="J272" t="str">
        <f>_xlfn.XLOOKUP(A272, $A$1:$A$1001, 'Additional Product Info.'!$D$1:$D$1001)</f>
        <v>No</v>
      </c>
      <c r="K272" s="1">
        <f t="shared" si="8"/>
        <v>53262</v>
      </c>
      <c r="L272" s="1">
        <f t="shared" si="9"/>
        <v>1.7199999999999989</v>
      </c>
      <c r="M272" t="str">
        <f>IF(L272&lt;=Statistics!$E$6,"Low Difference",IF('Product Positioning'!L272&gt;=Statistics!$E$4,"High Difference","Moderate Difference"))</f>
        <v>Moderate Difference</v>
      </c>
    </row>
    <row r="273" spans="1:13" x14ac:dyDescent="0.2">
      <c r="A273">
        <v>136227</v>
      </c>
      <c r="B273" s="1">
        <v>18.39</v>
      </c>
      <c r="C273" s="1">
        <v>13.66</v>
      </c>
      <c r="D273">
        <v>2452</v>
      </c>
      <c r="E273" t="str">
        <f>_xlfn.XLOOKUP(A273, 'Customer Information'!$A$1:$A$1001, 'Customer Information'!$B$1:$B$1001)</f>
        <v>Medium</v>
      </c>
      <c r="F273" t="str">
        <f>_xlfn.XLOOKUP(A273, 'Customer Information'!$A$1:$A$1001, 'Customer Information'!$C$1:$C$1001)</f>
        <v>College students</v>
      </c>
      <c r="G273" t="str">
        <f>_xlfn.XLOOKUP('Customer Information'!A273, 'Customer Information'!$A$1:$A$1001, 'Customer Information'!$D$1:$D$1001)</f>
        <v>No</v>
      </c>
      <c r="H273" t="str">
        <f>INDEX('Additional Product Info.'!$A$1:$C$1001, MATCH('Product Positioning'!$A273, 'Additional Product Info.'!$A$1:$A$1001, 0), MATCH('Product Positioning'!H$1, 'Additional Product Info.'!$A$1:$C$1, 0))</f>
        <v>End-cap</v>
      </c>
      <c r="I273" t="str">
        <f>INDEX('Additional Product Info.'!$A$1:$C$1001, MATCH('Product Positioning'!$A273, 'Additional Product Info.'!$A$1:$A$1001, 0), MATCH('Product Positioning'!I$1, 'Additional Product Info.'!$A$1:$C$1, 0))</f>
        <v>Clothing</v>
      </c>
      <c r="J273" t="str">
        <f>_xlfn.XLOOKUP(A273, $A$1:$A$1001, 'Additional Product Info.'!$D$1:$D$1001)</f>
        <v>Yes</v>
      </c>
      <c r="K273" s="1">
        <f t="shared" si="8"/>
        <v>45092.28</v>
      </c>
      <c r="L273" s="1">
        <f t="shared" si="9"/>
        <v>4.7300000000000004</v>
      </c>
      <c r="M273" t="str">
        <f>IF(L273&lt;=Statistics!$E$6,"Low Difference",IF('Product Positioning'!L273&gt;=Statistics!$E$4,"High Difference","Moderate Difference"))</f>
        <v>High Difference</v>
      </c>
    </row>
    <row r="274" spans="1:13" x14ac:dyDescent="0.2">
      <c r="A274">
        <v>144031</v>
      </c>
      <c r="B274" s="1">
        <v>19.87</v>
      </c>
      <c r="C274" s="1">
        <v>19.739999999999998</v>
      </c>
      <c r="D274">
        <v>1470</v>
      </c>
      <c r="E274" t="str">
        <f>_xlfn.XLOOKUP(A274, 'Customer Information'!$A$1:$A$1001, 'Customer Information'!$B$1:$B$1001)</f>
        <v>High</v>
      </c>
      <c r="F274" t="str">
        <f>_xlfn.XLOOKUP(A274, 'Customer Information'!$A$1:$A$1001, 'Customer Information'!$C$1:$C$1001)</f>
        <v>Families</v>
      </c>
      <c r="G274" t="str">
        <f>_xlfn.XLOOKUP('Customer Information'!A274, 'Customer Information'!$A$1:$A$1001, 'Customer Information'!$D$1:$D$1001)</f>
        <v>No</v>
      </c>
      <c r="H274" t="str">
        <f>INDEX('Additional Product Info.'!$A$1:$C$1001, MATCH('Product Positioning'!$A274, 'Additional Product Info.'!$A$1:$A$1001, 0), MATCH('Product Positioning'!H$1, 'Additional Product Info.'!$A$1:$C$1, 0))</f>
        <v>End-cap</v>
      </c>
      <c r="I274" t="str">
        <f>INDEX('Additional Product Info.'!$A$1:$C$1001, MATCH('Product Positioning'!$A274, 'Additional Product Info.'!$A$1:$A$1001, 0), MATCH('Product Positioning'!I$1, 'Additional Product Info.'!$A$1:$C$1, 0))</f>
        <v>Electronics</v>
      </c>
      <c r="J274" t="str">
        <f>_xlfn.XLOOKUP(A274, $A$1:$A$1001, 'Additional Product Info.'!$D$1:$D$1001)</f>
        <v>Yes</v>
      </c>
      <c r="K274" s="1">
        <f t="shared" si="8"/>
        <v>29208.9</v>
      </c>
      <c r="L274" s="1">
        <f t="shared" si="9"/>
        <v>0.13000000000000256</v>
      </c>
      <c r="M274" t="str">
        <f>IF(L274&lt;=Statistics!$E$6,"Low Difference",IF('Product Positioning'!L274&gt;=Statistics!$E$4,"High Difference","Moderate Difference"))</f>
        <v>Low Difference</v>
      </c>
    </row>
    <row r="275" spans="1:13" x14ac:dyDescent="0.2">
      <c r="A275">
        <v>198924</v>
      </c>
      <c r="B275" s="1">
        <v>22.87</v>
      </c>
      <c r="C275" s="1">
        <v>19.29</v>
      </c>
      <c r="D275">
        <v>776</v>
      </c>
      <c r="E275" t="str">
        <f>_xlfn.XLOOKUP(A275, 'Customer Information'!$A$1:$A$1001, 'Customer Information'!$B$1:$B$1001)</f>
        <v>High</v>
      </c>
      <c r="F275" t="str">
        <f>_xlfn.XLOOKUP(A275, 'Customer Information'!$A$1:$A$1001, 'Customer Information'!$C$1:$C$1001)</f>
        <v>College students</v>
      </c>
      <c r="G275" t="str">
        <f>_xlfn.XLOOKUP('Customer Information'!A275, 'Customer Information'!$A$1:$A$1001, 'Customer Information'!$D$1:$D$1001)</f>
        <v>Yes</v>
      </c>
      <c r="H275" t="str">
        <f>INDEX('Additional Product Info.'!$A$1:$C$1001, MATCH('Product Positioning'!$A275, 'Additional Product Info.'!$A$1:$A$1001, 0), MATCH('Product Positioning'!H$1, 'Additional Product Info.'!$A$1:$C$1, 0))</f>
        <v>End-cap</v>
      </c>
      <c r="I275" t="str">
        <f>INDEX('Additional Product Info.'!$A$1:$C$1001, MATCH('Product Positioning'!$A275, 'Additional Product Info.'!$A$1:$A$1001, 0), MATCH('Product Positioning'!I$1, 'Additional Product Info.'!$A$1:$C$1, 0))</f>
        <v>Clothing</v>
      </c>
      <c r="J275" t="str">
        <f>_xlfn.XLOOKUP(A275, $A$1:$A$1001, 'Additional Product Info.'!$D$1:$D$1001)</f>
        <v>Yes</v>
      </c>
      <c r="K275" s="1">
        <f t="shared" si="8"/>
        <v>17747.12</v>
      </c>
      <c r="L275" s="1">
        <f t="shared" si="9"/>
        <v>3.5800000000000018</v>
      </c>
      <c r="M275" t="str">
        <f>IF(L275&lt;=Statistics!$E$6,"Low Difference",IF('Product Positioning'!L275&gt;=Statistics!$E$4,"High Difference","Moderate Difference"))</f>
        <v>Moderate Difference</v>
      </c>
    </row>
    <row r="276" spans="1:13" x14ac:dyDescent="0.2">
      <c r="A276">
        <v>187922</v>
      </c>
      <c r="B276" s="1">
        <v>17.82</v>
      </c>
      <c r="C276" s="1">
        <v>17.309999999999999</v>
      </c>
      <c r="D276">
        <v>1688</v>
      </c>
      <c r="E276" t="str">
        <f>_xlfn.XLOOKUP(A276, 'Customer Information'!$A$1:$A$1001, 'Customer Information'!$B$1:$B$1001)</f>
        <v>Medium</v>
      </c>
      <c r="F276" t="str">
        <f>_xlfn.XLOOKUP(A276, 'Customer Information'!$A$1:$A$1001, 'Customer Information'!$C$1:$C$1001)</f>
        <v>Families</v>
      </c>
      <c r="G276" t="str">
        <f>_xlfn.XLOOKUP('Customer Information'!A276, 'Customer Information'!$A$1:$A$1001, 'Customer Information'!$D$1:$D$1001)</f>
        <v>No</v>
      </c>
      <c r="H276" t="str">
        <f>INDEX('Additional Product Info.'!$A$1:$C$1001, MATCH('Product Positioning'!$A276, 'Additional Product Info.'!$A$1:$A$1001, 0), MATCH('Product Positioning'!H$1, 'Additional Product Info.'!$A$1:$C$1, 0))</f>
        <v>Front of Store</v>
      </c>
      <c r="I276" t="str">
        <f>INDEX('Additional Product Info.'!$A$1:$C$1001, MATCH('Product Positioning'!$A276, 'Additional Product Info.'!$A$1:$A$1001, 0), MATCH('Product Positioning'!I$1, 'Additional Product Info.'!$A$1:$C$1, 0))</f>
        <v>Clothing</v>
      </c>
      <c r="J276" t="str">
        <f>_xlfn.XLOOKUP(A276, $A$1:$A$1001, 'Additional Product Info.'!$D$1:$D$1001)</f>
        <v>Yes</v>
      </c>
      <c r="K276" s="1">
        <f t="shared" si="8"/>
        <v>30080.16</v>
      </c>
      <c r="L276" s="1">
        <f t="shared" si="9"/>
        <v>0.51000000000000156</v>
      </c>
      <c r="M276" t="str">
        <f>IF(L276&lt;=Statistics!$E$6,"Low Difference",IF('Product Positioning'!L276&gt;=Statistics!$E$4,"High Difference","Moderate Difference"))</f>
        <v>Low Difference</v>
      </c>
    </row>
    <row r="277" spans="1:13" x14ac:dyDescent="0.2">
      <c r="A277">
        <v>168448</v>
      </c>
      <c r="B277" s="1">
        <v>44.19</v>
      </c>
      <c r="C277" s="1">
        <v>40.880000000000003</v>
      </c>
      <c r="D277">
        <v>2926</v>
      </c>
      <c r="E277" t="str">
        <f>_xlfn.XLOOKUP(A277, 'Customer Information'!$A$1:$A$1001, 'Customer Information'!$B$1:$B$1001)</f>
        <v>Medium</v>
      </c>
      <c r="F277" t="str">
        <f>_xlfn.XLOOKUP(A277, 'Customer Information'!$A$1:$A$1001, 'Customer Information'!$C$1:$C$1001)</f>
        <v>College students</v>
      </c>
      <c r="G277" t="str">
        <f>_xlfn.XLOOKUP('Customer Information'!A277, 'Customer Information'!$A$1:$A$1001, 'Customer Information'!$D$1:$D$1001)</f>
        <v>Yes</v>
      </c>
      <c r="H277" t="str">
        <f>INDEX('Additional Product Info.'!$A$1:$C$1001, MATCH('Product Positioning'!$A277, 'Additional Product Info.'!$A$1:$A$1001, 0), MATCH('Product Positioning'!H$1, 'Additional Product Info.'!$A$1:$C$1, 0))</f>
        <v>End-cap</v>
      </c>
      <c r="I277" t="str">
        <f>INDEX('Additional Product Info.'!$A$1:$C$1001, MATCH('Product Positioning'!$A277, 'Additional Product Info.'!$A$1:$A$1001, 0), MATCH('Product Positioning'!I$1, 'Additional Product Info.'!$A$1:$C$1, 0))</f>
        <v>Food</v>
      </c>
      <c r="J277" t="str">
        <f>_xlfn.XLOOKUP(A277, $A$1:$A$1001, 'Additional Product Info.'!$D$1:$D$1001)</f>
        <v>Yes</v>
      </c>
      <c r="K277" s="1">
        <f t="shared" si="8"/>
        <v>129299.93999999999</v>
      </c>
      <c r="L277" s="1">
        <f t="shared" si="9"/>
        <v>3.3099999999999952</v>
      </c>
      <c r="M277" t="str">
        <f>IF(L277&lt;=Statistics!$E$6,"Low Difference",IF('Product Positioning'!L277&gt;=Statistics!$E$4,"High Difference","Moderate Difference"))</f>
        <v>Moderate Difference</v>
      </c>
    </row>
    <row r="278" spans="1:13" x14ac:dyDescent="0.2">
      <c r="A278">
        <v>192111</v>
      </c>
      <c r="B278" s="1">
        <v>20.88</v>
      </c>
      <c r="C278" s="1">
        <v>17.54</v>
      </c>
      <c r="D278">
        <v>737</v>
      </c>
      <c r="E278" t="str">
        <f>_xlfn.XLOOKUP(A278, 'Customer Information'!$A$1:$A$1001, 'Customer Information'!$B$1:$B$1001)</f>
        <v>Low</v>
      </c>
      <c r="F278" t="str">
        <f>_xlfn.XLOOKUP(A278, 'Customer Information'!$A$1:$A$1001, 'Customer Information'!$C$1:$C$1001)</f>
        <v>Seniors</v>
      </c>
      <c r="G278" t="str">
        <f>_xlfn.XLOOKUP('Customer Information'!A278, 'Customer Information'!$A$1:$A$1001, 'Customer Information'!$D$1:$D$1001)</f>
        <v>No</v>
      </c>
      <c r="H278" t="str">
        <f>INDEX('Additional Product Info.'!$A$1:$C$1001, MATCH('Product Positioning'!$A278, 'Additional Product Info.'!$A$1:$A$1001, 0), MATCH('Product Positioning'!H$1, 'Additional Product Info.'!$A$1:$C$1, 0))</f>
        <v>Aisle</v>
      </c>
      <c r="I278" t="str">
        <f>INDEX('Additional Product Info.'!$A$1:$C$1001, MATCH('Product Positioning'!$A278, 'Additional Product Info.'!$A$1:$A$1001, 0), MATCH('Product Positioning'!I$1, 'Additional Product Info.'!$A$1:$C$1, 0))</f>
        <v>Electronics</v>
      </c>
      <c r="J278" t="str">
        <f>_xlfn.XLOOKUP(A278, $A$1:$A$1001, 'Additional Product Info.'!$D$1:$D$1001)</f>
        <v>No</v>
      </c>
      <c r="K278" s="1">
        <f t="shared" si="8"/>
        <v>15388.56</v>
      </c>
      <c r="L278" s="1">
        <f t="shared" si="9"/>
        <v>3.34</v>
      </c>
      <c r="M278" t="str">
        <f>IF(L278&lt;=Statistics!$E$6,"Low Difference",IF('Product Positioning'!L278&gt;=Statistics!$E$4,"High Difference","Moderate Difference"))</f>
        <v>Moderate Difference</v>
      </c>
    </row>
    <row r="279" spans="1:13" x14ac:dyDescent="0.2">
      <c r="A279">
        <v>185466</v>
      </c>
      <c r="B279" s="1">
        <v>14.83</v>
      </c>
      <c r="C279" s="1">
        <v>14.72</v>
      </c>
      <c r="D279">
        <v>509</v>
      </c>
      <c r="E279" t="str">
        <f>_xlfn.XLOOKUP(A279, 'Customer Information'!$A$1:$A$1001, 'Customer Information'!$B$1:$B$1001)</f>
        <v>High</v>
      </c>
      <c r="F279" t="str">
        <f>_xlfn.XLOOKUP(A279, 'Customer Information'!$A$1:$A$1001, 'Customer Information'!$C$1:$C$1001)</f>
        <v>Families</v>
      </c>
      <c r="G279" t="str">
        <f>_xlfn.XLOOKUP('Customer Information'!A279, 'Customer Information'!$A$1:$A$1001, 'Customer Information'!$D$1:$D$1001)</f>
        <v>No</v>
      </c>
      <c r="H279" t="str">
        <f>INDEX('Additional Product Info.'!$A$1:$C$1001, MATCH('Product Positioning'!$A279, 'Additional Product Info.'!$A$1:$A$1001, 0), MATCH('Product Positioning'!H$1, 'Additional Product Info.'!$A$1:$C$1, 0))</f>
        <v>Aisle</v>
      </c>
      <c r="I279" t="str">
        <f>INDEX('Additional Product Info.'!$A$1:$C$1001, MATCH('Product Positioning'!$A279, 'Additional Product Info.'!$A$1:$A$1001, 0), MATCH('Product Positioning'!I$1, 'Additional Product Info.'!$A$1:$C$1, 0))</f>
        <v>Electronics</v>
      </c>
      <c r="J279" t="str">
        <f>_xlfn.XLOOKUP(A279, $A$1:$A$1001, 'Additional Product Info.'!$D$1:$D$1001)</f>
        <v>No</v>
      </c>
      <c r="K279" s="1">
        <f t="shared" si="8"/>
        <v>7548.47</v>
      </c>
      <c r="L279" s="1">
        <f t="shared" si="9"/>
        <v>0.10999999999999943</v>
      </c>
      <c r="M279" t="str">
        <f>IF(L279&lt;=Statistics!$E$6,"Low Difference",IF('Product Positioning'!L279&gt;=Statistics!$E$4,"High Difference","Moderate Difference"))</f>
        <v>Low Difference</v>
      </c>
    </row>
    <row r="280" spans="1:13" x14ac:dyDescent="0.2">
      <c r="A280">
        <v>174277</v>
      </c>
      <c r="B280" s="1">
        <v>20.76</v>
      </c>
      <c r="C280" s="1">
        <v>20.72</v>
      </c>
      <c r="D280">
        <v>2343</v>
      </c>
      <c r="E280" t="str">
        <f>_xlfn.XLOOKUP(A280, 'Customer Information'!$A$1:$A$1001, 'Customer Information'!$B$1:$B$1001)</f>
        <v>Medium</v>
      </c>
      <c r="F280" t="str">
        <f>_xlfn.XLOOKUP(A280, 'Customer Information'!$A$1:$A$1001, 'Customer Information'!$C$1:$C$1001)</f>
        <v>Young adults</v>
      </c>
      <c r="G280" t="str">
        <f>_xlfn.XLOOKUP('Customer Information'!A280, 'Customer Information'!$A$1:$A$1001, 'Customer Information'!$D$1:$D$1001)</f>
        <v>No</v>
      </c>
      <c r="H280" t="str">
        <f>INDEX('Additional Product Info.'!$A$1:$C$1001, MATCH('Product Positioning'!$A280, 'Additional Product Info.'!$A$1:$A$1001, 0), MATCH('Product Positioning'!H$1, 'Additional Product Info.'!$A$1:$C$1, 0))</f>
        <v>End-cap</v>
      </c>
      <c r="I280" t="str">
        <f>INDEX('Additional Product Info.'!$A$1:$C$1001, MATCH('Product Positioning'!$A280, 'Additional Product Info.'!$A$1:$A$1001, 0), MATCH('Product Positioning'!I$1, 'Additional Product Info.'!$A$1:$C$1, 0))</f>
        <v>Food</v>
      </c>
      <c r="J280" t="str">
        <f>_xlfn.XLOOKUP(A280, $A$1:$A$1001, 'Additional Product Info.'!$D$1:$D$1001)</f>
        <v>Yes</v>
      </c>
      <c r="K280" s="1">
        <f t="shared" si="8"/>
        <v>48640.68</v>
      </c>
      <c r="L280" s="1">
        <f t="shared" si="9"/>
        <v>4.00000000000027E-2</v>
      </c>
      <c r="M280" t="str">
        <f>IF(L280&lt;=Statistics!$E$6,"Low Difference",IF('Product Positioning'!L280&gt;=Statistics!$E$4,"High Difference","Moderate Difference"))</f>
        <v>Low Difference</v>
      </c>
    </row>
    <row r="281" spans="1:13" x14ac:dyDescent="0.2">
      <c r="A281">
        <v>158519</v>
      </c>
      <c r="B281" s="1">
        <v>16.41</v>
      </c>
      <c r="C281" s="1">
        <v>11.61</v>
      </c>
      <c r="D281">
        <v>1986</v>
      </c>
      <c r="E281" t="str">
        <f>_xlfn.XLOOKUP(A281, 'Customer Information'!$A$1:$A$1001, 'Customer Information'!$B$1:$B$1001)</f>
        <v>Low</v>
      </c>
      <c r="F281" t="str">
        <f>_xlfn.XLOOKUP(A281, 'Customer Information'!$A$1:$A$1001, 'Customer Information'!$C$1:$C$1001)</f>
        <v>Families</v>
      </c>
      <c r="G281" t="str">
        <f>_xlfn.XLOOKUP('Customer Information'!A281, 'Customer Information'!$A$1:$A$1001, 'Customer Information'!$D$1:$D$1001)</f>
        <v>Yes</v>
      </c>
      <c r="H281" t="str">
        <f>INDEX('Additional Product Info.'!$A$1:$C$1001, MATCH('Product Positioning'!$A281, 'Additional Product Info.'!$A$1:$A$1001, 0), MATCH('Product Positioning'!H$1, 'Additional Product Info.'!$A$1:$C$1, 0))</f>
        <v>Aisle</v>
      </c>
      <c r="I281" t="str">
        <f>INDEX('Additional Product Info.'!$A$1:$C$1001, MATCH('Product Positioning'!$A281, 'Additional Product Info.'!$A$1:$A$1001, 0), MATCH('Product Positioning'!I$1, 'Additional Product Info.'!$A$1:$C$1, 0))</f>
        <v>Electronics</v>
      </c>
      <c r="J281" t="str">
        <f>_xlfn.XLOOKUP(A281, $A$1:$A$1001, 'Additional Product Info.'!$D$1:$D$1001)</f>
        <v>No</v>
      </c>
      <c r="K281" s="1">
        <f t="shared" si="8"/>
        <v>32590.260000000002</v>
      </c>
      <c r="L281" s="1">
        <f t="shared" si="9"/>
        <v>4.8000000000000007</v>
      </c>
      <c r="M281" t="str">
        <f>IF(L281&lt;=Statistics!$E$6,"Low Difference",IF('Product Positioning'!L281&gt;=Statistics!$E$4,"High Difference","Moderate Difference"))</f>
        <v>High Difference</v>
      </c>
    </row>
    <row r="282" spans="1:13" x14ac:dyDescent="0.2">
      <c r="A282">
        <v>178624</v>
      </c>
      <c r="B282" s="1">
        <v>23.22</v>
      </c>
      <c r="C282" s="1">
        <v>20.6</v>
      </c>
      <c r="D282">
        <v>1821</v>
      </c>
      <c r="E282" t="str">
        <f>_xlfn.XLOOKUP(A282, 'Customer Information'!$A$1:$A$1001, 'Customer Information'!$B$1:$B$1001)</f>
        <v>Medium</v>
      </c>
      <c r="F282" t="str">
        <f>_xlfn.XLOOKUP(A282, 'Customer Information'!$A$1:$A$1001, 'Customer Information'!$C$1:$C$1001)</f>
        <v>Young adults</v>
      </c>
      <c r="G282" t="str">
        <f>_xlfn.XLOOKUP('Customer Information'!A282, 'Customer Information'!$A$1:$A$1001, 'Customer Information'!$D$1:$D$1001)</f>
        <v>No</v>
      </c>
      <c r="H282" t="str">
        <f>INDEX('Additional Product Info.'!$A$1:$C$1001, MATCH('Product Positioning'!$A282, 'Additional Product Info.'!$A$1:$A$1001, 0), MATCH('Product Positioning'!H$1, 'Additional Product Info.'!$A$1:$C$1, 0))</f>
        <v>Front of Store</v>
      </c>
      <c r="I282" t="str">
        <f>INDEX('Additional Product Info.'!$A$1:$C$1001, MATCH('Product Positioning'!$A282, 'Additional Product Info.'!$A$1:$A$1001, 0), MATCH('Product Positioning'!I$1, 'Additional Product Info.'!$A$1:$C$1, 0))</f>
        <v>Food</v>
      </c>
      <c r="J282" t="str">
        <f>_xlfn.XLOOKUP(A282, $A$1:$A$1001, 'Additional Product Info.'!$D$1:$D$1001)</f>
        <v>No</v>
      </c>
      <c r="K282" s="1">
        <f t="shared" si="8"/>
        <v>42283.619999999995</v>
      </c>
      <c r="L282" s="1">
        <f t="shared" si="9"/>
        <v>2.6199999999999974</v>
      </c>
      <c r="M282" t="str">
        <f>IF(L282&lt;=Statistics!$E$6,"Low Difference",IF('Product Positioning'!L282&gt;=Statistics!$E$4,"High Difference","Moderate Difference"))</f>
        <v>Moderate Difference</v>
      </c>
    </row>
    <row r="283" spans="1:13" x14ac:dyDescent="0.2">
      <c r="A283">
        <v>123728</v>
      </c>
      <c r="B283" s="1">
        <v>11.53</v>
      </c>
      <c r="C283" s="1">
        <v>9.07</v>
      </c>
      <c r="D283">
        <v>2669</v>
      </c>
      <c r="E283" t="str">
        <f>_xlfn.XLOOKUP(A283, 'Customer Information'!$A$1:$A$1001, 'Customer Information'!$B$1:$B$1001)</f>
        <v>High</v>
      </c>
      <c r="F283" t="str">
        <f>_xlfn.XLOOKUP(A283, 'Customer Information'!$A$1:$A$1001, 'Customer Information'!$C$1:$C$1001)</f>
        <v>Seniors</v>
      </c>
      <c r="G283" t="str">
        <f>_xlfn.XLOOKUP('Customer Information'!A283, 'Customer Information'!$A$1:$A$1001, 'Customer Information'!$D$1:$D$1001)</f>
        <v>Yes</v>
      </c>
      <c r="H283" t="str">
        <f>INDEX('Additional Product Info.'!$A$1:$C$1001, MATCH('Product Positioning'!$A283, 'Additional Product Info.'!$A$1:$A$1001, 0), MATCH('Product Positioning'!H$1, 'Additional Product Info.'!$A$1:$C$1, 0))</f>
        <v>Aisle</v>
      </c>
      <c r="I283" t="str">
        <f>INDEX('Additional Product Info.'!$A$1:$C$1001, MATCH('Product Positioning'!$A283, 'Additional Product Info.'!$A$1:$A$1001, 0), MATCH('Product Positioning'!I$1, 'Additional Product Info.'!$A$1:$C$1, 0))</f>
        <v>Electronics</v>
      </c>
      <c r="J283" t="str">
        <f>_xlfn.XLOOKUP(A283, $A$1:$A$1001, 'Additional Product Info.'!$D$1:$D$1001)</f>
        <v>No</v>
      </c>
      <c r="K283" s="1">
        <f t="shared" si="8"/>
        <v>30773.57</v>
      </c>
      <c r="L283" s="1">
        <f t="shared" si="9"/>
        <v>2.4599999999999991</v>
      </c>
      <c r="M283" t="str">
        <f>IF(L283&lt;=Statistics!$E$6,"Low Difference",IF('Product Positioning'!L283&gt;=Statistics!$E$4,"High Difference","Moderate Difference"))</f>
        <v>Moderate Difference</v>
      </c>
    </row>
    <row r="284" spans="1:13" x14ac:dyDescent="0.2">
      <c r="A284">
        <v>197954</v>
      </c>
      <c r="B284" s="1">
        <v>27.06</v>
      </c>
      <c r="C284" s="1">
        <v>22.66</v>
      </c>
      <c r="D284">
        <v>2391</v>
      </c>
      <c r="E284" t="str">
        <f>_xlfn.XLOOKUP(A284, 'Customer Information'!$A$1:$A$1001, 'Customer Information'!$B$1:$B$1001)</f>
        <v>Low</v>
      </c>
      <c r="F284" t="str">
        <f>_xlfn.XLOOKUP(A284, 'Customer Information'!$A$1:$A$1001, 'Customer Information'!$C$1:$C$1001)</f>
        <v>College students</v>
      </c>
      <c r="G284" t="str">
        <f>_xlfn.XLOOKUP('Customer Information'!A284, 'Customer Information'!$A$1:$A$1001, 'Customer Information'!$D$1:$D$1001)</f>
        <v>Yes</v>
      </c>
      <c r="H284" t="str">
        <f>INDEX('Additional Product Info.'!$A$1:$C$1001, MATCH('Product Positioning'!$A284, 'Additional Product Info.'!$A$1:$A$1001, 0), MATCH('Product Positioning'!H$1, 'Additional Product Info.'!$A$1:$C$1, 0))</f>
        <v>Aisle</v>
      </c>
      <c r="I284" t="str">
        <f>INDEX('Additional Product Info.'!$A$1:$C$1001, MATCH('Product Positioning'!$A284, 'Additional Product Info.'!$A$1:$A$1001, 0), MATCH('Product Positioning'!I$1, 'Additional Product Info.'!$A$1:$C$1, 0))</f>
        <v>Food</v>
      </c>
      <c r="J284" t="str">
        <f>_xlfn.XLOOKUP(A284, $A$1:$A$1001, 'Additional Product Info.'!$D$1:$D$1001)</f>
        <v>No</v>
      </c>
      <c r="K284" s="1">
        <f t="shared" si="8"/>
        <v>64700.46</v>
      </c>
      <c r="L284" s="1">
        <f t="shared" si="9"/>
        <v>4.3999999999999986</v>
      </c>
      <c r="M284" t="str">
        <f>IF(L284&lt;=Statistics!$E$6,"Low Difference",IF('Product Positioning'!L284&gt;=Statistics!$E$4,"High Difference","Moderate Difference"))</f>
        <v>High Difference</v>
      </c>
    </row>
    <row r="285" spans="1:13" x14ac:dyDescent="0.2">
      <c r="A285">
        <v>133328</v>
      </c>
      <c r="B285" s="1">
        <v>16.63</v>
      </c>
      <c r="C285" s="1">
        <v>12.63</v>
      </c>
      <c r="D285">
        <v>1241</v>
      </c>
      <c r="E285" t="str">
        <f>_xlfn.XLOOKUP(A285, 'Customer Information'!$A$1:$A$1001, 'Customer Information'!$B$1:$B$1001)</f>
        <v>Medium</v>
      </c>
      <c r="F285" t="str">
        <f>_xlfn.XLOOKUP(A285, 'Customer Information'!$A$1:$A$1001, 'Customer Information'!$C$1:$C$1001)</f>
        <v>Young adults</v>
      </c>
      <c r="G285" t="str">
        <f>_xlfn.XLOOKUP('Customer Information'!A285, 'Customer Information'!$A$1:$A$1001, 'Customer Information'!$D$1:$D$1001)</f>
        <v>No</v>
      </c>
      <c r="H285" t="str">
        <f>INDEX('Additional Product Info.'!$A$1:$C$1001, MATCH('Product Positioning'!$A285, 'Additional Product Info.'!$A$1:$A$1001, 0), MATCH('Product Positioning'!H$1, 'Additional Product Info.'!$A$1:$C$1, 0))</f>
        <v>Front of Store</v>
      </c>
      <c r="I285" t="str">
        <f>INDEX('Additional Product Info.'!$A$1:$C$1001, MATCH('Product Positioning'!$A285, 'Additional Product Info.'!$A$1:$A$1001, 0), MATCH('Product Positioning'!I$1, 'Additional Product Info.'!$A$1:$C$1, 0))</f>
        <v>Food</v>
      </c>
      <c r="J285" t="str">
        <f>_xlfn.XLOOKUP(A285, $A$1:$A$1001, 'Additional Product Info.'!$D$1:$D$1001)</f>
        <v>Yes</v>
      </c>
      <c r="K285" s="1">
        <f t="shared" si="8"/>
        <v>20637.829999999998</v>
      </c>
      <c r="L285" s="1">
        <f t="shared" si="9"/>
        <v>3.9999999999999982</v>
      </c>
      <c r="M285" t="str">
        <f>IF(L285&lt;=Statistics!$E$6,"Low Difference",IF('Product Positioning'!L285&gt;=Statistics!$E$4,"High Difference","Moderate Difference"))</f>
        <v>High Difference</v>
      </c>
    </row>
    <row r="286" spans="1:13" x14ac:dyDescent="0.2">
      <c r="A286">
        <v>145345</v>
      </c>
      <c r="B286" s="1">
        <v>37.29</v>
      </c>
      <c r="C286" s="1">
        <v>36.950000000000003</v>
      </c>
      <c r="D286">
        <v>869</v>
      </c>
      <c r="E286" t="str">
        <f>_xlfn.XLOOKUP(A286, 'Customer Information'!$A$1:$A$1001, 'Customer Information'!$B$1:$B$1001)</f>
        <v>High</v>
      </c>
      <c r="F286" t="str">
        <f>_xlfn.XLOOKUP(A286, 'Customer Information'!$A$1:$A$1001, 'Customer Information'!$C$1:$C$1001)</f>
        <v>Young adults</v>
      </c>
      <c r="G286" t="str">
        <f>_xlfn.XLOOKUP('Customer Information'!A286, 'Customer Information'!$A$1:$A$1001, 'Customer Information'!$D$1:$D$1001)</f>
        <v>Yes</v>
      </c>
      <c r="H286" t="str">
        <f>INDEX('Additional Product Info.'!$A$1:$C$1001, MATCH('Product Positioning'!$A286, 'Additional Product Info.'!$A$1:$A$1001, 0), MATCH('Product Positioning'!H$1, 'Additional Product Info.'!$A$1:$C$1, 0))</f>
        <v>End-cap</v>
      </c>
      <c r="I286" t="str">
        <f>INDEX('Additional Product Info.'!$A$1:$C$1001, MATCH('Product Positioning'!$A286, 'Additional Product Info.'!$A$1:$A$1001, 0), MATCH('Product Positioning'!I$1, 'Additional Product Info.'!$A$1:$C$1, 0))</f>
        <v>Clothing</v>
      </c>
      <c r="J286" t="str">
        <f>_xlfn.XLOOKUP(A286, $A$1:$A$1001, 'Additional Product Info.'!$D$1:$D$1001)</f>
        <v>No</v>
      </c>
      <c r="K286" s="1">
        <f t="shared" si="8"/>
        <v>32405.01</v>
      </c>
      <c r="L286" s="1">
        <f t="shared" si="9"/>
        <v>0.33999999999999631</v>
      </c>
      <c r="M286" t="str">
        <f>IF(L286&lt;=Statistics!$E$6,"Low Difference",IF('Product Positioning'!L286&gt;=Statistics!$E$4,"High Difference","Moderate Difference"))</f>
        <v>Low Difference</v>
      </c>
    </row>
    <row r="287" spans="1:13" x14ac:dyDescent="0.2">
      <c r="A287">
        <v>116054</v>
      </c>
      <c r="B287" s="1">
        <v>43.59</v>
      </c>
      <c r="C287" s="1">
        <v>39.42</v>
      </c>
      <c r="D287">
        <v>2931</v>
      </c>
      <c r="E287" t="str">
        <f>_xlfn.XLOOKUP(A287, 'Customer Information'!$A$1:$A$1001, 'Customer Information'!$B$1:$B$1001)</f>
        <v>Medium</v>
      </c>
      <c r="F287" t="str">
        <f>_xlfn.XLOOKUP(A287, 'Customer Information'!$A$1:$A$1001, 'Customer Information'!$C$1:$C$1001)</f>
        <v>College students</v>
      </c>
      <c r="G287" t="str">
        <f>_xlfn.XLOOKUP('Customer Information'!A287, 'Customer Information'!$A$1:$A$1001, 'Customer Information'!$D$1:$D$1001)</f>
        <v>No</v>
      </c>
      <c r="H287" t="str">
        <f>INDEX('Additional Product Info.'!$A$1:$C$1001, MATCH('Product Positioning'!$A287, 'Additional Product Info.'!$A$1:$A$1001, 0), MATCH('Product Positioning'!H$1, 'Additional Product Info.'!$A$1:$C$1, 0))</f>
        <v>Front of Store</v>
      </c>
      <c r="I287" t="str">
        <f>INDEX('Additional Product Info.'!$A$1:$C$1001, MATCH('Product Positioning'!$A287, 'Additional Product Info.'!$A$1:$A$1001, 0), MATCH('Product Positioning'!I$1, 'Additional Product Info.'!$A$1:$C$1, 0))</f>
        <v>Electronics</v>
      </c>
      <c r="J287" t="str">
        <f>_xlfn.XLOOKUP(A287, $A$1:$A$1001, 'Additional Product Info.'!$D$1:$D$1001)</f>
        <v>Yes</v>
      </c>
      <c r="K287" s="1">
        <f t="shared" si="8"/>
        <v>127762.29000000001</v>
      </c>
      <c r="L287" s="1">
        <f t="shared" si="9"/>
        <v>4.1700000000000017</v>
      </c>
      <c r="M287" t="str">
        <f>IF(L287&lt;=Statistics!$E$6,"Low Difference",IF('Product Positioning'!L287&gt;=Statistics!$E$4,"High Difference","Moderate Difference"))</f>
        <v>High Difference</v>
      </c>
    </row>
    <row r="288" spans="1:13" x14ac:dyDescent="0.2">
      <c r="A288">
        <v>173141</v>
      </c>
      <c r="B288" s="1">
        <v>16.63</v>
      </c>
      <c r="C288" s="1">
        <v>15.78</v>
      </c>
      <c r="D288">
        <v>1721</v>
      </c>
      <c r="E288" t="str">
        <f>_xlfn.XLOOKUP(A288, 'Customer Information'!$A$1:$A$1001, 'Customer Information'!$B$1:$B$1001)</f>
        <v>Medium</v>
      </c>
      <c r="F288" t="str">
        <f>_xlfn.XLOOKUP(A288, 'Customer Information'!$A$1:$A$1001, 'Customer Information'!$C$1:$C$1001)</f>
        <v>Families</v>
      </c>
      <c r="G288" t="str">
        <f>_xlfn.XLOOKUP('Customer Information'!A288, 'Customer Information'!$A$1:$A$1001, 'Customer Information'!$D$1:$D$1001)</f>
        <v>Yes</v>
      </c>
      <c r="H288" t="str">
        <f>INDEX('Additional Product Info.'!$A$1:$C$1001, MATCH('Product Positioning'!$A288, 'Additional Product Info.'!$A$1:$A$1001, 0), MATCH('Product Positioning'!H$1, 'Additional Product Info.'!$A$1:$C$1, 0))</f>
        <v>Front of Store</v>
      </c>
      <c r="I288" t="str">
        <f>INDEX('Additional Product Info.'!$A$1:$C$1001, MATCH('Product Positioning'!$A288, 'Additional Product Info.'!$A$1:$A$1001, 0), MATCH('Product Positioning'!I$1, 'Additional Product Info.'!$A$1:$C$1, 0))</f>
        <v>Electronics</v>
      </c>
      <c r="J288" t="str">
        <f>_xlfn.XLOOKUP(A288, $A$1:$A$1001, 'Additional Product Info.'!$D$1:$D$1001)</f>
        <v>Yes</v>
      </c>
      <c r="K288" s="1">
        <f t="shared" si="8"/>
        <v>28620.23</v>
      </c>
      <c r="L288" s="1">
        <f t="shared" si="9"/>
        <v>0.84999999999999964</v>
      </c>
      <c r="M288" t="str">
        <f>IF(L288&lt;=Statistics!$E$6,"Low Difference",IF('Product Positioning'!L288&gt;=Statistics!$E$4,"High Difference","Moderate Difference"))</f>
        <v>Low Difference</v>
      </c>
    </row>
    <row r="289" spans="1:13" x14ac:dyDescent="0.2">
      <c r="A289">
        <v>178180</v>
      </c>
      <c r="B289" s="1">
        <v>25.99</v>
      </c>
      <c r="C289" s="1">
        <v>24.45</v>
      </c>
      <c r="D289">
        <v>581</v>
      </c>
      <c r="E289" t="str">
        <f>_xlfn.XLOOKUP(A289, 'Customer Information'!$A$1:$A$1001, 'Customer Information'!$B$1:$B$1001)</f>
        <v>Medium</v>
      </c>
      <c r="F289" t="str">
        <f>_xlfn.XLOOKUP(A289, 'Customer Information'!$A$1:$A$1001, 'Customer Information'!$C$1:$C$1001)</f>
        <v>College students</v>
      </c>
      <c r="G289" t="str">
        <f>_xlfn.XLOOKUP('Customer Information'!A289, 'Customer Information'!$A$1:$A$1001, 'Customer Information'!$D$1:$D$1001)</f>
        <v>Yes</v>
      </c>
      <c r="H289" t="str">
        <f>INDEX('Additional Product Info.'!$A$1:$C$1001, MATCH('Product Positioning'!$A289, 'Additional Product Info.'!$A$1:$A$1001, 0), MATCH('Product Positioning'!H$1, 'Additional Product Info.'!$A$1:$C$1, 0))</f>
        <v>Aisle</v>
      </c>
      <c r="I289" t="str">
        <f>INDEX('Additional Product Info.'!$A$1:$C$1001, MATCH('Product Positioning'!$A289, 'Additional Product Info.'!$A$1:$A$1001, 0), MATCH('Product Positioning'!I$1, 'Additional Product Info.'!$A$1:$C$1, 0))</f>
        <v>Electronics</v>
      </c>
      <c r="J289" t="str">
        <f>_xlfn.XLOOKUP(A289, $A$1:$A$1001, 'Additional Product Info.'!$D$1:$D$1001)</f>
        <v>No</v>
      </c>
      <c r="K289" s="1">
        <f t="shared" si="8"/>
        <v>15100.189999999999</v>
      </c>
      <c r="L289" s="1">
        <f t="shared" si="9"/>
        <v>1.5399999999999991</v>
      </c>
      <c r="M289" t="str">
        <f>IF(L289&lt;=Statistics!$E$6,"Low Difference",IF('Product Positioning'!L289&gt;=Statistics!$E$4,"High Difference","Moderate Difference"))</f>
        <v>Moderate Difference</v>
      </c>
    </row>
    <row r="290" spans="1:13" x14ac:dyDescent="0.2">
      <c r="A290">
        <v>129418</v>
      </c>
      <c r="B290" s="1">
        <v>20.059999999999999</v>
      </c>
      <c r="C290" s="1">
        <v>16.579999999999998</v>
      </c>
      <c r="D290">
        <v>707</v>
      </c>
      <c r="E290" t="str">
        <f>_xlfn.XLOOKUP(A290, 'Customer Information'!$A$1:$A$1001, 'Customer Information'!$B$1:$B$1001)</f>
        <v>Medium</v>
      </c>
      <c r="F290" t="str">
        <f>_xlfn.XLOOKUP(A290, 'Customer Information'!$A$1:$A$1001, 'Customer Information'!$C$1:$C$1001)</f>
        <v>College students</v>
      </c>
      <c r="G290" t="str">
        <f>_xlfn.XLOOKUP('Customer Information'!A290, 'Customer Information'!$A$1:$A$1001, 'Customer Information'!$D$1:$D$1001)</f>
        <v>No</v>
      </c>
      <c r="H290" t="str">
        <f>INDEX('Additional Product Info.'!$A$1:$C$1001, MATCH('Product Positioning'!$A290, 'Additional Product Info.'!$A$1:$A$1001, 0), MATCH('Product Positioning'!H$1, 'Additional Product Info.'!$A$1:$C$1, 0))</f>
        <v>End-cap</v>
      </c>
      <c r="I290" t="str">
        <f>INDEX('Additional Product Info.'!$A$1:$C$1001, MATCH('Product Positioning'!$A290, 'Additional Product Info.'!$A$1:$A$1001, 0), MATCH('Product Positioning'!I$1, 'Additional Product Info.'!$A$1:$C$1, 0))</f>
        <v>Clothing</v>
      </c>
      <c r="J290" t="str">
        <f>_xlfn.XLOOKUP(A290, $A$1:$A$1001, 'Additional Product Info.'!$D$1:$D$1001)</f>
        <v>Yes</v>
      </c>
      <c r="K290" s="1">
        <f t="shared" si="8"/>
        <v>14182.419999999998</v>
      </c>
      <c r="L290" s="1">
        <f t="shared" si="9"/>
        <v>3.4800000000000004</v>
      </c>
      <c r="M290" t="str">
        <f>IF(L290&lt;=Statistics!$E$6,"Low Difference",IF('Product Positioning'!L290&gt;=Statistics!$E$4,"High Difference","Moderate Difference"))</f>
        <v>Moderate Difference</v>
      </c>
    </row>
    <row r="291" spans="1:13" x14ac:dyDescent="0.2">
      <c r="A291">
        <v>188708</v>
      </c>
      <c r="B291" s="1">
        <v>26.67</v>
      </c>
      <c r="C291" s="1">
        <v>25.1</v>
      </c>
      <c r="D291">
        <v>666</v>
      </c>
      <c r="E291" t="str">
        <f>_xlfn.XLOOKUP(A291, 'Customer Information'!$A$1:$A$1001, 'Customer Information'!$B$1:$B$1001)</f>
        <v>Medium</v>
      </c>
      <c r="F291" t="str">
        <f>_xlfn.XLOOKUP(A291, 'Customer Information'!$A$1:$A$1001, 'Customer Information'!$C$1:$C$1001)</f>
        <v>Young adults</v>
      </c>
      <c r="G291" t="str">
        <f>_xlfn.XLOOKUP('Customer Information'!A291, 'Customer Information'!$A$1:$A$1001, 'Customer Information'!$D$1:$D$1001)</f>
        <v>Yes</v>
      </c>
      <c r="H291" t="str">
        <f>INDEX('Additional Product Info.'!$A$1:$C$1001, MATCH('Product Positioning'!$A291, 'Additional Product Info.'!$A$1:$A$1001, 0), MATCH('Product Positioning'!H$1, 'Additional Product Info.'!$A$1:$C$1, 0))</f>
        <v>Front of Store</v>
      </c>
      <c r="I291" t="str">
        <f>INDEX('Additional Product Info.'!$A$1:$C$1001, MATCH('Product Positioning'!$A291, 'Additional Product Info.'!$A$1:$A$1001, 0), MATCH('Product Positioning'!I$1, 'Additional Product Info.'!$A$1:$C$1, 0))</f>
        <v>Food</v>
      </c>
      <c r="J291" t="str">
        <f>_xlfn.XLOOKUP(A291, $A$1:$A$1001, 'Additional Product Info.'!$D$1:$D$1001)</f>
        <v>Yes</v>
      </c>
      <c r="K291" s="1">
        <f t="shared" si="8"/>
        <v>17762.22</v>
      </c>
      <c r="L291" s="1">
        <f t="shared" si="9"/>
        <v>1.5700000000000003</v>
      </c>
      <c r="M291" t="str">
        <f>IF(L291&lt;=Statistics!$E$6,"Low Difference",IF('Product Positioning'!L291&gt;=Statistics!$E$4,"High Difference","Moderate Difference"))</f>
        <v>Moderate Difference</v>
      </c>
    </row>
    <row r="292" spans="1:13" x14ac:dyDescent="0.2">
      <c r="A292">
        <v>132833</v>
      </c>
      <c r="B292" s="1">
        <v>31.79</v>
      </c>
      <c r="C292" s="1">
        <v>28.82</v>
      </c>
      <c r="D292">
        <v>642</v>
      </c>
      <c r="E292" t="str">
        <f>_xlfn.XLOOKUP(A292, 'Customer Information'!$A$1:$A$1001, 'Customer Information'!$B$1:$B$1001)</f>
        <v>Medium</v>
      </c>
      <c r="F292" t="str">
        <f>_xlfn.XLOOKUP(A292, 'Customer Information'!$A$1:$A$1001, 'Customer Information'!$C$1:$C$1001)</f>
        <v>College students</v>
      </c>
      <c r="G292" t="str">
        <f>_xlfn.XLOOKUP('Customer Information'!A292, 'Customer Information'!$A$1:$A$1001, 'Customer Information'!$D$1:$D$1001)</f>
        <v>Yes</v>
      </c>
      <c r="H292" t="str">
        <f>INDEX('Additional Product Info.'!$A$1:$C$1001, MATCH('Product Positioning'!$A292, 'Additional Product Info.'!$A$1:$A$1001, 0), MATCH('Product Positioning'!H$1, 'Additional Product Info.'!$A$1:$C$1, 0))</f>
        <v>Aisle</v>
      </c>
      <c r="I292" t="str">
        <f>INDEX('Additional Product Info.'!$A$1:$C$1001, MATCH('Product Positioning'!$A292, 'Additional Product Info.'!$A$1:$A$1001, 0), MATCH('Product Positioning'!I$1, 'Additional Product Info.'!$A$1:$C$1, 0))</f>
        <v>Electronics</v>
      </c>
      <c r="J292" t="str">
        <f>_xlfn.XLOOKUP(A292, $A$1:$A$1001, 'Additional Product Info.'!$D$1:$D$1001)</f>
        <v>No</v>
      </c>
      <c r="K292" s="1">
        <f t="shared" si="8"/>
        <v>20409.18</v>
      </c>
      <c r="L292" s="1">
        <f t="shared" si="9"/>
        <v>2.9699999999999989</v>
      </c>
      <c r="M292" t="str">
        <f>IF(L292&lt;=Statistics!$E$6,"Low Difference",IF('Product Positioning'!L292&gt;=Statistics!$E$4,"High Difference","Moderate Difference"))</f>
        <v>Moderate Difference</v>
      </c>
    </row>
    <row r="293" spans="1:13" x14ac:dyDescent="0.2">
      <c r="A293">
        <v>146914</v>
      </c>
      <c r="B293" s="1">
        <v>41.24</v>
      </c>
      <c r="C293" s="1">
        <v>36.64</v>
      </c>
      <c r="D293">
        <v>2745</v>
      </c>
      <c r="E293" t="str">
        <f>_xlfn.XLOOKUP(A293, 'Customer Information'!$A$1:$A$1001, 'Customer Information'!$B$1:$B$1001)</f>
        <v>Low</v>
      </c>
      <c r="F293" t="str">
        <f>_xlfn.XLOOKUP(A293, 'Customer Information'!$A$1:$A$1001, 'Customer Information'!$C$1:$C$1001)</f>
        <v>Seniors</v>
      </c>
      <c r="G293" t="str">
        <f>_xlfn.XLOOKUP('Customer Information'!A293, 'Customer Information'!$A$1:$A$1001, 'Customer Information'!$D$1:$D$1001)</f>
        <v>No</v>
      </c>
      <c r="H293" t="str">
        <f>INDEX('Additional Product Info.'!$A$1:$C$1001, MATCH('Product Positioning'!$A293, 'Additional Product Info.'!$A$1:$A$1001, 0), MATCH('Product Positioning'!H$1, 'Additional Product Info.'!$A$1:$C$1, 0))</f>
        <v>Front of Store</v>
      </c>
      <c r="I293" t="str">
        <f>INDEX('Additional Product Info.'!$A$1:$C$1001, MATCH('Product Positioning'!$A293, 'Additional Product Info.'!$A$1:$A$1001, 0), MATCH('Product Positioning'!I$1, 'Additional Product Info.'!$A$1:$C$1, 0))</f>
        <v>Electronics</v>
      </c>
      <c r="J293" t="str">
        <f>_xlfn.XLOOKUP(A293, $A$1:$A$1001, 'Additional Product Info.'!$D$1:$D$1001)</f>
        <v>No</v>
      </c>
      <c r="K293" s="1">
        <f t="shared" si="8"/>
        <v>113203.8</v>
      </c>
      <c r="L293" s="1">
        <f t="shared" si="9"/>
        <v>4.6000000000000014</v>
      </c>
      <c r="M293" t="str">
        <f>IF(L293&lt;=Statistics!$E$6,"Low Difference",IF('Product Positioning'!L293&gt;=Statistics!$E$4,"High Difference","Moderate Difference"))</f>
        <v>High Difference</v>
      </c>
    </row>
    <row r="294" spans="1:13" x14ac:dyDescent="0.2">
      <c r="A294">
        <v>113624</v>
      </c>
      <c r="B294" s="1">
        <v>47.84</v>
      </c>
      <c r="C294" s="1">
        <v>44.86</v>
      </c>
      <c r="D294">
        <v>2478</v>
      </c>
      <c r="E294" t="str">
        <f>_xlfn.XLOOKUP(A294, 'Customer Information'!$A$1:$A$1001, 'Customer Information'!$B$1:$B$1001)</f>
        <v>Medium</v>
      </c>
      <c r="F294" t="str">
        <f>_xlfn.XLOOKUP(A294, 'Customer Information'!$A$1:$A$1001, 'Customer Information'!$C$1:$C$1001)</f>
        <v>Families</v>
      </c>
      <c r="G294" t="str">
        <f>_xlfn.XLOOKUP('Customer Information'!A294, 'Customer Information'!$A$1:$A$1001, 'Customer Information'!$D$1:$D$1001)</f>
        <v>No</v>
      </c>
      <c r="H294" t="str">
        <f>INDEX('Additional Product Info.'!$A$1:$C$1001, MATCH('Product Positioning'!$A294, 'Additional Product Info.'!$A$1:$A$1001, 0), MATCH('Product Positioning'!H$1, 'Additional Product Info.'!$A$1:$C$1, 0))</f>
        <v>Front of Store</v>
      </c>
      <c r="I294" t="str">
        <f>INDEX('Additional Product Info.'!$A$1:$C$1001, MATCH('Product Positioning'!$A294, 'Additional Product Info.'!$A$1:$A$1001, 0), MATCH('Product Positioning'!I$1, 'Additional Product Info.'!$A$1:$C$1, 0))</f>
        <v>Food</v>
      </c>
      <c r="J294" t="str">
        <f>_xlfn.XLOOKUP(A294, $A$1:$A$1001, 'Additional Product Info.'!$D$1:$D$1001)</f>
        <v>No</v>
      </c>
      <c r="K294" s="1">
        <f t="shared" si="8"/>
        <v>118547.52</v>
      </c>
      <c r="L294" s="1">
        <f t="shared" si="9"/>
        <v>2.980000000000004</v>
      </c>
      <c r="M294" t="str">
        <f>IF(L294&lt;=Statistics!$E$6,"Low Difference",IF('Product Positioning'!L294&gt;=Statistics!$E$4,"High Difference","Moderate Difference"))</f>
        <v>Moderate Difference</v>
      </c>
    </row>
    <row r="295" spans="1:13" x14ac:dyDescent="0.2">
      <c r="A295">
        <v>180250</v>
      </c>
      <c r="B295" s="1">
        <v>12.65</v>
      </c>
      <c r="C295" s="1">
        <v>12.61</v>
      </c>
      <c r="D295">
        <v>2906</v>
      </c>
      <c r="E295" t="str">
        <f>_xlfn.XLOOKUP(A295, 'Customer Information'!$A$1:$A$1001, 'Customer Information'!$B$1:$B$1001)</f>
        <v>Low</v>
      </c>
      <c r="F295" t="str">
        <f>_xlfn.XLOOKUP(A295, 'Customer Information'!$A$1:$A$1001, 'Customer Information'!$C$1:$C$1001)</f>
        <v>Families</v>
      </c>
      <c r="G295" t="str">
        <f>_xlfn.XLOOKUP('Customer Information'!A295, 'Customer Information'!$A$1:$A$1001, 'Customer Information'!$D$1:$D$1001)</f>
        <v>No</v>
      </c>
      <c r="H295" t="str">
        <f>INDEX('Additional Product Info.'!$A$1:$C$1001, MATCH('Product Positioning'!$A295, 'Additional Product Info.'!$A$1:$A$1001, 0), MATCH('Product Positioning'!H$1, 'Additional Product Info.'!$A$1:$C$1, 0))</f>
        <v>Front of Store</v>
      </c>
      <c r="I295" t="str">
        <f>INDEX('Additional Product Info.'!$A$1:$C$1001, MATCH('Product Positioning'!$A295, 'Additional Product Info.'!$A$1:$A$1001, 0), MATCH('Product Positioning'!I$1, 'Additional Product Info.'!$A$1:$C$1, 0))</f>
        <v>Food</v>
      </c>
      <c r="J295" t="str">
        <f>_xlfn.XLOOKUP(A295, $A$1:$A$1001, 'Additional Product Info.'!$D$1:$D$1001)</f>
        <v>Yes</v>
      </c>
      <c r="K295" s="1">
        <f t="shared" si="8"/>
        <v>36760.9</v>
      </c>
      <c r="L295" s="1">
        <f t="shared" si="9"/>
        <v>4.0000000000000924E-2</v>
      </c>
      <c r="M295" t="str">
        <f>IF(L295&lt;=Statistics!$E$6,"Low Difference",IF('Product Positioning'!L295&gt;=Statistics!$E$4,"High Difference","Moderate Difference"))</f>
        <v>Low Difference</v>
      </c>
    </row>
    <row r="296" spans="1:13" x14ac:dyDescent="0.2">
      <c r="A296">
        <v>137287</v>
      </c>
      <c r="B296" s="1">
        <v>46.2</v>
      </c>
      <c r="C296" s="1">
        <v>45.85</v>
      </c>
      <c r="D296">
        <v>611</v>
      </c>
      <c r="E296" t="str">
        <f>_xlfn.XLOOKUP(A296, 'Customer Information'!$A$1:$A$1001, 'Customer Information'!$B$1:$B$1001)</f>
        <v>High</v>
      </c>
      <c r="F296" t="str">
        <f>_xlfn.XLOOKUP(A296, 'Customer Information'!$A$1:$A$1001, 'Customer Information'!$C$1:$C$1001)</f>
        <v>Families</v>
      </c>
      <c r="G296" t="str">
        <f>_xlfn.XLOOKUP('Customer Information'!A296, 'Customer Information'!$A$1:$A$1001, 'Customer Information'!$D$1:$D$1001)</f>
        <v>Yes</v>
      </c>
      <c r="H296" t="str">
        <f>INDEX('Additional Product Info.'!$A$1:$C$1001, MATCH('Product Positioning'!$A296, 'Additional Product Info.'!$A$1:$A$1001, 0), MATCH('Product Positioning'!H$1, 'Additional Product Info.'!$A$1:$C$1, 0))</f>
        <v>Aisle</v>
      </c>
      <c r="I296" t="str">
        <f>INDEX('Additional Product Info.'!$A$1:$C$1001, MATCH('Product Positioning'!$A296, 'Additional Product Info.'!$A$1:$A$1001, 0), MATCH('Product Positioning'!I$1, 'Additional Product Info.'!$A$1:$C$1, 0))</f>
        <v>Food</v>
      </c>
      <c r="J296" t="str">
        <f>_xlfn.XLOOKUP(A296, $A$1:$A$1001, 'Additional Product Info.'!$D$1:$D$1001)</f>
        <v>Yes</v>
      </c>
      <c r="K296" s="1">
        <f t="shared" si="8"/>
        <v>28228.2</v>
      </c>
      <c r="L296" s="1">
        <f t="shared" si="9"/>
        <v>0.35000000000000142</v>
      </c>
      <c r="M296" t="str">
        <f>IF(L296&lt;=Statistics!$E$6,"Low Difference",IF('Product Positioning'!L296&gt;=Statistics!$E$4,"High Difference","Moderate Difference"))</f>
        <v>Low Difference</v>
      </c>
    </row>
    <row r="297" spans="1:13" x14ac:dyDescent="0.2">
      <c r="A297">
        <v>150836</v>
      </c>
      <c r="B297" s="1">
        <v>34.97</v>
      </c>
      <c r="C297" s="1">
        <v>31.08</v>
      </c>
      <c r="D297">
        <v>734</v>
      </c>
      <c r="E297" t="str">
        <f>_xlfn.XLOOKUP(A297, 'Customer Information'!$A$1:$A$1001, 'Customer Information'!$B$1:$B$1001)</f>
        <v>High</v>
      </c>
      <c r="F297" t="str">
        <f>_xlfn.XLOOKUP(A297, 'Customer Information'!$A$1:$A$1001, 'Customer Information'!$C$1:$C$1001)</f>
        <v>Young adults</v>
      </c>
      <c r="G297" t="str">
        <f>_xlfn.XLOOKUP('Customer Information'!A297, 'Customer Information'!$A$1:$A$1001, 'Customer Information'!$D$1:$D$1001)</f>
        <v>No</v>
      </c>
      <c r="H297" t="str">
        <f>INDEX('Additional Product Info.'!$A$1:$C$1001, MATCH('Product Positioning'!$A297, 'Additional Product Info.'!$A$1:$A$1001, 0), MATCH('Product Positioning'!H$1, 'Additional Product Info.'!$A$1:$C$1, 0))</f>
        <v>End-cap</v>
      </c>
      <c r="I297" t="str">
        <f>INDEX('Additional Product Info.'!$A$1:$C$1001, MATCH('Product Positioning'!$A297, 'Additional Product Info.'!$A$1:$A$1001, 0), MATCH('Product Positioning'!I$1, 'Additional Product Info.'!$A$1:$C$1, 0))</f>
        <v>Food</v>
      </c>
      <c r="J297" t="str">
        <f>_xlfn.XLOOKUP(A297, $A$1:$A$1001, 'Additional Product Info.'!$D$1:$D$1001)</f>
        <v>Yes</v>
      </c>
      <c r="K297" s="1">
        <f t="shared" si="8"/>
        <v>25667.98</v>
      </c>
      <c r="L297" s="1">
        <f t="shared" si="9"/>
        <v>3.8900000000000006</v>
      </c>
      <c r="M297" t="str">
        <f>IF(L297&lt;=Statistics!$E$6,"Low Difference",IF('Product Positioning'!L297&gt;=Statistics!$E$4,"High Difference","Moderate Difference"))</f>
        <v>High Difference</v>
      </c>
    </row>
    <row r="298" spans="1:13" x14ac:dyDescent="0.2">
      <c r="A298">
        <v>151474</v>
      </c>
      <c r="B298" s="1">
        <v>29.23</v>
      </c>
      <c r="C298" s="1">
        <v>26.88</v>
      </c>
      <c r="D298">
        <v>2366</v>
      </c>
      <c r="E298" t="str">
        <f>_xlfn.XLOOKUP(A298, 'Customer Information'!$A$1:$A$1001, 'Customer Information'!$B$1:$B$1001)</f>
        <v>High</v>
      </c>
      <c r="F298" t="str">
        <f>_xlfn.XLOOKUP(A298, 'Customer Information'!$A$1:$A$1001, 'Customer Information'!$C$1:$C$1001)</f>
        <v>Families</v>
      </c>
      <c r="G298" t="str">
        <f>_xlfn.XLOOKUP('Customer Information'!A298, 'Customer Information'!$A$1:$A$1001, 'Customer Information'!$D$1:$D$1001)</f>
        <v>Yes</v>
      </c>
      <c r="H298" t="str">
        <f>INDEX('Additional Product Info.'!$A$1:$C$1001, MATCH('Product Positioning'!$A298, 'Additional Product Info.'!$A$1:$A$1001, 0), MATCH('Product Positioning'!H$1, 'Additional Product Info.'!$A$1:$C$1, 0))</f>
        <v>End-cap</v>
      </c>
      <c r="I298" t="str">
        <f>INDEX('Additional Product Info.'!$A$1:$C$1001, MATCH('Product Positioning'!$A298, 'Additional Product Info.'!$A$1:$A$1001, 0), MATCH('Product Positioning'!I$1, 'Additional Product Info.'!$A$1:$C$1, 0))</f>
        <v>Clothing</v>
      </c>
      <c r="J298" t="str">
        <f>_xlfn.XLOOKUP(A298, $A$1:$A$1001, 'Additional Product Info.'!$D$1:$D$1001)</f>
        <v>Yes</v>
      </c>
      <c r="K298" s="1">
        <f t="shared" si="8"/>
        <v>69158.180000000008</v>
      </c>
      <c r="L298" s="1">
        <f t="shared" si="9"/>
        <v>2.3500000000000014</v>
      </c>
      <c r="M298" t="str">
        <f>IF(L298&lt;=Statistics!$E$6,"Low Difference",IF('Product Positioning'!L298&gt;=Statistics!$E$4,"High Difference","Moderate Difference"))</f>
        <v>Moderate Difference</v>
      </c>
    </row>
    <row r="299" spans="1:13" x14ac:dyDescent="0.2">
      <c r="A299">
        <v>119803</v>
      </c>
      <c r="B299" s="1">
        <v>43.26</v>
      </c>
      <c r="C299" s="1">
        <v>40.82</v>
      </c>
      <c r="D299">
        <v>1580</v>
      </c>
      <c r="E299" t="str">
        <f>_xlfn.XLOOKUP(A299, 'Customer Information'!$A$1:$A$1001, 'Customer Information'!$B$1:$B$1001)</f>
        <v>Low</v>
      </c>
      <c r="F299" t="str">
        <f>_xlfn.XLOOKUP(A299, 'Customer Information'!$A$1:$A$1001, 'Customer Information'!$C$1:$C$1001)</f>
        <v>College students</v>
      </c>
      <c r="G299" t="str">
        <f>_xlfn.XLOOKUP('Customer Information'!A299, 'Customer Information'!$A$1:$A$1001, 'Customer Information'!$D$1:$D$1001)</f>
        <v>No</v>
      </c>
      <c r="H299" t="str">
        <f>INDEX('Additional Product Info.'!$A$1:$C$1001, MATCH('Product Positioning'!$A299, 'Additional Product Info.'!$A$1:$A$1001, 0), MATCH('Product Positioning'!H$1, 'Additional Product Info.'!$A$1:$C$1, 0))</f>
        <v>End-cap</v>
      </c>
      <c r="I299" t="str">
        <f>INDEX('Additional Product Info.'!$A$1:$C$1001, MATCH('Product Positioning'!$A299, 'Additional Product Info.'!$A$1:$A$1001, 0), MATCH('Product Positioning'!I$1, 'Additional Product Info.'!$A$1:$C$1, 0))</f>
        <v>Food</v>
      </c>
      <c r="J299" t="str">
        <f>_xlfn.XLOOKUP(A299, $A$1:$A$1001, 'Additional Product Info.'!$D$1:$D$1001)</f>
        <v>Yes</v>
      </c>
      <c r="K299" s="1">
        <f t="shared" si="8"/>
        <v>68350.8</v>
      </c>
      <c r="L299" s="1">
        <f t="shared" si="9"/>
        <v>2.4399999999999977</v>
      </c>
      <c r="M299" t="str">
        <f>IF(L299&lt;=Statistics!$E$6,"Low Difference",IF('Product Positioning'!L299&gt;=Statistics!$E$4,"High Difference","Moderate Difference"))</f>
        <v>Moderate Difference</v>
      </c>
    </row>
    <row r="300" spans="1:13" x14ac:dyDescent="0.2">
      <c r="A300">
        <v>115986</v>
      </c>
      <c r="B300" s="1">
        <v>10.16</v>
      </c>
      <c r="C300" s="1">
        <v>6.72</v>
      </c>
      <c r="D300">
        <v>1971</v>
      </c>
      <c r="E300" t="str">
        <f>_xlfn.XLOOKUP(A300, 'Customer Information'!$A$1:$A$1001, 'Customer Information'!$B$1:$B$1001)</f>
        <v>Medium</v>
      </c>
      <c r="F300" t="str">
        <f>_xlfn.XLOOKUP(A300, 'Customer Information'!$A$1:$A$1001, 'Customer Information'!$C$1:$C$1001)</f>
        <v>Seniors</v>
      </c>
      <c r="G300" t="str">
        <f>_xlfn.XLOOKUP('Customer Information'!A300, 'Customer Information'!$A$1:$A$1001, 'Customer Information'!$D$1:$D$1001)</f>
        <v>Yes</v>
      </c>
      <c r="H300" t="str">
        <f>INDEX('Additional Product Info.'!$A$1:$C$1001, MATCH('Product Positioning'!$A300, 'Additional Product Info.'!$A$1:$A$1001, 0), MATCH('Product Positioning'!H$1, 'Additional Product Info.'!$A$1:$C$1, 0))</f>
        <v>Front of Store</v>
      </c>
      <c r="I300" t="str">
        <f>INDEX('Additional Product Info.'!$A$1:$C$1001, MATCH('Product Positioning'!$A300, 'Additional Product Info.'!$A$1:$A$1001, 0), MATCH('Product Positioning'!I$1, 'Additional Product Info.'!$A$1:$C$1, 0))</f>
        <v>Electronics</v>
      </c>
      <c r="J300" t="str">
        <f>_xlfn.XLOOKUP(A300, $A$1:$A$1001, 'Additional Product Info.'!$D$1:$D$1001)</f>
        <v>Yes</v>
      </c>
      <c r="K300" s="1">
        <f t="shared" si="8"/>
        <v>20025.36</v>
      </c>
      <c r="L300" s="1">
        <f t="shared" si="9"/>
        <v>3.4400000000000004</v>
      </c>
      <c r="M300" t="str">
        <f>IF(L300&lt;=Statistics!$E$6,"Low Difference",IF('Product Positioning'!L300&gt;=Statistics!$E$4,"High Difference","Moderate Difference"))</f>
        <v>Moderate Difference</v>
      </c>
    </row>
    <row r="301" spans="1:13" x14ac:dyDescent="0.2">
      <c r="A301">
        <v>181896</v>
      </c>
      <c r="B301" s="1">
        <v>10.82</v>
      </c>
      <c r="C301" s="1">
        <v>6.8</v>
      </c>
      <c r="D301">
        <v>582</v>
      </c>
      <c r="E301" t="str">
        <f>_xlfn.XLOOKUP(A301, 'Customer Information'!$A$1:$A$1001, 'Customer Information'!$B$1:$B$1001)</f>
        <v>Low</v>
      </c>
      <c r="F301" t="str">
        <f>_xlfn.XLOOKUP(A301, 'Customer Information'!$A$1:$A$1001, 'Customer Information'!$C$1:$C$1001)</f>
        <v>Families</v>
      </c>
      <c r="G301" t="str">
        <f>_xlfn.XLOOKUP('Customer Information'!A301, 'Customer Information'!$A$1:$A$1001, 'Customer Information'!$D$1:$D$1001)</f>
        <v>No</v>
      </c>
      <c r="H301" t="str">
        <f>INDEX('Additional Product Info.'!$A$1:$C$1001, MATCH('Product Positioning'!$A301, 'Additional Product Info.'!$A$1:$A$1001, 0), MATCH('Product Positioning'!H$1, 'Additional Product Info.'!$A$1:$C$1, 0))</f>
        <v>Front of Store</v>
      </c>
      <c r="I301" t="str">
        <f>INDEX('Additional Product Info.'!$A$1:$C$1001, MATCH('Product Positioning'!$A301, 'Additional Product Info.'!$A$1:$A$1001, 0), MATCH('Product Positioning'!I$1, 'Additional Product Info.'!$A$1:$C$1, 0))</f>
        <v>Food</v>
      </c>
      <c r="J301" t="str">
        <f>_xlfn.XLOOKUP(A301, $A$1:$A$1001, 'Additional Product Info.'!$D$1:$D$1001)</f>
        <v>Yes</v>
      </c>
      <c r="K301" s="1">
        <f t="shared" si="8"/>
        <v>6297.24</v>
      </c>
      <c r="L301" s="1">
        <f t="shared" si="9"/>
        <v>4.0200000000000005</v>
      </c>
      <c r="M301" t="str">
        <f>IF(L301&lt;=Statistics!$E$6,"Low Difference",IF('Product Positioning'!L301&gt;=Statistics!$E$4,"High Difference","Moderate Difference"))</f>
        <v>High Difference</v>
      </c>
    </row>
    <row r="302" spans="1:13" x14ac:dyDescent="0.2">
      <c r="A302">
        <v>115036</v>
      </c>
      <c r="B302" s="1">
        <v>45.34</v>
      </c>
      <c r="C302" s="1">
        <v>41.26</v>
      </c>
      <c r="D302">
        <v>961</v>
      </c>
      <c r="E302" t="str">
        <f>_xlfn.XLOOKUP(A302, 'Customer Information'!$A$1:$A$1001, 'Customer Information'!$B$1:$B$1001)</f>
        <v>Low</v>
      </c>
      <c r="F302" t="str">
        <f>_xlfn.XLOOKUP(A302, 'Customer Information'!$A$1:$A$1001, 'Customer Information'!$C$1:$C$1001)</f>
        <v>Young adults</v>
      </c>
      <c r="G302" t="str">
        <f>_xlfn.XLOOKUP('Customer Information'!A302, 'Customer Information'!$A$1:$A$1001, 'Customer Information'!$D$1:$D$1001)</f>
        <v>Yes</v>
      </c>
      <c r="H302" t="str">
        <f>INDEX('Additional Product Info.'!$A$1:$C$1001, MATCH('Product Positioning'!$A302, 'Additional Product Info.'!$A$1:$A$1001, 0), MATCH('Product Positioning'!H$1, 'Additional Product Info.'!$A$1:$C$1, 0))</f>
        <v>End-cap</v>
      </c>
      <c r="I302" t="str">
        <f>INDEX('Additional Product Info.'!$A$1:$C$1001, MATCH('Product Positioning'!$A302, 'Additional Product Info.'!$A$1:$A$1001, 0), MATCH('Product Positioning'!I$1, 'Additional Product Info.'!$A$1:$C$1, 0))</f>
        <v>Food</v>
      </c>
      <c r="J302" t="str">
        <f>_xlfn.XLOOKUP(A302, $A$1:$A$1001, 'Additional Product Info.'!$D$1:$D$1001)</f>
        <v>No</v>
      </c>
      <c r="K302" s="1">
        <f t="shared" si="8"/>
        <v>43571.740000000005</v>
      </c>
      <c r="L302" s="1">
        <f t="shared" si="9"/>
        <v>4.0800000000000054</v>
      </c>
      <c r="M302" t="str">
        <f>IF(L302&lt;=Statistics!$E$6,"Low Difference",IF('Product Positioning'!L302&gt;=Statistics!$E$4,"High Difference","Moderate Difference"))</f>
        <v>High Difference</v>
      </c>
    </row>
    <row r="303" spans="1:13" x14ac:dyDescent="0.2">
      <c r="A303">
        <v>179683</v>
      </c>
      <c r="B303" s="1">
        <v>5.58</v>
      </c>
      <c r="C303" s="1">
        <v>3.41</v>
      </c>
      <c r="D303">
        <v>1847</v>
      </c>
      <c r="E303" t="str">
        <f>_xlfn.XLOOKUP(A303, 'Customer Information'!$A$1:$A$1001, 'Customer Information'!$B$1:$B$1001)</f>
        <v>Medium</v>
      </c>
      <c r="F303" t="str">
        <f>_xlfn.XLOOKUP(A303, 'Customer Information'!$A$1:$A$1001, 'Customer Information'!$C$1:$C$1001)</f>
        <v>Families</v>
      </c>
      <c r="G303" t="str">
        <f>_xlfn.XLOOKUP('Customer Information'!A303, 'Customer Information'!$A$1:$A$1001, 'Customer Information'!$D$1:$D$1001)</f>
        <v>Yes</v>
      </c>
      <c r="H303" t="str">
        <f>INDEX('Additional Product Info.'!$A$1:$C$1001, MATCH('Product Positioning'!$A303, 'Additional Product Info.'!$A$1:$A$1001, 0), MATCH('Product Positioning'!H$1, 'Additional Product Info.'!$A$1:$C$1, 0))</f>
        <v>End-cap</v>
      </c>
      <c r="I303" t="str">
        <f>INDEX('Additional Product Info.'!$A$1:$C$1001, MATCH('Product Positioning'!$A303, 'Additional Product Info.'!$A$1:$A$1001, 0), MATCH('Product Positioning'!I$1, 'Additional Product Info.'!$A$1:$C$1, 0))</f>
        <v>Clothing</v>
      </c>
      <c r="J303" t="str">
        <f>_xlfn.XLOOKUP(A303, $A$1:$A$1001, 'Additional Product Info.'!$D$1:$D$1001)</f>
        <v>Yes</v>
      </c>
      <c r="K303" s="1">
        <f t="shared" si="8"/>
        <v>10306.26</v>
      </c>
      <c r="L303" s="1">
        <f t="shared" si="9"/>
        <v>2.17</v>
      </c>
      <c r="M303" t="str">
        <f>IF(L303&lt;=Statistics!$E$6,"Low Difference",IF('Product Positioning'!L303&gt;=Statistics!$E$4,"High Difference","Moderate Difference"))</f>
        <v>Moderate Difference</v>
      </c>
    </row>
    <row r="304" spans="1:13" x14ac:dyDescent="0.2">
      <c r="A304">
        <v>151421</v>
      </c>
      <c r="B304" s="1">
        <v>26.86</v>
      </c>
      <c r="C304" s="1">
        <v>22.38</v>
      </c>
      <c r="D304">
        <v>1716</v>
      </c>
      <c r="E304" t="str">
        <f>_xlfn.XLOOKUP(A304, 'Customer Information'!$A$1:$A$1001, 'Customer Information'!$B$1:$B$1001)</f>
        <v>Low</v>
      </c>
      <c r="F304" t="str">
        <f>_xlfn.XLOOKUP(A304, 'Customer Information'!$A$1:$A$1001, 'Customer Information'!$C$1:$C$1001)</f>
        <v>Seniors</v>
      </c>
      <c r="G304" t="str">
        <f>_xlfn.XLOOKUP('Customer Information'!A304, 'Customer Information'!$A$1:$A$1001, 'Customer Information'!$D$1:$D$1001)</f>
        <v>No</v>
      </c>
      <c r="H304" t="str">
        <f>INDEX('Additional Product Info.'!$A$1:$C$1001, MATCH('Product Positioning'!$A304, 'Additional Product Info.'!$A$1:$A$1001, 0), MATCH('Product Positioning'!H$1, 'Additional Product Info.'!$A$1:$C$1, 0))</f>
        <v>Front of Store</v>
      </c>
      <c r="I304" t="str">
        <f>INDEX('Additional Product Info.'!$A$1:$C$1001, MATCH('Product Positioning'!$A304, 'Additional Product Info.'!$A$1:$A$1001, 0), MATCH('Product Positioning'!I$1, 'Additional Product Info.'!$A$1:$C$1, 0))</f>
        <v>Food</v>
      </c>
      <c r="J304" t="str">
        <f>_xlfn.XLOOKUP(A304, $A$1:$A$1001, 'Additional Product Info.'!$D$1:$D$1001)</f>
        <v>Yes</v>
      </c>
      <c r="K304" s="1">
        <f t="shared" si="8"/>
        <v>46091.76</v>
      </c>
      <c r="L304" s="1">
        <f t="shared" si="9"/>
        <v>4.4800000000000004</v>
      </c>
      <c r="M304" t="str">
        <f>IF(L304&lt;=Statistics!$E$6,"Low Difference",IF('Product Positioning'!L304&gt;=Statistics!$E$4,"High Difference","Moderate Difference"))</f>
        <v>High Difference</v>
      </c>
    </row>
    <row r="305" spans="1:13" x14ac:dyDescent="0.2">
      <c r="A305">
        <v>169867</v>
      </c>
      <c r="B305" s="1">
        <v>35.270000000000003</v>
      </c>
      <c r="C305" s="1">
        <v>33.42</v>
      </c>
      <c r="D305">
        <v>1095</v>
      </c>
      <c r="E305" t="str">
        <f>_xlfn.XLOOKUP(A305, 'Customer Information'!$A$1:$A$1001, 'Customer Information'!$B$1:$B$1001)</f>
        <v>Low</v>
      </c>
      <c r="F305" t="str">
        <f>_xlfn.XLOOKUP(A305, 'Customer Information'!$A$1:$A$1001, 'Customer Information'!$C$1:$C$1001)</f>
        <v>Seniors</v>
      </c>
      <c r="G305" t="str">
        <f>_xlfn.XLOOKUP('Customer Information'!A305, 'Customer Information'!$A$1:$A$1001, 'Customer Information'!$D$1:$D$1001)</f>
        <v>No</v>
      </c>
      <c r="H305" t="str">
        <f>INDEX('Additional Product Info.'!$A$1:$C$1001, MATCH('Product Positioning'!$A305, 'Additional Product Info.'!$A$1:$A$1001, 0), MATCH('Product Positioning'!H$1, 'Additional Product Info.'!$A$1:$C$1, 0))</f>
        <v>End-cap</v>
      </c>
      <c r="I305" t="str">
        <f>INDEX('Additional Product Info.'!$A$1:$C$1001, MATCH('Product Positioning'!$A305, 'Additional Product Info.'!$A$1:$A$1001, 0), MATCH('Product Positioning'!I$1, 'Additional Product Info.'!$A$1:$C$1, 0))</f>
        <v>Electronics</v>
      </c>
      <c r="J305" t="str">
        <f>_xlfn.XLOOKUP(A305, $A$1:$A$1001, 'Additional Product Info.'!$D$1:$D$1001)</f>
        <v>No</v>
      </c>
      <c r="K305" s="1">
        <f t="shared" si="8"/>
        <v>38620.65</v>
      </c>
      <c r="L305" s="1">
        <f t="shared" si="9"/>
        <v>1.8500000000000014</v>
      </c>
      <c r="M305" t="str">
        <f>IF(L305&lt;=Statistics!$E$6,"Low Difference",IF('Product Positioning'!L305&gt;=Statistics!$E$4,"High Difference","Moderate Difference"))</f>
        <v>Moderate Difference</v>
      </c>
    </row>
    <row r="306" spans="1:13" x14ac:dyDescent="0.2">
      <c r="A306">
        <v>191946</v>
      </c>
      <c r="B306" s="1">
        <v>8.84</v>
      </c>
      <c r="C306" s="1">
        <v>8.82</v>
      </c>
      <c r="D306">
        <v>1507</v>
      </c>
      <c r="E306" t="str">
        <f>_xlfn.XLOOKUP(A306, 'Customer Information'!$A$1:$A$1001, 'Customer Information'!$B$1:$B$1001)</f>
        <v>Medium</v>
      </c>
      <c r="F306" t="str">
        <f>_xlfn.XLOOKUP(A306, 'Customer Information'!$A$1:$A$1001, 'Customer Information'!$C$1:$C$1001)</f>
        <v>Young adults</v>
      </c>
      <c r="G306" t="str">
        <f>_xlfn.XLOOKUP('Customer Information'!A306, 'Customer Information'!$A$1:$A$1001, 'Customer Information'!$D$1:$D$1001)</f>
        <v>No</v>
      </c>
      <c r="H306" t="str">
        <f>INDEX('Additional Product Info.'!$A$1:$C$1001, MATCH('Product Positioning'!$A306, 'Additional Product Info.'!$A$1:$A$1001, 0), MATCH('Product Positioning'!H$1, 'Additional Product Info.'!$A$1:$C$1, 0))</f>
        <v>Aisle</v>
      </c>
      <c r="I306" t="str">
        <f>INDEX('Additional Product Info.'!$A$1:$C$1001, MATCH('Product Positioning'!$A306, 'Additional Product Info.'!$A$1:$A$1001, 0), MATCH('Product Positioning'!I$1, 'Additional Product Info.'!$A$1:$C$1, 0))</f>
        <v>Electronics</v>
      </c>
      <c r="J306" t="str">
        <f>_xlfn.XLOOKUP(A306, $A$1:$A$1001, 'Additional Product Info.'!$D$1:$D$1001)</f>
        <v>Yes</v>
      </c>
      <c r="K306" s="1">
        <f t="shared" si="8"/>
        <v>13321.88</v>
      </c>
      <c r="L306" s="1">
        <f t="shared" si="9"/>
        <v>1.9999999999999574E-2</v>
      </c>
      <c r="M306" t="str">
        <f>IF(L306&lt;=Statistics!$E$6,"Low Difference",IF('Product Positioning'!L306&gt;=Statistics!$E$4,"High Difference","Moderate Difference"))</f>
        <v>Low Difference</v>
      </c>
    </row>
    <row r="307" spans="1:13" x14ac:dyDescent="0.2">
      <c r="A307">
        <v>165630</v>
      </c>
      <c r="B307" s="1">
        <v>36.42</v>
      </c>
      <c r="C307" s="1">
        <v>31.86</v>
      </c>
      <c r="D307">
        <v>2381</v>
      </c>
      <c r="E307" t="str">
        <f>_xlfn.XLOOKUP(A307, 'Customer Information'!$A$1:$A$1001, 'Customer Information'!$B$1:$B$1001)</f>
        <v>Medium</v>
      </c>
      <c r="F307" t="str">
        <f>_xlfn.XLOOKUP(A307, 'Customer Information'!$A$1:$A$1001, 'Customer Information'!$C$1:$C$1001)</f>
        <v>Young adults</v>
      </c>
      <c r="G307" t="str">
        <f>_xlfn.XLOOKUP('Customer Information'!A307, 'Customer Information'!$A$1:$A$1001, 'Customer Information'!$D$1:$D$1001)</f>
        <v>Yes</v>
      </c>
      <c r="H307" t="str">
        <f>INDEX('Additional Product Info.'!$A$1:$C$1001, MATCH('Product Positioning'!$A307, 'Additional Product Info.'!$A$1:$A$1001, 0), MATCH('Product Positioning'!H$1, 'Additional Product Info.'!$A$1:$C$1, 0))</f>
        <v>Front of Store</v>
      </c>
      <c r="I307" t="str">
        <f>INDEX('Additional Product Info.'!$A$1:$C$1001, MATCH('Product Positioning'!$A307, 'Additional Product Info.'!$A$1:$A$1001, 0), MATCH('Product Positioning'!I$1, 'Additional Product Info.'!$A$1:$C$1, 0))</f>
        <v>Food</v>
      </c>
      <c r="J307" t="str">
        <f>_xlfn.XLOOKUP(A307, $A$1:$A$1001, 'Additional Product Info.'!$D$1:$D$1001)</f>
        <v>No</v>
      </c>
      <c r="K307" s="1">
        <f t="shared" si="8"/>
        <v>86716.02</v>
      </c>
      <c r="L307" s="1">
        <f t="shared" si="9"/>
        <v>4.5600000000000023</v>
      </c>
      <c r="M307" t="str">
        <f>IF(L307&lt;=Statistics!$E$6,"Low Difference",IF('Product Positioning'!L307&gt;=Statistics!$E$4,"High Difference","Moderate Difference"))</f>
        <v>High Difference</v>
      </c>
    </row>
    <row r="308" spans="1:13" x14ac:dyDescent="0.2">
      <c r="A308">
        <v>173122</v>
      </c>
      <c r="B308" s="1">
        <v>15.04</v>
      </c>
      <c r="C308" s="1">
        <v>10.96</v>
      </c>
      <c r="D308">
        <v>1299</v>
      </c>
      <c r="E308" t="str">
        <f>_xlfn.XLOOKUP(A308, 'Customer Information'!$A$1:$A$1001, 'Customer Information'!$B$1:$B$1001)</f>
        <v>High</v>
      </c>
      <c r="F308" t="str">
        <f>_xlfn.XLOOKUP(A308, 'Customer Information'!$A$1:$A$1001, 'Customer Information'!$C$1:$C$1001)</f>
        <v>Families</v>
      </c>
      <c r="G308" t="str">
        <f>_xlfn.XLOOKUP('Customer Information'!A308, 'Customer Information'!$A$1:$A$1001, 'Customer Information'!$D$1:$D$1001)</f>
        <v>Yes</v>
      </c>
      <c r="H308" t="str">
        <f>INDEX('Additional Product Info.'!$A$1:$C$1001, MATCH('Product Positioning'!$A308, 'Additional Product Info.'!$A$1:$A$1001, 0), MATCH('Product Positioning'!H$1, 'Additional Product Info.'!$A$1:$C$1, 0))</f>
        <v>Front of Store</v>
      </c>
      <c r="I308" t="str">
        <f>INDEX('Additional Product Info.'!$A$1:$C$1001, MATCH('Product Positioning'!$A308, 'Additional Product Info.'!$A$1:$A$1001, 0), MATCH('Product Positioning'!I$1, 'Additional Product Info.'!$A$1:$C$1, 0))</f>
        <v>Electronics</v>
      </c>
      <c r="J308" t="str">
        <f>_xlfn.XLOOKUP(A308, $A$1:$A$1001, 'Additional Product Info.'!$D$1:$D$1001)</f>
        <v>Yes</v>
      </c>
      <c r="K308" s="1">
        <f t="shared" si="8"/>
        <v>19536.96</v>
      </c>
      <c r="L308" s="1">
        <f t="shared" si="9"/>
        <v>4.0799999999999983</v>
      </c>
      <c r="M308" t="str">
        <f>IF(L308&lt;=Statistics!$E$6,"Low Difference",IF('Product Positioning'!L308&gt;=Statistics!$E$4,"High Difference","Moderate Difference"))</f>
        <v>High Difference</v>
      </c>
    </row>
    <row r="309" spans="1:13" x14ac:dyDescent="0.2">
      <c r="A309">
        <v>137617</v>
      </c>
      <c r="B309" s="1">
        <v>46.48</v>
      </c>
      <c r="C309" s="1">
        <v>43.92</v>
      </c>
      <c r="D309">
        <v>931</v>
      </c>
      <c r="E309" t="str">
        <f>_xlfn.XLOOKUP(A309, 'Customer Information'!$A$1:$A$1001, 'Customer Information'!$B$1:$B$1001)</f>
        <v>Medium</v>
      </c>
      <c r="F309" t="str">
        <f>_xlfn.XLOOKUP(A309, 'Customer Information'!$A$1:$A$1001, 'Customer Information'!$C$1:$C$1001)</f>
        <v>Young adults</v>
      </c>
      <c r="G309" t="str">
        <f>_xlfn.XLOOKUP('Customer Information'!A309, 'Customer Information'!$A$1:$A$1001, 'Customer Information'!$D$1:$D$1001)</f>
        <v>No</v>
      </c>
      <c r="H309" t="str">
        <f>INDEX('Additional Product Info.'!$A$1:$C$1001, MATCH('Product Positioning'!$A309, 'Additional Product Info.'!$A$1:$A$1001, 0), MATCH('Product Positioning'!H$1, 'Additional Product Info.'!$A$1:$C$1, 0))</f>
        <v>End-cap</v>
      </c>
      <c r="I309" t="str">
        <f>INDEX('Additional Product Info.'!$A$1:$C$1001, MATCH('Product Positioning'!$A309, 'Additional Product Info.'!$A$1:$A$1001, 0), MATCH('Product Positioning'!I$1, 'Additional Product Info.'!$A$1:$C$1, 0))</f>
        <v>Electronics</v>
      </c>
      <c r="J309" t="str">
        <f>_xlfn.XLOOKUP(A309, $A$1:$A$1001, 'Additional Product Info.'!$D$1:$D$1001)</f>
        <v>Yes</v>
      </c>
      <c r="K309" s="1">
        <f t="shared" si="8"/>
        <v>43272.88</v>
      </c>
      <c r="L309" s="1">
        <f t="shared" si="9"/>
        <v>2.5599999999999952</v>
      </c>
      <c r="M309" t="str">
        <f>IF(L309&lt;=Statistics!$E$6,"Low Difference",IF('Product Positioning'!L309&gt;=Statistics!$E$4,"High Difference","Moderate Difference"))</f>
        <v>Moderate Difference</v>
      </c>
    </row>
    <row r="310" spans="1:13" x14ac:dyDescent="0.2">
      <c r="A310">
        <v>181415</v>
      </c>
      <c r="B310" s="1">
        <v>44</v>
      </c>
      <c r="C310" s="1">
        <v>42.4</v>
      </c>
      <c r="D310">
        <v>2179</v>
      </c>
      <c r="E310" t="str">
        <f>_xlfn.XLOOKUP(A310, 'Customer Information'!$A$1:$A$1001, 'Customer Information'!$B$1:$B$1001)</f>
        <v>Medium</v>
      </c>
      <c r="F310" t="str">
        <f>_xlfn.XLOOKUP(A310, 'Customer Information'!$A$1:$A$1001, 'Customer Information'!$C$1:$C$1001)</f>
        <v>Families</v>
      </c>
      <c r="G310" t="str">
        <f>_xlfn.XLOOKUP('Customer Information'!A310, 'Customer Information'!$A$1:$A$1001, 'Customer Information'!$D$1:$D$1001)</f>
        <v>No</v>
      </c>
      <c r="H310" t="str">
        <f>INDEX('Additional Product Info.'!$A$1:$C$1001, MATCH('Product Positioning'!$A310, 'Additional Product Info.'!$A$1:$A$1001, 0), MATCH('Product Positioning'!H$1, 'Additional Product Info.'!$A$1:$C$1, 0))</f>
        <v>Aisle</v>
      </c>
      <c r="I310" t="str">
        <f>INDEX('Additional Product Info.'!$A$1:$C$1001, MATCH('Product Positioning'!$A310, 'Additional Product Info.'!$A$1:$A$1001, 0), MATCH('Product Positioning'!I$1, 'Additional Product Info.'!$A$1:$C$1, 0))</f>
        <v>Food</v>
      </c>
      <c r="J310" t="str">
        <f>_xlfn.XLOOKUP(A310, $A$1:$A$1001, 'Additional Product Info.'!$D$1:$D$1001)</f>
        <v>Yes</v>
      </c>
      <c r="K310" s="1">
        <f t="shared" si="8"/>
        <v>95876</v>
      </c>
      <c r="L310" s="1">
        <f t="shared" si="9"/>
        <v>1.6000000000000014</v>
      </c>
      <c r="M310" t="str">
        <f>IF(L310&lt;=Statistics!$E$6,"Low Difference",IF('Product Positioning'!L310&gt;=Statistics!$E$4,"High Difference","Moderate Difference"))</f>
        <v>Moderate Difference</v>
      </c>
    </row>
    <row r="311" spans="1:13" x14ac:dyDescent="0.2">
      <c r="A311">
        <v>141652</v>
      </c>
      <c r="B311" s="1">
        <v>12.79</v>
      </c>
      <c r="C311" s="1">
        <v>11.24</v>
      </c>
      <c r="D311">
        <v>1634</v>
      </c>
      <c r="E311" t="str">
        <f>_xlfn.XLOOKUP(A311, 'Customer Information'!$A$1:$A$1001, 'Customer Information'!$B$1:$B$1001)</f>
        <v>High</v>
      </c>
      <c r="F311" t="str">
        <f>_xlfn.XLOOKUP(A311, 'Customer Information'!$A$1:$A$1001, 'Customer Information'!$C$1:$C$1001)</f>
        <v>Young adults</v>
      </c>
      <c r="G311" t="str">
        <f>_xlfn.XLOOKUP('Customer Information'!A311, 'Customer Information'!$A$1:$A$1001, 'Customer Information'!$D$1:$D$1001)</f>
        <v>No</v>
      </c>
      <c r="H311" t="str">
        <f>INDEX('Additional Product Info.'!$A$1:$C$1001, MATCH('Product Positioning'!$A311, 'Additional Product Info.'!$A$1:$A$1001, 0), MATCH('Product Positioning'!H$1, 'Additional Product Info.'!$A$1:$C$1, 0))</f>
        <v>End-cap</v>
      </c>
      <c r="I311" t="str">
        <f>INDEX('Additional Product Info.'!$A$1:$C$1001, MATCH('Product Positioning'!$A311, 'Additional Product Info.'!$A$1:$A$1001, 0), MATCH('Product Positioning'!I$1, 'Additional Product Info.'!$A$1:$C$1, 0))</f>
        <v>Food</v>
      </c>
      <c r="J311" t="str">
        <f>_xlfn.XLOOKUP(A311, $A$1:$A$1001, 'Additional Product Info.'!$D$1:$D$1001)</f>
        <v>Yes</v>
      </c>
      <c r="K311" s="1">
        <f t="shared" si="8"/>
        <v>20898.859999999997</v>
      </c>
      <c r="L311" s="1">
        <f t="shared" si="9"/>
        <v>1.5499999999999989</v>
      </c>
      <c r="M311" t="str">
        <f>IF(L311&lt;=Statistics!$E$6,"Low Difference",IF('Product Positioning'!L311&gt;=Statistics!$E$4,"High Difference","Moderate Difference"))</f>
        <v>Moderate Difference</v>
      </c>
    </row>
    <row r="312" spans="1:13" x14ac:dyDescent="0.2">
      <c r="A312">
        <v>161479</v>
      </c>
      <c r="B312" s="1">
        <v>25.99</v>
      </c>
      <c r="C312" s="1">
        <v>23.59</v>
      </c>
      <c r="D312">
        <v>1381</v>
      </c>
      <c r="E312" t="str">
        <f>_xlfn.XLOOKUP(A312, 'Customer Information'!$A$1:$A$1001, 'Customer Information'!$B$1:$B$1001)</f>
        <v>Medium</v>
      </c>
      <c r="F312" t="str">
        <f>_xlfn.XLOOKUP(A312, 'Customer Information'!$A$1:$A$1001, 'Customer Information'!$C$1:$C$1001)</f>
        <v>Seniors</v>
      </c>
      <c r="G312" t="str">
        <f>_xlfn.XLOOKUP('Customer Information'!A312, 'Customer Information'!$A$1:$A$1001, 'Customer Information'!$D$1:$D$1001)</f>
        <v>Yes</v>
      </c>
      <c r="H312" t="str">
        <f>INDEX('Additional Product Info.'!$A$1:$C$1001, MATCH('Product Positioning'!$A312, 'Additional Product Info.'!$A$1:$A$1001, 0), MATCH('Product Positioning'!H$1, 'Additional Product Info.'!$A$1:$C$1, 0))</f>
        <v>End-cap</v>
      </c>
      <c r="I312" t="str">
        <f>INDEX('Additional Product Info.'!$A$1:$C$1001, MATCH('Product Positioning'!$A312, 'Additional Product Info.'!$A$1:$A$1001, 0), MATCH('Product Positioning'!I$1, 'Additional Product Info.'!$A$1:$C$1, 0))</f>
        <v>Food</v>
      </c>
      <c r="J312" t="str">
        <f>_xlfn.XLOOKUP(A312, $A$1:$A$1001, 'Additional Product Info.'!$D$1:$D$1001)</f>
        <v>No</v>
      </c>
      <c r="K312" s="1">
        <f t="shared" si="8"/>
        <v>35892.189999999995</v>
      </c>
      <c r="L312" s="1">
        <f t="shared" si="9"/>
        <v>2.3999999999999986</v>
      </c>
      <c r="M312" t="str">
        <f>IF(L312&lt;=Statistics!$E$6,"Low Difference",IF('Product Positioning'!L312&gt;=Statistics!$E$4,"High Difference","Moderate Difference"))</f>
        <v>Moderate Difference</v>
      </c>
    </row>
    <row r="313" spans="1:13" x14ac:dyDescent="0.2">
      <c r="A313">
        <v>152924</v>
      </c>
      <c r="B313" s="1">
        <v>19.260000000000002</v>
      </c>
      <c r="C313" s="1">
        <v>15.59</v>
      </c>
      <c r="D313">
        <v>845</v>
      </c>
      <c r="E313" t="str">
        <f>_xlfn.XLOOKUP(A313, 'Customer Information'!$A$1:$A$1001, 'Customer Information'!$B$1:$B$1001)</f>
        <v>High</v>
      </c>
      <c r="F313" t="str">
        <f>_xlfn.XLOOKUP(A313, 'Customer Information'!$A$1:$A$1001, 'Customer Information'!$C$1:$C$1001)</f>
        <v>Families</v>
      </c>
      <c r="G313" t="str">
        <f>_xlfn.XLOOKUP('Customer Information'!A313, 'Customer Information'!$A$1:$A$1001, 'Customer Information'!$D$1:$D$1001)</f>
        <v>Yes</v>
      </c>
      <c r="H313" t="str">
        <f>INDEX('Additional Product Info.'!$A$1:$C$1001, MATCH('Product Positioning'!$A313, 'Additional Product Info.'!$A$1:$A$1001, 0), MATCH('Product Positioning'!H$1, 'Additional Product Info.'!$A$1:$C$1, 0))</f>
        <v>End-cap</v>
      </c>
      <c r="I313" t="str">
        <f>INDEX('Additional Product Info.'!$A$1:$C$1001, MATCH('Product Positioning'!$A313, 'Additional Product Info.'!$A$1:$A$1001, 0), MATCH('Product Positioning'!I$1, 'Additional Product Info.'!$A$1:$C$1, 0))</f>
        <v>Clothing</v>
      </c>
      <c r="J313" t="str">
        <f>_xlfn.XLOOKUP(A313, $A$1:$A$1001, 'Additional Product Info.'!$D$1:$D$1001)</f>
        <v>No</v>
      </c>
      <c r="K313" s="1">
        <f t="shared" si="8"/>
        <v>16274.7</v>
      </c>
      <c r="L313" s="1">
        <f t="shared" si="9"/>
        <v>3.6700000000000017</v>
      </c>
      <c r="M313" t="str">
        <f>IF(L313&lt;=Statistics!$E$6,"Low Difference",IF('Product Positioning'!L313&gt;=Statistics!$E$4,"High Difference","Moderate Difference"))</f>
        <v>Moderate Difference</v>
      </c>
    </row>
    <row r="314" spans="1:13" x14ac:dyDescent="0.2">
      <c r="A314">
        <v>176510</v>
      </c>
      <c r="B314" s="1">
        <v>46.46</v>
      </c>
      <c r="C314" s="1">
        <v>43.44</v>
      </c>
      <c r="D314">
        <v>2075</v>
      </c>
      <c r="E314" t="str">
        <f>_xlfn.XLOOKUP(A314, 'Customer Information'!$A$1:$A$1001, 'Customer Information'!$B$1:$B$1001)</f>
        <v>Medium</v>
      </c>
      <c r="F314" t="str">
        <f>_xlfn.XLOOKUP(A314, 'Customer Information'!$A$1:$A$1001, 'Customer Information'!$C$1:$C$1001)</f>
        <v>Seniors</v>
      </c>
      <c r="G314" t="str">
        <f>_xlfn.XLOOKUP('Customer Information'!A314, 'Customer Information'!$A$1:$A$1001, 'Customer Information'!$D$1:$D$1001)</f>
        <v>No</v>
      </c>
      <c r="H314" t="str">
        <f>INDEX('Additional Product Info.'!$A$1:$C$1001, MATCH('Product Positioning'!$A314, 'Additional Product Info.'!$A$1:$A$1001, 0), MATCH('Product Positioning'!H$1, 'Additional Product Info.'!$A$1:$C$1, 0))</f>
        <v>End-cap</v>
      </c>
      <c r="I314" t="str">
        <f>INDEX('Additional Product Info.'!$A$1:$C$1001, MATCH('Product Positioning'!$A314, 'Additional Product Info.'!$A$1:$A$1001, 0), MATCH('Product Positioning'!I$1, 'Additional Product Info.'!$A$1:$C$1, 0))</f>
        <v>Food</v>
      </c>
      <c r="J314" t="str">
        <f>_xlfn.XLOOKUP(A314, $A$1:$A$1001, 'Additional Product Info.'!$D$1:$D$1001)</f>
        <v>No</v>
      </c>
      <c r="K314" s="1">
        <f t="shared" si="8"/>
        <v>96404.5</v>
      </c>
      <c r="L314" s="1">
        <f t="shared" si="9"/>
        <v>3.0200000000000031</v>
      </c>
      <c r="M314" t="str">
        <f>IF(L314&lt;=Statistics!$E$6,"Low Difference",IF('Product Positioning'!L314&gt;=Statistics!$E$4,"High Difference","Moderate Difference"))</f>
        <v>Moderate Difference</v>
      </c>
    </row>
    <row r="315" spans="1:13" x14ac:dyDescent="0.2">
      <c r="A315">
        <v>156390</v>
      </c>
      <c r="B315" s="1">
        <v>30.51</v>
      </c>
      <c r="C315" s="1">
        <v>25.84</v>
      </c>
      <c r="D315">
        <v>2962</v>
      </c>
      <c r="E315" t="str">
        <f>_xlfn.XLOOKUP(A315, 'Customer Information'!$A$1:$A$1001, 'Customer Information'!$B$1:$B$1001)</f>
        <v>Medium</v>
      </c>
      <c r="F315" t="str">
        <f>_xlfn.XLOOKUP(A315, 'Customer Information'!$A$1:$A$1001, 'Customer Information'!$C$1:$C$1001)</f>
        <v>College students</v>
      </c>
      <c r="G315" t="str">
        <f>_xlfn.XLOOKUP('Customer Information'!A315, 'Customer Information'!$A$1:$A$1001, 'Customer Information'!$D$1:$D$1001)</f>
        <v>No</v>
      </c>
      <c r="H315" t="str">
        <f>INDEX('Additional Product Info.'!$A$1:$C$1001, MATCH('Product Positioning'!$A315, 'Additional Product Info.'!$A$1:$A$1001, 0), MATCH('Product Positioning'!H$1, 'Additional Product Info.'!$A$1:$C$1, 0))</f>
        <v>End-cap</v>
      </c>
      <c r="I315" t="str">
        <f>INDEX('Additional Product Info.'!$A$1:$C$1001, MATCH('Product Positioning'!$A315, 'Additional Product Info.'!$A$1:$A$1001, 0), MATCH('Product Positioning'!I$1, 'Additional Product Info.'!$A$1:$C$1, 0))</f>
        <v>Food</v>
      </c>
      <c r="J315" t="str">
        <f>_xlfn.XLOOKUP(A315, $A$1:$A$1001, 'Additional Product Info.'!$D$1:$D$1001)</f>
        <v>No</v>
      </c>
      <c r="K315" s="1">
        <f t="shared" si="8"/>
        <v>90370.62000000001</v>
      </c>
      <c r="L315" s="1">
        <f t="shared" si="9"/>
        <v>4.6700000000000017</v>
      </c>
      <c r="M315" t="str">
        <f>IF(L315&lt;=Statistics!$E$6,"Low Difference",IF('Product Positioning'!L315&gt;=Statistics!$E$4,"High Difference","Moderate Difference"))</f>
        <v>High Difference</v>
      </c>
    </row>
    <row r="316" spans="1:13" x14ac:dyDescent="0.2">
      <c r="A316">
        <v>177033</v>
      </c>
      <c r="B316" s="1">
        <v>5.08</v>
      </c>
      <c r="C316" s="1">
        <v>3.54</v>
      </c>
      <c r="D316">
        <v>660</v>
      </c>
      <c r="E316" t="str">
        <f>_xlfn.XLOOKUP(A316, 'Customer Information'!$A$1:$A$1001, 'Customer Information'!$B$1:$B$1001)</f>
        <v>Medium</v>
      </c>
      <c r="F316" t="str">
        <f>_xlfn.XLOOKUP(A316, 'Customer Information'!$A$1:$A$1001, 'Customer Information'!$C$1:$C$1001)</f>
        <v>Young adults</v>
      </c>
      <c r="G316" t="str">
        <f>_xlfn.XLOOKUP('Customer Information'!A316, 'Customer Information'!$A$1:$A$1001, 'Customer Information'!$D$1:$D$1001)</f>
        <v>No</v>
      </c>
      <c r="H316" t="str">
        <f>INDEX('Additional Product Info.'!$A$1:$C$1001, MATCH('Product Positioning'!$A316, 'Additional Product Info.'!$A$1:$A$1001, 0), MATCH('Product Positioning'!H$1, 'Additional Product Info.'!$A$1:$C$1, 0))</f>
        <v>Aisle</v>
      </c>
      <c r="I316" t="str">
        <f>INDEX('Additional Product Info.'!$A$1:$C$1001, MATCH('Product Positioning'!$A316, 'Additional Product Info.'!$A$1:$A$1001, 0), MATCH('Product Positioning'!I$1, 'Additional Product Info.'!$A$1:$C$1, 0))</f>
        <v>Clothing</v>
      </c>
      <c r="J316" t="str">
        <f>_xlfn.XLOOKUP(A316, $A$1:$A$1001, 'Additional Product Info.'!$D$1:$D$1001)</f>
        <v>No</v>
      </c>
      <c r="K316" s="1">
        <f t="shared" si="8"/>
        <v>3352.8</v>
      </c>
      <c r="L316" s="1">
        <f t="shared" si="9"/>
        <v>1.54</v>
      </c>
      <c r="M316" t="str">
        <f>IF(L316&lt;=Statistics!$E$6,"Low Difference",IF('Product Positioning'!L316&gt;=Statistics!$E$4,"High Difference","Moderate Difference"))</f>
        <v>Moderate Difference</v>
      </c>
    </row>
    <row r="317" spans="1:13" x14ac:dyDescent="0.2">
      <c r="A317">
        <v>133753</v>
      </c>
      <c r="B317" s="1">
        <v>30.11</v>
      </c>
      <c r="C317" s="1">
        <v>26.52</v>
      </c>
      <c r="D317">
        <v>1418</v>
      </c>
      <c r="E317" t="str">
        <f>_xlfn.XLOOKUP(A317, 'Customer Information'!$A$1:$A$1001, 'Customer Information'!$B$1:$B$1001)</f>
        <v>Medium</v>
      </c>
      <c r="F317" t="str">
        <f>_xlfn.XLOOKUP(A317, 'Customer Information'!$A$1:$A$1001, 'Customer Information'!$C$1:$C$1001)</f>
        <v>Young adults</v>
      </c>
      <c r="G317" t="str">
        <f>_xlfn.XLOOKUP('Customer Information'!A317, 'Customer Information'!$A$1:$A$1001, 'Customer Information'!$D$1:$D$1001)</f>
        <v>Yes</v>
      </c>
      <c r="H317" t="str">
        <f>INDEX('Additional Product Info.'!$A$1:$C$1001, MATCH('Product Positioning'!$A317, 'Additional Product Info.'!$A$1:$A$1001, 0), MATCH('Product Positioning'!H$1, 'Additional Product Info.'!$A$1:$C$1, 0))</f>
        <v>Front of Store</v>
      </c>
      <c r="I317" t="str">
        <f>INDEX('Additional Product Info.'!$A$1:$C$1001, MATCH('Product Positioning'!$A317, 'Additional Product Info.'!$A$1:$A$1001, 0), MATCH('Product Positioning'!I$1, 'Additional Product Info.'!$A$1:$C$1, 0))</f>
        <v>Electronics</v>
      </c>
      <c r="J317" t="str">
        <f>_xlfn.XLOOKUP(A317, $A$1:$A$1001, 'Additional Product Info.'!$D$1:$D$1001)</f>
        <v>Yes</v>
      </c>
      <c r="K317" s="1">
        <f t="shared" si="8"/>
        <v>42695.979999999996</v>
      </c>
      <c r="L317" s="1">
        <f t="shared" si="9"/>
        <v>3.59</v>
      </c>
      <c r="M317" t="str">
        <f>IF(L317&lt;=Statistics!$E$6,"Low Difference",IF('Product Positioning'!L317&gt;=Statistics!$E$4,"High Difference","Moderate Difference"))</f>
        <v>Moderate Difference</v>
      </c>
    </row>
    <row r="318" spans="1:13" x14ac:dyDescent="0.2">
      <c r="A318">
        <v>165841</v>
      </c>
      <c r="B318" s="1">
        <v>35.69</v>
      </c>
      <c r="C318" s="1">
        <v>31.05</v>
      </c>
      <c r="D318">
        <v>2058</v>
      </c>
      <c r="E318" t="str">
        <f>_xlfn.XLOOKUP(A318, 'Customer Information'!$A$1:$A$1001, 'Customer Information'!$B$1:$B$1001)</f>
        <v>High</v>
      </c>
      <c r="F318" t="str">
        <f>_xlfn.XLOOKUP(A318, 'Customer Information'!$A$1:$A$1001, 'Customer Information'!$C$1:$C$1001)</f>
        <v>Seniors</v>
      </c>
      <c r="G318" t="str">
        <f>_xlfn.XLOOKUP('Customer Information'!A318, 'Customer Information'!$A$1:$A$1001, 'Customer Information'!$D$1:$D$1001)</f>
        <v>Yes</v>
      </c>
      <c r="H318" t="str">
        <f>INDEX('Additional Product Info.'!$A$1:$C$1001, MATCH('Product Positioning'!$A318, 'Additional Product Info.'!$A$1:$A$1001, 0), MATCH('Product Positioning'!H$1, 'Additional Product Info.'!$A$1:$C$1, 0))</f>
        <v>Aisle</v>
      </c>
      <c r="I318" t="str">
        <f>INDEX('Additional Product Info.'!$A$1:$C$1001, MATCH('Product Positioning'!$A318, 'Additional Product Info.'!$A$1:$A$1001, 0), MATCH('Product Positioning'!I$1, 'Additional Product Info.'!$A$1:$C$1, 0))</f>
        <v>Food</v>
      </c>
      <c r="J318" t="str">
        <f>_xlfn.XLOOKUP(A318, $A$1:$A$1001, 'Additional Product Info.'!$D$1:$D$1001)</f>
        <v>Yes</v>
      </c>
      <c r="K318" s="1">
        <f t="shared" si="8"/>
        <v>73450.01999999999</v>
      </c>
      <c r="L318" s="1">
        <f t="shared" si="9"/>
        <v>4.639999999999997</v>
      </c>
      <c r="M318" t="str">
        <f>IF(L318&lt;=Statistics!$E$6,"Low Difference",IF('Product Positioning'!L318&gt;=Statistics!$E$4,"High Difference","Moderate Difference"))</f>
        <v>High Difference</v>
      </c>
    </row>
    <row r="319" spans="1:13" x14ac:dyDescent="0.2">
      <c r="A319">
        <v>183061</v>
      </c>
      <c r="B319" s="1">
        <v>33.67</v>
      </c>
      <c r="C319" s="1">
        <v>30.14</v>
      </c>
      <c r="D319">
        <v>2678</v>
      </c>
      <c r="E319" t="str">
        <f>_xlfn.XLOOKUP(A319, 'Customer Information'!$A$1:$A$1001, 'Customer Information'!$B$1:$B$1001)</f>
        <v>High</v>
      </c>
      <c r="F319" t="str">
        <f>_xlfn.XLOOKUP(A319, 'Customer Information'!$A$1:$A$1001, 'Customer Information'!$C$1:$C$1001)</f>
        <v>College students</v>
      </c>
      <c r="G319" t="str">
        <f>_xlfn.XLOOKUP('Customer Information'!A319, 'Customer Information'!$A$1:$A$1001, 'Customer Information'!$D$1:$D$1001)</f>
        <v>No</v>
      </c>
      <c r="H319" t="str">
        <f>INDEX('Additional Product Info.'!$A$1:$C$1001, MATCH('Product Positioning'!$A319, 'Additional Product Info.'!$A$1:$A$1001, 0), MATCH('Product Positioning'!H$1, 'Additional Product Info.'!$A$1:$C$1, 0))</f>
        <v>End-cap</v>
      </c>
      <c r="I319" t="str">
        <f>INDEX('Additional Product Info.'!$A$1:$C$1001, MATCH('Product Positioning'!$A319, 'Additional Product Info.'!$A$1:$A$1001, 0), MATCH('Product Positioning'!I$1, 'Additional Product Info.'!$A$1:$C$1, 0))</f>
        <v>Clothing</v>
      </c>
      <c r="J319" t="str">
        <f>_xlfn.XLOOKUP(A319, $A$1:$A$1001, 'Additional Product Info.'!$D$1:$D$1001)</f>
        <v>No</v>
      </c>
      <c r="K319" s="1">
        <f t="shared" si="8"/>
        <v>90168.260000000009</v>
      </c>
      <c r="L319" s="1">
        <f t="shared" si="9"/>
        <v>3.5300000000000011</v>
      </c>
      <c r="M319" t="str">
        <f>IF(L319&lt;=Statistics!$E$6,"Low Difference",IF('Product Positioning'!L319&gt;=Statistics!$E$4,"High Difference","Moderate Difference"))</f>
        <v>Moderate Difference</v>
      </c>
    </row>
    <row r="320" spans="1:13" x14ac:dyDescent="0.2">
      <c r="A320">
        <v>125175</v>
      </c>
      <c r="B320" s="1">
        <v>43.43</v>
      </c>
      <c r="C320" s="1">
        <v>41.7</v>
      </c>
      <c r="D320">
        <v>1212</v>
      </c>
      <c r="E320" t="str">
        <f>_xlfn.XLOOKUP(A320, 'Customer Information'!$A$1:$A$1001, 'Customer Information'!$B$1:$B$1001)</f>
        <v>Low</v>
      </c>
      <c r="F320" t="str">
        <f>_xlfn.XLOOKUP(A320, 'Customer Information'!$A$1:$A$1001, 'Customer Information'!$C$1:$C$1001)</f>
        <v>Seniors</v>
      </c>
      <c r="G320" t="str">
        <f>_xlfn.XLOOKUP('Customer Information'!A320, 'Customer Information'!$A$1:$A$1001, 'Customer Information'!$D$1:$D$1001)</f>
        <v>No</v>
      </c>
      <c r="H320" t="str">
        <f>INDEX('Additional Product Info.'!$A$1:$C$1001, MATCH('Product Positioning'!$A320, 'Additional Product Info.'!$A$1:$A$1001, 0), MATCH('Product Positioning'!H$1, 'Additional Product Info.'!$A$1:$C$1, 0))</f>
        <v>Front of Store</v>
      </c>
      <c r="I320" t="str">
        <f>INDEX('Additional Product Info.'!$A$1:$C$1001, MATCH('Product Positioning'!$A320, 'Additional Product Info.'!$A$1:$A$1001, 0), MATCH('Product Positioning'!I$1, 'Additional Product Info.'!$A$1:$C$1, 0))</f>
        <v>Electronics</v>
      </c>
      <c r="J320" t="str">
        <f>_xlfn.XLOOKUP(A320, $A$1:$A$1001, 'Additional Product Info.'!$D$1:$D$1001)</f>
        <v>No</v>
      </c>
      <c r="K320" s="1">
        <f t="shared" si="8"/>
        <v>52637.159999999996</v>
      </c>
      <c r="L320" s="1">
        <f t="shared" si="9"/>
        <v>1.7299999999999969</v>
      </c>
      <c r="M320" t="str">
        <f>IF(L320&lt;=Statistics!$E$6,"Low Difference",IF('Product Positioning'!L320&gt;=Statistics!$E$4,"High Difference","Moderate Difference"))</f>
        <v>Moderate Difference</v>
      </c>
    </row>
    <row r="321" spans="1:13" x14ac:dyDescent="0.2">
      <c r="A321">
        <v>115464</v>
      </c>
      <c r="B321" s="1">
        <v>31.14</v>
      </c>
      <c r="C321" s="1">
        <v>28.57</v>
      </c>
      <c r="D321">
        <v>1001</v>
      </c>
      <c r="E321" t="str">
        <f>_xlfn.XLOOKUP(A321, 'Customer Information'!$A$1:$A$1001, 'Customer Information'!$B$1:$B$1001)</f>
        <v>Medium</v>
      </c>
      <c r="F321" t="str">
        <f>_xlfn.XLOOKUP(A321, 'Customer Information'!$A$1:$A$1001, 'Customer Information'!$C$1:$C$1001)</f>
        <v>College students</v>
      </c>
      <c r="G321" t="str">
        <f>_xlfn.XLOOKUP('Customer Information'!A321, 'Customer Information'!$A$1:$A$1001, 'Customer Information'!$D$1:$D$1001)</f>
        <v>No</v>
      </c>
      <c r="H321" t="str">
        <f>INDEX('Additional Product Info.'!$A$1:$C$1001, MATCH('Product Positioning'!$A321, 'Additional Product Info.'!$A$1:$A$1001, 0), MATCH('Product Positioning'!H$1, 'Additional Product Info.'!$A$1:$C$1, 0))</f>
        <v>Aisle</v>
      </c>
      <c r="I321" t="str">
        <f>INDEX('Additional Product Info.'!$A$1:$C$1001, MATCH('Product Positioning'!$A321, 'Additional Product Info.'!$A$1:$A$1001, 0), MATCH('Product Positioning'!I$1, 'Additional Product Info.'!$A$1:$C$1, 0))</f>
        <v>Food</v>
      </c>
      <c r="J321" t="str">
        <f>_xlfn.XLOOKUP(A321, $A$1:$A$1001, 'Additional Product Info.'!$D$1:$D$1001)</f>
        <v>No</v>
      </c>
      <c r="K321" s="1">
        <f t="shared" si="8"/>
        <v>31171.14</v>
      </c>
      <c r="L321" s="1">
        <f t="shared" si="9"/>
        <v>2.5700000000000003</v>
      </c>
      <c r="M321" t="str">
        <f>IF(L321&lt;=Statistics!$E$6,"Low Difference",IF('Product Positioning'!L321&gt;=Statistics!$E$4,"High Difference","Moderate Difference"))</f>
        <v>Moderate Difference</v>
      </c>
    </row>
    <row r="322" spans="1:13" x14ac:dyDescent="0.2">
      <c r="A322">
        <v>117231</v>
      </c>
      <c r="B322" s="1">
        <v>47.65</v>
      </c>
      <c r="C322" s="1">
        <v>46.81</v>
      </c>
      <c r="D322">
        <v>818</v>
      </c>
      <c r="E322" t="str">
        <f>_xlfn.XLOOKUP(A322, 'Customer Information'!$A$1:$A$1001, 'Customer Information'!$B$1:$B$1001)</f>
        <v>High</v>
      </c>
      <c r="F322" t="str">
        <f>_xlfn.XLOOKUP(A322, 'Customer Information'!$A$1:$A$1001, 'Customer Information'!$C$1:$C$1001)</f>
        <v>Young adults</v>
      </c>
      <c r="G322" t="str">
        <f>_xlfn.XLOOKUP('Customer Information'!A322, 'Customer Information'!$A$1:$A$1001, 'Customer Information'!$D$1:$D$1001)</f>
        <v>No</v>
      </c>
      <c r="H322" t="str">
        <f>INDEX('Additional Product Info.'!$A$1:$C$1001, MATCH('Product Positioning'!$A322, 'Additional Product Info.'!$A$1:$A$1001, 0), MATCH('Product Positioning'!H$1, 'Additional Product Info.'!$A$1:$C$1, 0))</f>
        <v>End-cap</v>
      </c>
      <c r="I322" t="str">
        <f>INDEX('Additional Product Info.'!$A$1:$C$1001, MATCH('Product Positioning'!$A322, 'Additional Product Info.'!$A$1:$A$1001, 0), MATCH('Product Positioning'!I$1, 'Additional Product Info.'!$A$1:$C$1, 0))</f>
        <v>Food</v>
      </c>
      <c r="J322" t="str">
        <f>_xlfn.XLOOKUP(A322, $A$1:$A$1001, 'Additional Product Info.'!$D$1:$D$1001)</f>
        <v>No</v>
      </c>
      <c r="K322" s="1">
        <f t="shared" ref="K322:K385" si="10">B322*D322</f>
        <v>38977.699999999997</v>
      </c>
      <c r="L322" s="1">
        <f t="shared" ref="L322:L385" si="11">ABS(B322-C322)</f>
        <v>0.83999999999999631</v>
      </c>
      <c r="M322" t="str">
        <f>IF(L322&lt;=Statistics!$E$6,"Low Difference",IF('Product Positioning'!L322&gt;=Statistics!$E$4,"High Difference","Moderate Difference"))</f>
        <v>Low Difference</v>
      </c>
    </row>
    <row r="323" spans="1:13" x14ac:dyDescent="0.2">
      <c r="A323">
        <v>154948</v>
      </c>
      <c r="B323" s="1">
        <v>35.18</v>
      </c>
      <c r="C323" s="1">
        <v>34.520000000000003</v>
      </c>
      <c r="D323">
        <v>1549</v>
      </c>
      <c r="E323" t="str">
        <f>_xlfn.XLOOKUP(A323, 'Customer Information'!$A$1:$A$1001, 'Customer Information'!$B$1:$B$1001)</f>
        <v>Medium</v>
      </c>
      <c r="F323" t="str">
        <f>_xlfn.XLOOKUP(A323, 'Customer Information'!$A$1:$A$1001, 'Customer Information'!$C$1:$C$1001)</f>
        <v>Families</v>
      </c>
      <c r="G323" t="str">
        <f>_xlfn.XLOOKUP('Customer Information'!A323, 'Customer Information'!$A$1:$A$1001, 'Customer Information'!$D$1:$D$1001)</f>
        <v>Yes</v>
      </c>
      <c r="H323" t="str">
        <f>INDEX('Additional Product Info.'!$A$1:$C$1001, MATCH('Product Positioning'!$A323, 'Additional Product Info.'!$A$1:$A$1001, 0), MATCH('Product Positioning'!H$1, 'Additional Product Info.'!$A$1:$C$1, 0))</f>
        <v>End-cap</v>
      </c>
      <c r="I323" t="str">
        <f>INDEX('Additional Product Info.'!$A$1:$C$1001, MATCH('Product Positioning'!$A323, 'Additional Product Info.'!$A$1:$A$1001, 0), MATCH('Product Positioning'!I$1, 'Additional Product Info.'!$A$1:$C$1, 0))</f>
        <v>Food</v>
      </c>
      <c r="J323" t="str">
        <f>_xlfn.XLOOKUP(A323, $A$1:$A$1001, 'Additional Product Info.'!$D$1:$D$1001)</f>
        <v>Yes</v>
      </c>
      <c r="K323" s="1">
        <f t="shared" si="10"/>
        <v>54493.82</v>
      </c>
      <c r="L323" s="1">
        <f t="shared" si="11"/>
        <v>0.65999999999999659</v>
      </c>
      <c r="M323" t="str">
        <f>IF(L323&lt;=Statistics!$E$6,"Low Difference",IF('Product Positioning'!L323&gt;=Statistics!$E$4,"High Difference","Moderate Difference"))</f>
        <v>Low Difference</v>
      </c>
    </row>
    <row r="324" spans="1:13" x14ac:dyDescent="0.2">
      <c r="A324">
        <v>197375</v>
      </c>
      <c r="B324" s="1">
        <v>17.239999999999998</v>
      </c>
      <c r="C324" s="1">
        <v>16.93</v>
      </c>
      <c r="D324">
        <v>1135</v>
      </c>
      <c r="E324" t="str">
        <f>_xlfn.XLOOKUP(A324, 'Customer Information'!$A$1:$A$1001, 'Customer Information'!$B$1:$B$1001)</f>
        <v>Medium</v>
      </c>
      <c r="F324" t="str">
        <f>_xlfn.XLOOKUP(A324, 'Customer Information'!$A$1:$A$1001, 'Customer Information'!$C$1:$C$1001)</f>
        <v>Seniors</v>
      </c>
      <c r="G324" t="str">
        <f>_xlfn.XLOOKUP('Customer Information'!A324, 'Customer Information'!$A$1:$A$1001, 'Customer Information'!$D$1:$D$1001)</f>
        <v>No</v>
      </c>
      <c r="H324" t="str">
        <f>INDEX('Additional Product Info.'!$A$1:$C$1001, MATCH('Product Positioning'!$A324, 'Additional Product Info.'!$A$1:$A$1001, 0), MATCH('Product Positioning'!H$1, 'Additional Product Info.'!$A$1:$C$1, 0))</f>
        <v>Aisle</v>
      </c>
      <c r="I324" t="str">
        <f>INDEX('Additional Product Info.'!$A$1:$C$1001, MATCH('Product Positioning'!$A324, 'Additional Product Info.'!$A$1:$A$1001, 0), MATCH('Product Positioning'!I$1, 'Additional Product Info.'!$A$1:$C$1, 0))</f>
        <v>Electronics</v>
      </c>
      <c r="J324" t="str">
        <f>_xlfn.XLOOKUP(A324, $A$1:$A$1001, 'Additional Product Info.'!$D$1:$D$1001)</f>
        <v>No</v>
      </c>
      <c r="K324" s="1">
        <f t="shared" si="10"/>
        <v>19567.399999999998</v>
      </c>
      <c r="L324" s="1">
        <f t="shared" si="11"/>
        <v>0.30999999999999872</v>
      </c>
      <c r="M324" t="str">
        <f>IF(L324&lt;=Statistics!$E$6,"Low Difference",IF('Product Positioning'!L324&gt;=Statistics!$E$4,"High Difference","Moderate Difference"))</f>
        <v>Low Difference</v>
      </c>
    </row>
    <row r="325" spans="1:13" x14ac:dyDescent="0.2">
      <c r="A325">
        <v>191131</v>
      </c>
      <c r="B325" s="1">
        <v>17.29</v>
      </c>
      <c r="C325" s="1">
        <v>12.32</v>
      </c>
      <c r="D325">
        <v>1833</v>
      </c>
      <c r="E325" t="str">
        <f>_xlfn.XLOOKUP(A325, 'Customer Information'!$A$1:$A$1001, 'Customer Information'!$B$1:$B$1001)</f>
        <v>Low</v>
      </c>
      <c r="F325" t="str">
        <f>_xlfn.XLOOKUP(A325, 'Customer Information'!$A$1:$A$1001, 'Customer Information'!$C$1:$C$1001)</f>
        <v>Seniors</v>
      </c>
      <c r="G325" t="str">
        <f>_xlfn.XLOOKUP('Customer Information'!A325, 'Customer Information'!$A$1:$A$1001, 'Customer Information'!$D$1:$D$1001)</f>
        <v>No</v>
      </c>
      <c r="H325" t="str">
        <f>INDEX('Additional Product Info.'!$A$1:$C$1001, MATCH('Product Positioning'!$A325, 'Additional Product Info.'!$A$1:$A$1001, 0), MATCH('Product Positioning'!H$1, 'Additional Product Info.'!$A$1:$C$1, 0))</f>
        <v>Front of Store</v>
      </c>
      <c r="I325" t="str">
        <f>INDEX('Additional Product Info.'!$A$1:$C$1001, MATCH('Product Positioning'!$A325, 'Additional Product Info.'!$A$1:$A$1001, 0), MATCH('Product Positioning'!I$1, 'Additional Product Info.'!$A$1:$C$1, 0))</f>
        <v>Food</v>
      </c>
      <c r="J325" t="str">
        <f>_xlfn.XLOOKUP(A325, $A$1:$A$1001, 'Additional Product Info.'!$D$1:$D$1001)</f>
        <v>Yes</v>
      </c>
      <c r="K325" s="1">
        <f t="shared" si="10"/>
        <v>31692.57</v>
      </c>
      <c r="L325" s="1">
        <f t="shared" si="11"/>
        <v>4.9699999999999989</v>
      </c>
      <c r="M325" t="str">
        <f>IF(L325&lt;=Statistics!$E$6,"Low Difference",IF('Product Positioning'!L325&gt;=Statistics!$E$4,"High Difference","Moderate Difference"))</f>
        <v>High Difference</v>
      </c>
    </row>
    <row r="326" spans="1:13" x14ac:dyDescent="0.2">
      <c r="A326">
        <v>131682</v>
      </c>
      <c r="B326" s="1">
        <v>41.89</v>
      </c>
      <c r="C326" s="1">
        <v>38.32</v>
      </c>
      <c r="D326">
        <v>2618</v>
      </c>
      <c r="E326" t="str">
        <f>_xlfn.XLOOKUP(A326, 'Customer Information'!$A$1:$A$1001, 'Customer Information'!$B$1:$B$1001)</f>
        <v>Medium</v>
      </c>
      <c r="F326" t="str">
        <f>_xlfn.XLOOKUP(A326, 'Customer Information'!$A$1:$A$1001, 'Customer Information'!$C$1:$C$1001)</f>
        <v>Seniors</v>
      </c>
      <c r="G326" t="str">
        <f>_xlfn.XLOOKUP('Customer Information'!A326, 'Customer Information'!$A$1:$A$1001, 'Customer Information'!$D$1:$D$1001)</f>
        <v>Yes</v>
      </c>
      <c r="H326" t="str">
        <f>INDEX('Additional Product Info.'!$A$1:$C$1001, MATCH('Product Positioning'!$A326, 'Additional Product Info.'!$A$1:$A$1001, 0), MATCH('Product Positioning'!H$1, 'Additional Product Info.'!$A$1:$C$1, 0))</f>
        <v>Aisle</v>
      </c>
      <c r="I326" t="str">
        <f>INDEX('Additional Product Info.'!$A$1:$C$1001, MATCH('Product Positioning'!$A326, 'Additional Product Info.'!$A$1:$A$1001, 0), MATCH('Product Positioning'!I$1, 'Additional Product Info.'!$A$1:$C$1, 0))</f>
        <v>Food</v>
      </c>
      <c r="J326" t="str">
        <f>_xlfn.XLOOKUP(A326, $A$1:$A$1001, 'Additional Product Info.'!$D$1:$D$1001)</f>
        <v>Yes</v>
      </c>
      <c r="K326" s="1">
        <f t="shared" si="10"/>
        <v>109668.02</v>
      </c>
      <c r="L326" s="1">
        <f t="shared" si="11"/>
        <v>3.5700000000000003</v>
      </c>
      <c r="M326" t="str">
        <f>IF(L326&lt;=Statistics!$E$6,"Low Difference",IF('Product Positioning'!L326&gt;=Statistics!$E$4,"High Difference","Moderate Difference"))</f>
        <v>Moderate Difference</v>
      </c>
    </row>
    <row r="327" spans="1:13" x14ac:dyDescent="0.2">
      <c r="A327">
        <v>196276</v>
      </c>
      <c r="B327" s="1">
        <v>32.26</v>
      </c>
      <c r="C327" s="1">
        <v>32.14</v>
      </c>
      <c r="D327">
        <v>1046</v>
      </c>
      <c r="E327" t="str">
        <f>_xlfn.XLOOKUP(A327, 'Customer Information'!$A$1:$A$1001, 'Customer Information'!$B$1:$B$1001)</f>
        <v>Medium</v>
      </c>
      <c r="F327" t="str">
        <f>_xlfn.XLOOKUP(A327, 'Customer Information'!$A$1:$A$1001, 'Customer Information'!$C$1:$C$1001)</f>
        <v>Young adults</v>
      </c>
      <c r="G327" t="str">
        <f>_xlfn.XLOOKUP('Customer Information'!A327, 'Customer Information'!$A$1:$A$1001, 'Customer Information'!$D$1:$D$1001)</f>
        <v>No</v>
      </c>
      <c r="H327" t="str">
        <f>INDEX('Additional Product Info.'!$A$1:$C$1001, MATCH('Product Positioning'!$A327, 'Additional Product Info.'!$A$1:$A$1001, 0), MATCH('Product Positioning'!H$1, 'Additional Product Info.'!$A$1:$C$1, 0))</f>
        <v>End-cap</v>
      </c>
      <c r="I327" t="str">
        <f>INDEX('Additional Product Info.'!$A$1:$C$1001, MATCH('Product Positioning'!$A327, 'Additional Product Info.'!$A$1:$A$1001, 0), MATCH('Product Positioning'!I$1, 'Additional Product Info.'!$A$1:$C$1, 0))</f>
        <v>Electronics</v>
      </c>
      <c r="J327" t="str">
        <f>_xlfn.XLOOKUP(A327, $A$1:$A$1001, 'Additional Product Info.'!$D$1:$D$1001)</f>
        <v>No</v>
      </c>
      <c r="K327" s="1">
        <f t="shared" si="10"/>
        <v>33743.96</v>
      </c>
      <c r="L327" s="1">
        <f t="shared" si="11"/>
        <v>0.11999999999999744</v>
      </c>
      <c r="M327" t="str">
        <f>IF(L327&lt;=Statistics!$E$6,"Low Difference",IF('Product Positioning'!L327&gt;=Statistics!$E$4,"High Difference","Moderate Difference"))</f>
        <v>Low Difference</v>
      </c>
    </row>
    <row r="328" spans="1:13" x14ac:dyDescent="0.2">
      <c r="A328">
        <v>190412</v>
      </c>
      <c r="B328" s="1">
        <v>7.35</v>
      </c>
      <c r="C328" s="1">
        <v>4.09</v>
      </c>
      <c r="D328">
        <v>2656</v>
      </c>
      <c r="E328" t="str">
        <f>_xlfn.XLOOKUP(A328, 'Customer Information'!$A$1:$A$1001, 'Customer Information'!$B$1:$B$1001)</f>
        <v>Medium</v>
      </c>
      <c r="F328" t="str">
        <f>_xlfn.XLOOKUP(A328, 'Customer Information'!$A$1:$A$1001, 'Customer Information'!$C$1:$C$1001)</f>
        <v>Young adults</v>
      </c>
      <c r="G328" t="str">
        <f>_xlfn.XLOOKUP('Customer Information'!A328, 'Customer Information'!$A$1:$A$1001, 'Customer Information'!$D$1:$D$1001)</f>
        <v>Yes</v>
      </c>
      <c r="H328" t="str">
        <f>INDEX('Additional Product Info.'!$A$1:$C$1001, MATCH('Product Positioning'!$A328, 'Additional Product Info.'!$A$1:$A$1001, 0), MATCH('Product Positioning'!H$1, 'Additional Product Info.'!$A$1:$C$1, 0))</f>
        <v>Aisle</v>
      </c>
      <c r="I328" t="str">
        <f>INDEX('Additional Product Info.'!$A$1:$C$1001, MATCH('Product Positioning'!$A328, 'Additional Product Info.'!$A$1:$A$1001, 0), MATCH('Product Positioning'!I$1, 'Additional Product Info.'!$A$1:$C$1, 0))</f>
        <v>Electronics</v>
      </c>
      <c r="J328" t="str">
        <f>_xlfn.XLOOKUP(A328, $A$1:$A$1001, 'Additional Product Info.'!$D$1:$D$1001)</f>
        <v>Yes</v>
      </c>
      <c r="K328" s="1">
        <f t="shared" si="10"/>
        <v>19521.599999999999</v>
      </c>
      <c r="L328" s="1">
        <f t="shared" si="11"/>
        <v>3.26</v>
      </c>
      <c r="M328" t="str">
        <f>IF(L328&lt;=Statistics!$E$6,"Low Difference",IF('Product Positioning'!L328&gt;=Statistics!$E$4,"High Difference","Moderate Difference"))</f>
        <v>Moderate Difference</v>
      </c>
    </row>
    <row r="329" spans="1:13" x14ac:dyDescent="0.2">
      <c r="A329">
        <v>149903</v>
      </c>
      <c r="B329" s="1">
        <v>38.17</v>
      </c>
      <c r="C329" s="1">
        <v>36.06</v>
      </c>
      <c r="D329">
        <v>2673</v>
      </c>
      <c r="E329" t="str">
        <f>_xlfn.XLOOKUP(A329, 'Customer Information'!$A$1:$A$1001, 'Customer Information'!$B$1:$B$1001)</f>
        <v>High</v>
      </c>
      <c r="F329" t="str">
        <f>_xlfn.XLOOKUP(A329, 'Customer Information'!$A$1:$A$1001, 'Customer Information'!$C$1:$C$1001)</f>
        <v>Families</v>
      </c>
      <c r="G329" t="str">
        <f>_xlfn.XLOOKUP('Customer Information'!A329, 'Customer Information'!$A$1:$A$1001, 'Customer Information'!$D$1:$D$1001)</f>
        <v>Yes</v>
      </c>
      <c r="H329" t="str">
        <f>INDEX('Additional Product Info.'!$A$1:$C$1001, MATCH('Product Positioning'!$A329, 'Additional Product Info.'!$A$1:$A$1001, 0), MATCH('Product Positioning'!H$1, 'Additional Product Info.'!$A$1:$C$1, 0))</f>
        <v>End-cap</v>
      </c>
      <c r="I329" t="str">
        <f>INDEX('Additional Product Info.'!$A$1:$C$1001, MATCH('Product Positioning'!$A329, 'Additional Product Info.'!$A$1:$A$1001, 0), MATCH('Product Positioning'!I$1, 'Additional Product Info.'!$A$1:$C$1, 0))</f>
        <v>Clothing</v>
      </c>
      <c r="J329" t="str">
        <f>_xlfn.XLOOKUP(A329, $A$1:$A$1001, 'Additional Product Info.'!$D$1:$D$1001)</f>
        <v>Yes</v>
      </c>
      <c r="K329" s="1">
        <f t="shared" si="10"/>
        <v>102028.41</v>
      </c>
      <c r="L329" s="1">
        <f t="shared" si="11"/>
        <v>2.1099999999999994</v>
      </c>
      <c r="M329" t="str">
        <f>IF(L329&lt;=Statistics!$E$6,"Low Difference",IF('Product Positioning'!L329&gt;=Statistics!$E$4,"High Difference","Moderate Difference"))</f>
        <v>Moderate Difference</v>
      </c>
    </row>
    <row r="330" spans="1:13" x14ac:dyDescent="0.2">
      <c r="A330">
        <v>189131</v>
      </c>
      <c r="B330" s="1">
        <v>19.12</v>
      </c>
      <c r="C330" s="1">
        <v>16.5</v>
      </c>
      <c r="D330">
        <v>2424</v>
      </c>
      <c r="E330" t="str">
        <f>_xlfn.XLOOKUP(A330, 'Customer Information'!$A$1:$A$1001, 'Customer Information'!$B$1:$B$1001)</f>
        <v>Low</v>
      </c>
      <c r="F330" t="str">
        <f>_xlfn.XLOOKUP(A330, 'Customer Information'!$A$1:$A$1001, 'Customer Information'!$C$1:$C$1001)</f>
        <v>College students</v>
      </c>
      <c r="G330" t="str">
        <f>_xlfn.XLOOKUP('Customer Information'!A330, 'Customer Information'!$A$1:$A$1001, 'Customer Information'!$D$1:$D$1001)</f>
        <v>Yes</v>
      </c>
      <c r="H330" t="str">
        <f>INDEX('Additional Product Info.'!$A$1:$C$1001, MATCH('Product Positioning'!$A330, 'Additional Product Info.'!$A$1:$A$1001, 0), MATCH('Product Positioning'!H$1, 'Additional Product Info.'!$A$1:$C$1, 0))</f>
        <v>Aisle</v>
      </c>
      <c r="I330" t="str">
        <f>INDEX('Additional Product Info.'!$A$1:$C$1001, MATCH('Product Positioning'!$A330, 'Additional Product Info.'!$A$1:$A$1001, 0), MATCH('Product Positioning'!I$1, 'Additional Product Info.'!$A$1:$C$1, 0))</f>
        <v>Food</v>
      </c>
      <c r="J330" t="str">
        <f>_xlfn.XLOOKUP(A330, $A$1:$A$1001, 'Additional Product Info.'!$D$1:$D$1001)</f>
        <v>No</v>
      </c>
      <c r="K330" s="1">
        <f t="shared" si="10"/>
        <v>46346.880000000005</v>
      </c>
      <c r="L330" s="1">
        <f t="shared" si="11"/>
        <v>2.620000000000001</v>
      </c>
      <c r="M330" t="str">
        <f>IF(L330&lt;=Statistics!$E$6,"Low Difference",IF('Product Positioning'!L330&gt;=Statistics!$E$4,"High Difference","Moderate Difference"))</f>
        <v>Moderate Difference</v>
      </c>
    </row>
    <row r="331" spans="1:13" x14ac:dyDescent="0.2">
      <c r="A331">
        <v>148327</v>
      </c>
      <c r="B331" s="1">
        <v>31.77</v>
      </c>
      <c r="C331" s="1">
        <v>30.3</v>
      </c>
      <c r="D331">
        <v>1717</v>
      </c>
      <c r="E331" t="str">
        <f>_xlfn.XLOOKUP(A331, 'Customer Information'!$A$1:$A$1001, 'Customer Information'!$B$1:$B$1001)</f>
        <v>Low</v>
      </c>
      <c r="F331" t="str">
        <f>_xlfn.XLOOKUP(A331, 'Customer Information'!$A$1:$A$1001, 'Customer Information'!$C$1:$C$1001)</f>
        <v>Young adults</v>
      </c>
      <c r="G331" t="str">
        <f>_xlfn.XLOOKUP('Customer Information'!A331, 'Customer Information'!$A$1:$A$1001, 'Customer Information'!$D$1:$D$1001)</f>
        <v>Yes</v>
      </c>
      <c r="H331" t="str">
        <f>INDEX('Additional Product Info.'!$A$1:$C$1001, MATCH('Product Positioning'!$A331, 'Additional Product Info.'!$A$1:$A$1001, 0), MATCH('Product Positioning'!H$1, 'Additional Product Info.'!$A$1:$C$1, 0))</f>
        <v>Front of Store</v>
      </c>
      <c r="I331" t="str">
        <f>INDEX('Additional Product Info.'!$A$1:$C$1001, MATCH('Product Positioning'!$A331, 'Additional Product Info.'!$A$1:$A$1001, 0), MATCH('Product Positioning'!I$1, 'Additional Product Info.'!$A$1:$C$1, 0))</f>
        <v>Electronics</v>
      </c>
      <c r="J331" t="str">
        <f>_xlfn.XLOOKUP(A331, $A$1:$A$1001, 'Additional Product Info.'!$D$1:$D$1001)</f>
        <v>Yes</v>
      </c>
      <c r="K331" s="1">
        <f t="shared" si="10"/>
        <v>54549.09</v>
      </c>
      <c r="L331" s="1">
        <f t="shared" si="11"/>
        <v>1.4699999999999989</v>
      </c>
      <c r="M331" t="str">
        <f>IF(L331&lt;=Statistics!$E$6,"Low Difference",IF('Product Positioning'!L331&gt;=Statistics!$E$4,"High Difference","Moderate Difference"))</f>
        <v>Moderate Difference</v>
      </c>
    </row>
    <row r="332" spans="1:13" x14ac:dyDescent="0.2">
      <c r="A332">
        <v>189088</v>
      </c>
      <c r="B332" s="1">
        <v>15.93</v>
      </c>
      <c r="C332" s="1">
        <v>14.41</v>
      </c>
      <c r="D332">
        <v>2116</v>
      </c>
      <c r="E332" t="str">
        <f>_xlfn.XLOOKUP(A332, 'Customer Information'!$A$1:$A$1001, 'Customer Information'!$B$1:$B$1001)</f>
        <v>Low</v>
      </c>
      <c r="F332" t="str">
        <f>_xlfn.XLOOKUP(A332, 'Customer Information'!$A$1:$A$1001, 'Customer Information'!$C$1:$C$1001)</f>
        <v>Seniors</v>
      </c>
      <c r="G332" t="str">
        <f>_xlfn.XLOOKUP('Customer Information'!A332, 'Customer Information'!$A$1:$A$1001, 'Customer Information'!$D$1:$D$1001)</f>
        <v>No</v>
      </c>
      <c r="H332" t="str">
        <f>INDEX('Additional Product Info.'!$A$1:$C$1001, MATCH('Product Positioning'!$A332, 'Additional Product Info.'!$A$1:$A$1001, 0), MATCH('Product Positioning'!H$1, 'Additional Product Info.'!$A$1:$C$1, 0))</f>
        <v>Aisle</v>
      </c>
      <c r="I332" t="str">
        <f>INDEX('Additional Product Info.'!$A$1:$C$1001, MATCH('Product Positioning'!$A332, 'Additional Product Info.'!$A$1:$A$1001, 0), MATCH('Product Positioning'!I$1, 'Additional Product Info.'!$A$1:$C$1, 0))</f>
        <v>Electronics</v>
      </c>
      <c r="J332" t="str">
        <f>_xlfn.XLOOKUP(A332, $A$1:$A$1001, 'Additional Product Info.'!$D$1:$D$1001)</f>
        <v>Yes</v>
      </c>
      <c r="K332" s="1">
        <f t="shared" si="10"/>
        <v>33707.879999999997</v>
      </c>
      <c r="L332" s="1">
        <f t="shared" si="11"/>
        <v>1.5199999999999996</v>
      </c>
      <c r="M332" t="str">
        <f>IF(L332&lt;=Statistics!$E$6,"Low Difference",IF('Product Positioning'!L332&gt;=Statistics!$E$4,"High Difference","Moderate Difference"))</f>
        <v>Moderate Difference</v>
      </c>
    </row>
    <row r="333" spans="1:13" x14ac:dyDescent="0.2">
      <c r="A333">
        <v>143305</v>
      </c>
      <c r="B333" s="1">
        <v>13.33</v>
      </c>
      <c r="C333" s="1">
        <v>11.8</v>
      </c>
      <c r="D333">
        <v>2880</v>
      </c>
      <c r="E333" t="str">
        <f>_xlfn.XLOOKUP(A333, 'Customer Information'!$A$1:$A$1001, 'Customer Information'!$B$1:$B$1001)</f>
        <v>Medium</v>
      </c>
      <c r="F333" t="str">
        <f>_xlfn.XLOOKUP(A333, 'Customer Information'!$A$1:$A$1001, 'Customer Information'!$C$1:$C$1001)</f>
        <v>Seniors</v>
      </c>
      <c r="G333" t="str">
        <f>_xlfn.XLOOKUP('Customer Information'!A333, 'Customer Information'!$A$1:$A$1001, 'Customer Information'!$D$1:$D$1001)</f>
        <v>No</v>
      </c>
      <c r="H333" t="str">
        <f>INDEX('Additional Product Info.'!$A$1:$C$1001, MATCH('Product Positioning'!$A333, 'Additional Product Info.'!$A$1:$A$1001, 0), MATCH('Product Positioning'!H$1, 'Additional Product Info.'!$A$1:$C$1, 0))</f>
        <v>Aisle</v>
      </c>
      <c r="I333" t="str">
        <f>INDEX('Additional Product Info.'!$A$1:$C$1001, MATCH('Product Positioning'!$A333, 'Additional Product Info.'!$A$1:$A$1001, 0), MATCH('Product Positioning'!I$1, 'Additional Product Info.'!$A$1:$C$1, 0))</f>
        <v>Food</v>
      </c>
      <c r="J333" t="str">
        <f>_xlfn.XLOOKUP(A333, $A$1:$A$1001, 'Additional Product Info.'!$D$1:$D$1001)</f>
        <v>Yes</v>
      </c>
      <c r="K333" s="1">
        <f t="shared" si="10"/>
        <v>38390.400000000001</v>
      </c>
      <c r="L333" s="1">
        <f t="shared" si="11"/>
        <v>1.5299999999999994</v>
      </c>
      <c r="M333" t="str">
        <f>IF(L333&lt;=Statistics!$E$6,"Low Difference",IF('Product Positioning'!L333&gt;=Statistics!$E$4,"High Difference","Moderate Difference"))</f>
        <v>Moderate Difference</v>
      </c>
    </row>
    <row r="334" spans="1:13" x14ac:dyDescent="0.2">
      <c r="A334">
        <v>180943</v>
      </c>
      <c r="B334" s="1">
        <v>17.48</v>
      </c>
      <c r="C334" s="1">
        <v>13.88</v>
      </c>
      <c r="D334">
        <v>2734</v>
      </c>
      <c r="E334" t="str">
        <f>_xlfn.XLOOKUP(A334, 'Customer Information'!$A$1:$A$1001, 'Customer Information'!$B$1:$B$1001)</f>
        <v>High</v>
      </c>
      <c r="F334" t="str">
        <f>_xlfn.XLOOKUP(A334, 'Customer Information'!$A$1:$A$1001, 'Customer Information'!$C$1:$C$1001)</f>
        <v>College students</v>
      </c>
      <c r="G334" t="str">
        <f>_xlfn.XLOOKUP('Customer Information'!A334, 'Customer Information'!$A$1:$A$1001, 'Customer Information'!$D$1:$D$1001)</f>
        <v>No</v>
      </c>
      <c r="H334" t="str">
        <f>INDEX('Additional Product Info.'!$A$1:$C$1001, MATCH('Product Positioning'!$A334, 'Additional Product Info.'!$A$1:$A$1001, 0), MATCH('Product Positioning'!H$1, 'Additional Product Info.'!$A$1:$C$1, 0))</f>
        <v>Front of Store</v>
      </c>
      <c r="I334" t="str">
        <f>INDEX('Additional Product Info.'!$A$1:$C$1001, MATCH('Product Positioning'!$A334, 'Additional Product Info.'!$A$1:$A$1001, 0), MATCH('Product Positioning'!I$1, 'Additional Product Info.'!$A$1:$C$1, 0))</f>
        <v>Clothing</v>
      </c>
      <c r="J334" t="str">
        <f>_xlfn.XLOOKUP(A334, $A$1:$A$1001, 'Additional Product Info.'!$D$1:$D$1001)</f>
        <v>Yes</v>
      </c>
      <c r="K334" s="1">
        <f t="shared" si="10"/>
        <v>47790.32</v>
      </c>
      <c r="L334" s="1">
        <f t="shared" si="11"/>
        <v>3.5999999999999996</v>
      </c>
      <c r="M334" t="str">
        <f>IF(L334&lt;=Statistics!$E$6,"Low Difference",IF('Product Positioning'!L334&gt;=Statistics!$E$4,"High Difference","Moderate Difference"))</f>
        <v>Moderate Difference</v>
      </c>
    </row>
    <row r="335" spans="1:13" x14ac:dyDescent="0.2">
      <c r="A335">
        <v>152059</v>
      </c>
      <c r="B335" s="1">
        <v>17.05</v>
      </c>
      <c r="C335" s="1">
        <v>12.61</v>
      </c>
      <c r="D335">
        <v>1091</v>
      </c>
      <c r="E335" t="str">
        <f>_xlfn.XLOOKUP(A335, 'Customer Information'!$A$1:$A$1001, 'Customer Information'!$B$1:$B$1001)</f>
        <v>High</v>
      </c>
      <c r="F335" t="str">
        <f>_xlfn.XLOOKUP(A335, 'Customer Information'!$A$1:$A$1001, 'Customer Information'!$C$1:$C$1001)</f>
        <v>Seniors</v>
      </c>
      <c r="G335" t="str">
        <f>_xlfn.XLOOKUP('Customer Information'!A335, 'Customer Information'!$A$1:$A$1001, 'Customer Information'!$D$1:$D$1001)</f>
        <v>No</v>
      </c>
      <c r="H335" t="str">
        <f>INDEX('Additional Product Info.'!$A$1:$C$1001, MATCH('Product Positioning'!$A335, 'Additional Product Info.'!$A$1:$A$1001, 0), MATCH('Product Positioning'!H$1, 'Additional Product Info.'!$A$1:$C$1, 0))</f>
        <v>Front of Store</v>
      </c>
      <c r="I335" t="str">
        <f>INDEX('Additional Product Info.'!$A$1:$C$1001, MATCH('Product Positioning'!$A335, 'Additional Product Info.'!$A$1:$A$1001, 0), MATCH('Product Positioning'!I$1, 'Additional Product Info.'!$A$1:$C$1, 0))</f>
        <v>Clothing</v>
      </c>
      <c r="J335" t="str">
        <f>_xlfn.XLOOKUP(A335, $A$1:$A$1001, 'Additional Product Info.'!$D$1:$D$1001)</f>
        <v>No</v>
      </c>
      <c r="K335" s="1">
        <f t="shared" si="10"/>
        <v>18601.55</v>
      </c>
      <c r="L335" s="1">
        <f t="shared" si="11"/>
        <v>4.4400000000000013</v>
      </c>
      <c r="M335" t="str">
        <f>IF(L335&lt;=Statistics!$E$6,"Low Difference",IF('Product Positioning'!L335&gt;=Statistics!$E$4,"High Difference","Moderate Difference"))</f>
        <v>High Difference</v>
      </c>
    </row>
    <row r="336" spans="1:13" x14ac:dyDescent="0.2">
      <c r="A336">
        <v>133691</v>
      </c>
      <c r="B336" s="1">
        <v>49.8</v>
      </c>
      <c r="C336" s="1">
        <v>48.64</v>
      </c>
      <c r="D336">
        <v>2919</v>
      </c>
      <c r="E336" t="str">
        <f>_xlfn.XLOOKUP(A336, 'Customer Information'!$A$1:$A$1001, 'Customer Information'!$B$1:$B$1001)</f>
        <v>High</v>
      </c>
      <c r="F336" t="str">
        <f>_xlfn.XLOOKUP(A336, 'Customer Information'!$A$1:$A$1001, 'Customer Information'!$C$1:$C$1001)</f>
        <v>Families</v>
      </c>
      <c r="G336" t="str">
        <f>_xlfn.XLOOKUP('Customer Information'!A336, 'Customer Information'!$A$1:$A$1001, 'Customer Information'!$D$1:$D$1001)</f>
        <v>No</v>
      </c>
      <c r="H336" t="str">
        <f>INDEX('Additional Product Info.'!$A$1:$C$1001, MATCH('Product Positioning'!$A336, 'Additional Product Info.'!$A$1:$A$1001, 0), MATCH('Product Positioning'!H$1, 'Additional Product Info.'!$A$1:$C$1, 0))</f>
        <v>Aisle</v>
      </c>
      <c r="I336" t="str">
        <f>INDEX('Additional Product Info.'!$A$1:$C$1001, MATCH('Product Positioning'!$A336, 'Additional Product Info.'!$A$1:$A$1001, 0), MATCH('Product Positioning'!I$1, 'Additional Product Info.'!$A$1:$C$1, 0))</f>
        <v>Electronics</v>
      </c>
      <c r="J336" t="str">
        <f>_xlfn.XLOOKUP(A336, $A$1:$A$1001, 'Additional Product Info.'!$D$1:$D$1001)</f>
        <v>No</v>
      </c>
      <c r="K336" s="1">
        <f t="shared" si="10"/>
        <v>145366.19999999998</v>
      </c>
      <c r="L336" s="1">
        <f t="shared" si="11"/>
        <v>1.1599999999999966</v>
      </c>
      <c r="M336" t="str">
        <f>IF(L336&lt;=Statistics!$E$6,"Low Difference",IF('Product Positioning'!L336&gt;=Statistics!$E$4,"High Difference","Moderate Difference"))</f>
        <v>Low Difference</v>
      </c>
    </row>
    <row r="337" spans="1:13" x14ac:dyDescent="0.2">
      <c r="A337">
        <v>161644</v>
      </c>
      <c r="B337" s="1">
        <v>28.16</v>
      </c>
      <c r="C337" s="1">
        <v>23.86</v>
      </c>
      <c r="D337">
        <v>1145</v>
      </c>
      <c r="E337" t="str">
        <f>_xlfn.XLOOKUP(A337, 'Customer Information'!$A$1:$A$1001, 'Customer Information'!$B$1:$B$1001)</f>
        <v>High</v>
      </c>
      <c r="F337" t="str">
        <f>_xlfn.XLOOKUP(A337, 'Customer Information'!$A$1:$A$1001, 'Customer Information'!$C$1:$C$1001)</f>
        <v>Young adults</v>
      </c>
      <c r="G337" t="str">
        <f>_xlfn.XLOOKUP('Customer Information'!A337, 'Customer Information'!$A$1:$A$1001, 'Customer Information'!$D$1:$D$1001)</f>
        <v>No</v>
      </c>
      <c r="H337" t="str">
        <f>INDEX('Additional Product Info.'!$A$1:$C$1001, MATCH('Product Positioning'!$A337, 'Additional Product Info.'!$A$1:$A$1001, 0), MATCH('Product Positioning'!H$1, 'Additional Product Info.'!$A$1:$C$1, 0))</f>
        <v>End-cap</v>
      </c>
      <c r="I337" t="str">
        <f>INDEX('Additional Product Info.'!$A$1:$C$1001, MATCH('Product Positioning'!$A337, 'Additional Product Info.'!$A$1:$A$1001, 0), MATCH('Product Positioning'!I$1, 'Additional Product Info.'!$A$1:$C$1, 0))</f>
        <v>Food</v>
      </c>
      <c r="J337" t="str">
        <f>_xlfn.XLOOKUP(A337, $A$1:$A$1001, 'Additional Product Info.'!$D$1:$D$1001)</f>
        <v>Yes</v>
      </c>
      <c r="K337" s="1">
        <f t="shared" si="10"/>
        <v>32243.200000000001</v>
      </c>
      <c r="L337" s="1">
        <f t="shared" si="11"/>
        <v>4.3000000000000007</v>
      </c>
      <c r="M337" t="str">
        <f>IF(L337&lt;=Statistics!$E$6,"Low Difference",IF('Product Positioning'!L337&gt;=Statistics!$E$4,"High Difference","Moderate Difference"))</f>
        <v>High Difference</v>
      </c>
    </row>
    <row r="338" spans="1:13" x14ac:dyDescent="0.2">
      <c r="A338">
        <v>132643</v>
      </c>
      <c r="B338" s="1">
        <v>44.21</v>
      </c>
      <c r="C338" s="1">
        <v>43.36</v>
      </c>
      <c r="D338">
        <v>566</v>
      </c>
      <c r="E338" t="str">
        <f>_xlfn.XLOOKUP(A338, 'Customer Information'!$A$1:$A$1001, 'Customer Information'!$B$1:$B$1001)</f>
        <v>High</v>
      </c>
      <c r="F338" t="str">
        <f>_xlfn.XLOOKUP(A338, 'Customer Information'!$A$1:$A$1001, 'Customer Information'!$C$1:$C$1001)</f>
        <v>Families</v>
      </c>
      <c r="G338" t="str">
        <f>_xlfn.XLOOKUP('Customer Information'!A338, 'Customer Information'!$A$1:$A$1001, 'Customer Information'!$D$1:$D$1001)</f>
        <v>No</v>
      </c>
      <c r="H338" t="str">
        <f>INDEX('Additional Product Info.'!$A$1:$C$1001, MATCH('Product Positioning'!$A338, 'Additional Product Info.'!$A$1:$A$1001, 0), MATCH('Product Positioning'!H$1, 'Additional Product Info.'!$A$1:$C$1, 0))</f>
        <v>Aisle</v>
      </c>
      <c r="I338" t="str">
        <f>INDEX('Additional Product Info.'!$A$1:$C$1001, MATCH('Product Positioning'!$A338, 'Additional Product Info.'!$A$1:$A$1001, 0), MATCH('Product Positioning'!I$1, 'Additional Product Info.'!$A$1:$C$1, 0))</f>
        <v>Food</v>
      </c>
      <c r="J338" t="str">
        <f>_xlfn.XLOOKUP(A338, $A$1:$A$1001, 'Additional Product Info.'!$D$1:$D$1001)</f>
        <v>Yes</v>
      </c>
      <c r="K338" s="1">
        <f t="shared" si="10"/>
        <v>25022.86</v>
      </c>
      <c r="L338" s="1">
        <f t="shared" si="11"/>
        <v>0.85000000000000142</v>
      </c>
      <c r="M338" t="str">
        <f>IF(L338&lt;=Statistics!$E$6,"Low Difference",IF('Product Positioning'!L338&gt;=Statistics!$E$4,"High Difference","Moderate Difference"))</f>
        <v>Low Difference</v>
      </c>
    </row>
    <row r="339" spans="1:13" x14ac:dyDescent="0.2">
      <c r="A339">
        <v>162317</v>
      </c>
      <c r="B339" s="1">
        <v>21.33</v>
      </c>
      <c r="C339" s="1">
        <v>18.04</v>
      </c>
      <c r="D339">
        <v>2517</v>
      </c>
      <c r="E339" t="str">
        <f>_xlfn.XLOOKUP(A339, 'Customer Information'!$A$1:$A$1001, 'Customer Information'!$B$1:$B$1001)</f>
        <v>Medium</v>
      </c>
      <c r="F339" t="str">
        <f>_xlfn.XLOOKUP(A339, 'Customer Information'!$A$1:$A$1001, 'Customer Information'!$C$1:$C$1001)</f>
        <v>Young adults</v>
      </c>
      <c r="G339" t="str">
        <f>_xlfn.XLOOKUP('Customer Information'!A339, 'Customer Information'!$A$1:$A$1001, 'Customer Information'!$D$1:$D$1001)</f>
        <v>No</v>
      </c>
      <c r="H339" t="str">
        <f>INDEX('Additional Product Info.'!$A$1:$C$1001, MATCH('Product Positioning'!$A339, 'Additional Product Info.'!$A$1:$A$1001, 0), MATCH('Product Positioning'!H$1, 'Additional Product Info.'!$A$1:$C$1, 0))</f>
        <v>End-cap</v>
      </c>
      <c r="I339" t="str">
        <f>INDEX('Additional Product Info.'!$A$1:$C$1001, MATCH('Product Positioning'!$A339, 'Additional Product Info.'!$A$1:$A$1001, 0), MATCH('Product Positioning'!I$1, 'Additional Product Info.'!$A$1:$C$1, 0))</f>
        <v>Food</v>
      </c>
      <c r="J339" t="str">
        <f>_xlfn.XLOOKUP(A339, $A$1:$A$1001, 'Additional Product Info.'!$D$1:$D$1001)</f>
        <v>Yes</v>
      </c>
      <c r="K339" s="1">
        <f t="shared" si="10"/>
        <v>53687.609999999993</v>
      </c>
      <c r="L339" s="1">
        <f t="shared" si="11"/>
        <v>3.2899999999999991</v>
      </c>
      <c r="M339" t="str">
        <f>IF(L339&lt;=Statistics!$E$6,"Low Difference",IF('Product Positioning'!L339&gt;=Statistics!$E$4,"High Difference","Moderate Difference"))</f>
        <v>Moderate Difference</v>
      </c>
    </row>
    <row r="340" spans="1:13" x14ac:dyDescent="0.2">
      <c r="A340">
        <v>128592</v>
      </c>
      <c r="B340" s="1">
        <v>11.29</v>
      </c>
      <c r="C340" s="1">
        <v>10.38</v>
      </c>
      <c r="D340">
        <v>1086</v>
      </c>
      <c r="E340" t="str">
        <f>_xlfn.XLOOKUP(A340, 'Customer Information'!$A$1:$A$1001, 'Customer Information'!$B$1:$B$1001)</f>
        <v>Medium</v>
      </c>
      <c r="F340" t="str">
        <f>_xlfn.XLOOKUP(A340, 'Customer Information'!$A$1:$A$1001, 'Customer Information'!$C$1:$C$1001)</f>
        <v>Young adults</v>
      </c>
      <c r="G340" t="str">
        <f>_xlfn.XLOOKUP('Customer Information'!A340, 'Customer Information'!$A$1:$A$1001, 'Customer Information'!$D$1:$D$1001)</f>
        <v>No</v>
      </c>
      <c r="H340" t="str">
        <f>INDEX('Additional Product Info.'!$A$1:$C$1001, MATCH('Product Positioning'!$A340, 'Additional Product Info.'!$A$1:$A$1001, 0), MATCH('Product Positioning'!H$1, 'Additional Product Info.'!$A$1:$C$1, 0))</f>
        <v>Front of Store</v>
      </c>
      <c r="I340" t="str">
        <f>INDEX('Additional Product Info.'!$A$1:$C$1001, MATCH('Product Positioning'!$A340, 'Additional Product Info.'!$A$1:$A$1001, 0), MATCH('Product Positioning'!I$1, 'Additional Product Info.'!$A$1:$C$1, 0))</f>
        <v>Food</v>
      </c>
      <c r="J340" t="str">
        <f>_xlfn.XLOOKUP(A340, $A$1:$A$1001, 'Additional Product Info.'!$D$1:$D$1001)</f>
        <v>No</v>
      </c>
      <c r="K340" s="1">
        <f t="shared" si="10"/>
        <v>12260.939999999999</v>
      </c>
      <c r="L340" s="1">
        <f t="shared" si="11"/>
        <v>0.90999999999999837</v>
      </c>
      <c r="M340" t="str">
        <f>IF(L340&lt;=Statistics!$E$6,"Low Difference",IF('Product Positioning'!L340&gt;=Statistics!$E$4,"High Difference","Moderate Difference"))</f>
        <v>Low Difference</v>
      </c>
    </row>
    <row r="341" spans="1:13" x14ac:dyDescent="0.2">
      <c r="A341">
        <v>192892</v>
      </c>
      <c r="B341" s="1">
        <v>35.43</v>
      </c>
      <c r="C341" s="1">
        <v>33.799999999999997</v>
      </c>
      <c r="D341">
        <v>2623</v>
      </c>
      <c r="E341" t="str">
        <f>_xlfn.XLOOKUP(A341, 'Customer Information'!$A$1:$A$1001, 'Customer Information'!$B$1:$B$1001)</f>
        <v>High</v>
      </c>
      <c r="F341" t="str">
        <f>_xlfn.XLOOKUP(A341, 'Customer Information'!$A$1:$A$1001, 'Customer Information'!$C$1:$C$1001)</f>
        <v>Young adults</v>
      </c>
      <c r="G341" t="str">
        <f>_xlfn.XLOOKUP('Customer Information'!A341, 'Customer Information'!$A$1:$A$1001, 'Customer Information'!$D$1:$D$1001)</f>
        <v>Yes</v>
      </c>
      <c r="H341" t="str">
        <f>INDEX('Additional Product Info.'!$A$1:$C$1001, MATCH('Product Positioning'!$A341, 'Additional Product Info.'!$A$1:$A$1001, 0), MATCH('Product Positioning'!H$1, 'Additional Product Info.'!$A$1:$C$1, 0))</f>
        <v>Front of Store</v>
      </c>
      <c r="I341" t="str">
        <f>INDEX('Additional Product Info.'!$A$1:$C$1001, MATCH('Product Positioning'!$A341, 'Additional Product Info.'!$A$1:$A$1001, 0), MATCH('Product Positioning'!I$1, 'Additional Product Info.'!$A$1:$C$1, 0))</f>
        <v>Food</v>
      </c>
      <c r="J341" t="str">
        <f>_xlfn.XLOOKUP(A341, $A$1:$A$1001, 'Additional Product Info.'!$D$1:$D$1001)</f>
        <v>Yes</v>
      </c>
      <c r="K341" s="1">
        <f t="shared" si="10"/>
        <v>92932.89</v>
      </c>
      <c r="L341" s="1">
        <f t="shared" si="11"/>
        <v>1.6300000000000026</v>
      </c>
      <c r="M341" t="str">
        <f>IF(L341&lt;=Statistics!$E$6,"Low Difference",IF('Product Positioning'!L341&gt;=Statistics!$E$4,"High Difference","Moderate Difference"))</f>
        <v>Moderate Difference</v>
      </c>
    </row>
    <row r="342" spans="1:13" x14ac:dyDescent="0.2">
      <c r="A342">
        <v>197147</v>
      </c>
      <c r="B342" s="1">
        <v>44.35</v>
      </c>
      <c r="C342" s="1">
        <v>44.32</v>
      </c>
      <c r="D342">
        <v>2205</v>
      </c>
      <c r="E342" t="str">
        <f>_xlfn.XLOOKUP(A342, 'Customer Information'!$A$1:$A$1001, 'Customer Information'!$B$1:$B$1001)</f>
        <v>Medium</v>
      </c>
      <c r="F342" t="str">
        <f>_xlfn.XLOOKUP(A342, 'Customer Information'!$A$1:$A$1001, 'Customer Information'!$C$1:$C$1001)</f>
        <v>Families</v>
      </c>
      <c r="G342" t="str">
        <f>_xlfn.XLOOKUP('Customer Information'!A342, 'Customer Information'!$A$1:$A$1001, 'Customer Information'!$D$1:$D$1001)</f>
        <v>No</v>
      </c>
      <c r="H342" t="str">
        <f>INDEX('Additional Product Info.'!$A$1:$C$1001, MATCH('Product Positioning'!$A342, 'Additional Product Info.'!$A$1:$A$1001, 0), MATCH('Product Positioning'!H$1, 'Additional Product Info.'!$A$1:$C$1, 0))</f>
        <v>Front of Store</v>
      </c>
      <c r="I342" t="str">
        <f>INDEX('Additional Product Info.'!$A$1:$C$1001, MATCH('Product Positioning'!$A342, 'Additional Product Info.'!$A$1:$A$1001, 0), MATCH('Product Positioning'!I$1, 'Additional Product Info.'!$A$1:$C$1, 0))</f>
        <v>Food</v>
      </c>
      <c r="J342" t="str">
        <f>_xlfn.XLOOKUP(A342, $A$1:$A$1001, 'Additional Product Info.'!$D$1:$D$1001)</f>
        <v>No</v>
      </c>
      <c r="K342" s="1">
        <f t="shared" si="10"/>
        <v>97791.75</v>
      </c>
      <c r="L342" s="1">
        <f t="shared" si="11"/>
        <v>3.0000000000001137E-2</v>
      </c>
      <c r="M342" t="str">
        <f>IF(L342&lt;=Statistics!$E$6,"Low Difference",IF('Product Positioning'!L342&gt;=Statistics!$E$4,"High Difference","Moderate Difference"))</f>
        <v>Low Difference</v>
      </c>
    </row>
    <row r="343" spans="1:13" x14ac:dyDescent="0.2">
      <c r="A343">
        <v>130871</v>
      </c>
      <c r="B343" s="1">
        <v>13.89</v>
      </c>
      <c r="C343" s="1">
        <v>10.9</v>
      </c>
      <c r="D343">
        <v>707</v>
      </c>
      <c r="E343" t="str">
        <f>_xlfn.XLOOKUP(A343, 'Customer Information'!$A$1:$A$1001, 'Customer Information'!$B$1:$B$1001)</f>
        <v>Low</v>
      </c>
      <c r="F343" t="str">
        <f>_xlfn.XLOOKUP(A343, 'Customer Information'!$A$1:$A$1001, 'Customer Information'!$C$1:$C$1001)</f>
        <v>College students</v>
      </c>
      <c r="G343" t="str">
        <f>_xlfn.XLOOKUP('Customer Information'!A343, 'Customer Information'!$A$1:$A$1001, 'Customer Information'!$D$1:$D$1001)</f>
        <v>No</v>
      </c>
      <c r="H343" t="str">
        <f>INDEX('Additional Product Info.'!$A$1:$C$1001, MATCH('Product Positioning'!$A343, 'Additional Product Info.'!$A$1:$A$1001, 0), MATCH('Product Positioning'!H$1, 'Additional Product Info.'!$A$1:$C$1, 0))</f>
        <v>Front of Store</v>
      </c>
      <c r="I343" t="str">
        <f>INDEX('Additional Product Info.'!$A$1:$C$1001, MATCH('Product Positioning'!$A343, 'Additional Product Info.'!$A$1:$A$1001, 0), MATCH('Product Positioning'!I$1, 'Additional Product Info.'!$A$1:$C$1, 0))</f>
        <v>Food</v>
      </c>
      <c r="J343" t="str">
        <f>_xlfn.XLOOKUP(A343, $A$1:$A$1001, 'Additional Product Info.'!$D$1:$D$1001)</f>
        <v>Yes</v>
      </c>
      <c r="K343" s="1">
        <f t="shared" si="10"/>
        <v>9820.23</v>
      </c>
      <c r="L343" s="1">
        <f t="shared" si="11"/>
        <v>2.99</v>
      </c>
      <c r="M343" t="str">
        <f>IF(L343&lt;=Statistics!$E$6,"Low Difference",IF('Product Positioning'!L343&gt;=Statistics!$E$4,"High Difference","Moderate Difference"))</f>
        <v>Moderate Difference</v>
      </c>
    </row>
    <row r="344" spans="1:13" x14ac:dyDescent="0.2">
      <c r="A344">
        <v>184314</v>
      </c>
      <c r="B344" s="1">
        <v>29.6</v>
      </c>
      <c r="C344" s="1">
        <v>25.68</v>
      </c>
      <c r="D344">
        <v>2689</v>
      </c>
      <c r="E344" t="str">
        <f>_xlfn.XLOOKUP(A344, 'Customer Information'!$A$1:$A$1001, 'Customer Information'!$B$1:$B$1001)</f>
        <v>Low</v>
      </c>
      <c r="F344" t="str">
        <f>_xlfn.XLOOKUP(A344, 'Customer Information'!$A$1:$A$1001, 'Customer Information'!$C$1:$C$1001)</f>
        <v>Young adults</v>
      </c>
      <c r="G344" t="str">
        <f>_xlfn.XLOOKUP('Customer Information'!A344, 'Customer Information'!$A$1:$A$1001, 'Customer Information'!$D$1:$D$1001)</f>
        <v>No</v>
      </c>
      <c r="H344" t="str">
        <f>INDEX('Additional Product Info.'!$A$1:$C$1001, MATCH('Product Positioning'!$A344, 'Additional Product Info.'!$A$1:$A$1001, 0), MATCH('Product Positioning'!H$1, 'Additional Product Info.'!$A$1:$C$1, 0))</f>
        <v>Aisle</v>
      </c>
      <c r="I344" t="str">
        <f>INDEX('Additional Product Info.'!$A$1:$C$1001, MATCH('Product Positioning'!$A344, 'Additional Product Info.'!$A$1:$A$1001, 0), MATCH('Product Positioning'!I$1, 'Additional Product Info.'!$A$1:$C$1, 0))</f>
        <v>Clothing</v>
      </c>
      <c r="J344" t="str">
        <f>_xlfn.XLOOKUP(A344, $A$1:$A$1001, 'Additional Product Info.'!$D$1:$D$1001)</f>
        <v>No</v>
      </c>
      <c r="K344" s="1">
        <f t="shared" si="10"/>
        <v>79594.400000000009</v>
      </c>
      <c r="L344" s="1">
        <f t="shared" si="11"/>
        <v>3.9200000000000017</v>
      </c>
      <c r="M344" t="str">
        <f>IF(L344&lt;=Statistics!$E$6,"Low Difference",IF('Product Positioning'!L344&gt;=Statistics!$E$4,"High Difference","Moderate Difference"))</f>
        <v>High Difference</v>
      </c>
    </row>
    <row r="345" spans="1:13" x14ac:dyDescent="0.2">
      <c r="A345">
        <v>131922</v>
      </c>
      <c r="B345" s="1">
        <v>40.96</v>
      </c>
      <c r="C345" s="1">
        <v>37.770000000000003</v>
      </c>
      <c r="D345">
        <v>1544</v>
      </c>
      <c r="E345" t="str">
        <f>_xlfn.XLOOKUP(A345, 'Customer Information'!$A$1:$A$1001, 'Customer Information'!$B$1:$B$1001)</f>
        <v>Low</v>
      </c>
      <c r="F345" t="str">
        <f>_xlfn.XLOOKUP(A345, 'Customer Information'!$A$1:$A$1001, 'Customer Information'!$C$1:$C$1001)</f>
        <v>College students</v>
      </c>
      <c r="G345" t="str">
        <f>_xlfn.XLOOKUP('Customer Information'!A345, 'Customer Information'!$A$1:$A$1001, 'Customer Information'!$D$1:$D$1001)</f>
        <v>Yes</v>
      </c>
      <c r="H345" t="str">
        <f>INDEX('Additional Product Info.'!$A$1:$C$1001, MATCH('Product Positioning'!$A345, 'Additional Product Info.'!$A$1:$A$1001, 0), MATCH('Product Positioning'!H$1, 'Additional Product Info.'!$A$1:$C$1, 0))</f>
        <v>Front of Store</v>
      </c>
      <c r="I345" t="str">
        <f>INDEX('Additional Product Info.'!$A$1:$C$1001, MATCH('Product Positioning'!$A345, 'Additional Product Info.'!$A$1:$A$1001, 0), MATCH('Product Positioning'!I$1, 'Additional Product Info.'!$A$1:$C$1, 0))</f>
        <v>Electronics</v>
      </c>
      <c r="J345" t="str">
        <f>_xlfn.XLOOKUP(A345, $A$1:$A$1001, 'Additional Product Info.'!$D$1:$D$1001)</f>
        <v>Yes</v>
      </c>
      <c r="K345" s="1">
        <f t="shared" si="10"/>
        <v>63242.239999999998</v>
      </c>
      <c r="L345" s="1">
        <f t="shared" si="11"/>
        <v>3.1899999999999977</v>
      </c>
      <c r="M345" t="str">
        <f>IF(L345&lt;=Statistics!$E$6,"Low Difference",IF('Product Positioning'!L345&gt;=Statistics!$E$4,"High Difference","Moderate Difference"))</f>
        <v>Moderate Difference</v>
      </c>
    </row>
    <row r="346" spans="1:13" x14ac:dyDescent="0.2">
      <c r="A346">
        <v>130546</v>
      </c>
      <c r="B346" s="1">
        <v>41.34</v>
      </c>
      <c r="C346" s="1">
        <v>38.01</v>
      </c>
      <c r="D346">
        <v>2776</v>
      </c>
      <c r="E346" t="str">
        <f>_xlfn.XLOOKUP(A346, 'Customer Information'!$A$1:$A$1001, 'Customer Information'!$B$1:$B$1001)</f>
        <v>Medium</v>
      </c>
      <c r="F346" t="str">
        <f>_xlfn.XLOOKUP(A346, 'Customer Information'!$A$1:$A$1001, 'Customer Information'!$C$1:$C$1001)</f>
        <v>Families</v>
      </c>
      <c r="G346" t="str">
        <f>_xlfn.XLOOKUP('Customer Information'!A346, 'Customer Information'!$A$1:$A$1001, 'Customer Information'!$D$1:$D$1001)</f>
        <v>Yes</v>
      </c>
      <c r="H346" t="str">
        <f>INDEX('Additional Product Info.'!$A$1:$C$1001, MATCH('Product Positioning'!$A346, 'Additional Product Info.'!$A$1:$A$1001, 0), MATCH('Product Positioning'!H$1, 'Additional Product Info.'!$A$1:$C$1, 0))</f>
        <v>End-cap</v>
      </c>
      <c r="I346" t="str">
        <f>INDEX('Additional Product Info.'!$A$1:$C$1001, MATCH('Product Positioning'!$A346, 'Additional Product Info.'!$A$1:$A$1001, 0), MATCH('Product Positioning'!I$1, 'Additional Product Info.'!$A$1:$C$1, 0))</f>
        <v>Food</v>
      </c>
      <c r="J346" t="str">
        <f>_xlfn.XLOOKUP(A346, $A$1:$A$1001, 'Additional Product Info.'!$D$1:$D$1001)</f>
        <v>Yes</v>
      </c>
      <c r="K346" s="1">
        <f t="shared" si="10"/>
        <v>114759.84000000001</v>
      </c>
      <c r="L346" s="1">
        <f t="shared" si="11"/>
        <v>3.3300000000000054</v>
      </c>
      <c r="M346" t="str">
        <f>IF(L346&lt;=Statistics!$E$6,"Low Difference",IF('Product Positioning'!L346&gt;=Statistics!$E$4,"High Difference","Moderate Difference"))</f>
        <v>Moderate Difference</v>
      </c>
    </row>
    <row r="347" spans="1:13" x14ac:dyDescent="0.2">
      <c r="A347">
        <v>167541</v>
      </c>
      <c r="B347" s="1">
        <v>20.149999999999999</v>
      </c>
      <c r="C347" s="1">
        <v>15.96</v>
      </c>
      <c r="D347">
        <v>2054</v>
      </c>
      <c r="E347" t="str">
        <f>_xlfn.XLOOKUP(A347, 'Customer Information'!$A$1:$A$1001, 'Customer Information'!$B$1:$B$1001)</f>
        <v>Medium</v>
      </c>
      <c r="F347" t="str">
        <f>_xlfn.XLOOKUP(A347, 'Customer Information'!$A$1:$A$1001, 'Customer Information'!$C$1:$C$1001)</f>
        <v>Seniors</v>
      </c>
      <c r="G347" t="str">
        <f>_xlfn.XLOOKUP('Customer Information'!A347, 'Customer Information'!$A$1:$A$1001, 'Customer Information'!$D$1:$D$1001)</f>
        <v>Yes</v>
      </c>
      <c r="H347" t="str">
        <f>INDEX('Additional Product Info.'!$A$1:$C$1001, MATCH('Product Positioning'!$A347, 'Additional Product Info.'!$A$1:$A$1001, 0), MATCH('Product Positioning'!H$1, 'Additional Product Info.'!$A$1:$C$1, 0))</f>
        <v>End-cap</v>
      </c>
      <c r="I347" t="str">
        <f>INDEX('Additional Product Info.'!$A$1:$C$1001, MATCH('Product Positioning'!$A347, 'Additional Product Info.'!$A$1:$A$1001, 0), MATCH('Product Positioning'!I$1, 'Additional Product Info.'!$A$1:$C$1, 0))</f>
        <v>Clothing</v>
      </c>
      <c r="J347" t="str">
        <f>_xlfn.XLOOKUP(A347, $A$1:$A$1001, 'Additional Product Info.'!$D$1:$D$1001)</f>
        <v>Yes</v>
      </c>
      <c r="K347" s="1">
        <f t="shared" si="10"/>
        <v>41388.1</v>
      </c>
      <c r="L347" s="1">
        <f t="shared" si="11"/>
        <v>4.1899999999999977</v>
      </c>
      <c r="M347" t="str">
        <f>IF(L347&lt;=Statistics!$E$6,"Low Difference",IF('Product Positioning'!L347&gt;=Statistics!$E$4,"High Difference","Moderate Difference"))</f>
        <v>High Difference</v>
      </c>
    </row>
    <row r="348" spans="1:13" x14ac:dyDescent="0.2">
      <c r="A348">
        <v>165128</v>
      </c>
      <c r="B348" s="1">
        <v>5.8</v>
      </c>
      <c r="C348" s="1">
        <v>2.21</v>
      </c>
      <c r="D348">
        <v>1242</v>
      </c>
      <c r="E348" t="str">
        <f>_xlfn.XLOOKUP(A348, 'Customer Information'!$A$1:$A$1001, 'Customer Information'!$B$1:$B$1001)</f>
        <v>Medium</v>
      </c>
      <c r="F348" t="str">
        <f>_xlfn.XLOOKUP(A348, 'Customer Information'!$A$1:$A$1001, 'Customer Information'!$C$1:$C$1001)</f>
        <v>Families</v>
      </c>
      <c r="G348" t="str">
        <f>_xlfn.XLOOKUP('Customer Information'!A348, 'Customer Information'!$A$1:$A$1001, 'Customer Information'!$D$1:$D$1001)</f>
        <v>Yes</v>
      </c>
      <c r="H348" t="str">
        <f>INDEX('Additional Product Info.'!$A$1:$C$1001, MATCH('Product Positioning'!$A348, 'Additional Product Info.'!$A$1:$A$1001, 0), MATCH('Product Positioning'!H$1, 'Additional Product Info.'!$A$1:$C$1, 0))</f>
        <v>Front of Store</v>
      </c>
      <c r="I348" t="str">
        <f>INDEX('Additional Product Info.'!$A$1:$C$1001, MATCH('Product Positioning'!$A348, 'Additional Product Info.'!$A$1:$A$1001, 0), MATCH('Product Positioning'!I$1, 'Additional Product Info.'!$A$1:$C$1, 0))</f>
        <v>Food</v>
      </c>
      <c r="J348" t="str">
        <f>_xlfn.XLOOKUP(A348, $A$1:$A$1001, 'Additional Product Info.'!$D$1:$D$1001)</f>
        <v>No</v>
      </c>
      <c r="K348" s="1">
        <f t="shared" si="10"/>
        <v>7203.5999999999995</v>
      </c>
      <c r="L348" s="1">
        <f t="shared" si="11"/>
        <v>3.59</v>
      </c>
      <c r="M348" t="str">
        <f>IF(L348&lt;=Statistics!$E$6,"Low Difference",IF('Product Positioning'!L348&gt;=Statistics!$E$4,"High Difference","Moderate Difference"))</f>
        <v>Moderate Difference</v>
      </c>
    </row>
    <row r="349" spans="1:13" x14ac:dyDescent="0.2">
      <c r="A349">
        <v>126255</v>
      </c>
      <c r="B349" s="1">
        <v>23.1</v>
      </c>
      <c r="C349" s="1">
        <v>22.97</v>
      </c>
      <c r="D349">
        <v>1195</v>
      </c>
      <c r="E349" t="str">
        <f>_xlfn.XLOOKUP(A349, 'Customer Information'!$A$1:$A$1001, 'Customer Information'!$B$1:$B$1001)</f>
        <v>Low</v>
      </c>
      <c r="F349" t="str">
        <f>_xlfn.XLOOKUP(A349, 'Customer Information'!$A$1:$A$1001, 'Customer Information'!$C$1:$C$1001)</f>
        <v>Seniors</v>
      </c>
      <c r="G349" t="str">
        <f>_xlfn.XLOOKUP('Customer Information'!A349, 'Customer Information'!$A$1:$A$1001, 'Customer Information'!$D$1:$D$1001)</f>
        <v>Yes</v>
      </c>
      <c r="H349" t="str">
        <f>INDEX('Additional Product Info.'!$A$1:$C$1001, MATCH('Product Positioning'!$A349, 'Additional Product Info.'!$A$1:$A$1001, 0), MATCH('Product Positioning'!H$1, 'Additional Product Info.'!$A$1:$C$1, 0))</f>
        <v>Front of Store</v>
      </c>
      <c r="I349" t="str">
        <f>INDEX('Additional Product Info.'!$A$1:$C$1001, MATCH('Product Positioning'!$A349, 'Additional Product Info.'!$A$1:$A$1001, 0), MATCH('Product Positioning'!I$1, 'Additional Product Info.'!$A$1:$C$1, 0))</f>
        <v>Electronics</v>
      </c>
      <c r="J349" t="str">
        <f>_xlfn.XLOOKUP(A349, $A$1:$A$1001, 'Additional Product Info.'!$D$1:$D$1001)</f>
        <v>Yes</v>
      </c>
      <c r="K349" s="1">
        <f t="shared" si="10"/>
        <v>27604.5</v>
      </c>
      <c r="L349" s="1">
        <f t="shared" si="11"/>
        <v>0.13000000000000256</v>
      </c>
      <c r="M349" t="str">
        <f>IF(L349&lt;=Statistics!$E$6,"Low Difference",IF('Product Positioning'!L349&gt;=Statistics!$E$4,"High Difference","Moderate Difference"))</f>
        <v>Low Difference</v>
      </c>
    </row>
    <row r="350" spans="1:13" x14ac:dyDescent="0.2">
      <c r="A350">
        <v>176976</v>
      </c>
      <c r="B350" s="1">
        <v>41.72</v>
      </c>
      <c r="C350" s="1">
        <v>41.7</v>
      </c>
      <c r="D350">
        <v>2825</v>
      </c>
      <c r="E350" t="str">
        <f>_xlfn.XLOOKUP(A350, 'Customer Information'!$A$1:$A$1001, 'Customer Information'!$B$1:$B$1001)</f>
        <v>Low</v>
      </c>
      <c r="F350" t="str">
        <f>_xlfn.XLOOKUP(A350, 'Customer Information'!$A$1:$A$1001, 'Customer Information'!$C$1:$C$1001)</f>
        <v>Seniors</v>
      </c>
      <c r="G350" t="str">
        <f>_xlfn.XLOOKUP('Customer Information'!A350, 'Customer Information'!$A$1:$A$1001, 'Customer Information'!$D$1:$D$1001)</f>
        <v>No</v>
      </c>
      <c r="H350" t="str">
        <f>INDEX('Additional Product Info.'!$A$1:$C$1001, MATCH('Product Positioning'!$A350, 'Additional Product Info.'!$A$1:$A$1001, 0), MATCH('Product Positioning'!H$1, 'Additional Product Info.'!$A$1:$C$1, 0))</f>
        <v>End-cap</v>
      </c>
      <c r="I350" t="str">
        <f>INDEX('Additional Product Info.'!$A$1:$C$1001, MATCH('Product Positioning'!$A350, 'Additional Product Info.'!$A$1:$A$1001, 0), MATCH('Product Positioning'!I$1, 'Additional Product Info.'!$A$1:$C$1, 0))</f>
        <v>Clothing</v>
      </c>
      <c r="J350" t="str">
        <f>_xlfn.XLOOKUP(A350, $A$1:$A$1001, 'Additional Product Info.'!$D$1:$D$1001)</f>
        <v>Yes</v>
      </c>
      <c r="K350" s="1">
        <f t="shared" si="10"/>
        <v>117859</v>
      </c>
      <c r="L350" s="1">
        <f t="shared" si="11"/>
        <v>1.9999999999996021E-2</v>
      </c>
      <c r="M350" t="str">
        <f>IF(L350&lt;=Statistics!$E$6,"Low Difference",IF('Product Positioning'!L350&gt;=Statistics!$E$4,"High Difference","Moderate Difference"))</f>
        <v>Low Difference</v>
      </c>
    </row>
    <row r="351" spans="1:13" x14ac:dyDescent="0.2">
      <c r="A351">
        <v>185599</v>
      </c>
      <c r="B351" s="1">
        <v>24.04</v>
      </c>
      <c r="C351" s="1">
        <v>19.71</v>
      </c>
      <c r="D351">
        <v>2656</v>
      </c>
      <c r="E351" t="str">
        <f>_xlfn.XLOOKUP(A351, 'Customer Information'!$A$1:$A$1001, 'Customer Information'!$B$1:$B$1001)</f>
        <v>Low</v>
      </c>
      <c r="F351" t="str">
        <f>_xlfn.XLOOKUP(A351, 'Customer Information'!$A$1:$A$1001, 'Customer Information'!$C$1:$C$1001)</f>
        <v>Seniors</v>
      </c>
      <c r="G351" t="str">
        <f>_xlfn.XLOOKUP('Customer Information'!A351, 'Customer Information'!$A$1:$A$1001, 'Customer Information'!$D$1:$D$1001)</f>
        <v>No</v>
      </c>
      <c r="H351" t="str">
        <f>INDEX('Additional Product Info.'!$A$1:$C$1001, MATCH('Product Positioning'!$A351, 'Additional Product Info.'!$A$1:$A$1001, 0), MATCH('Product Positioning'!H$1, 'Additional Product Info.'!$A$1:$C$1, 0))</f>
        <v>Aisle</v>
      </c>
      <c r="I351" t="str">
        <f>INDEX('Additional Product Info.'!$A$1:$C$1001, MATCH('Product Positioning'!$A351, 'Additional Product Info.'!$A$1:$A$1001, 0), MATCH('Product Positioning'!I$1, 'Additional Product Info.'!$A$1:$C$1, 0))</f>
        <v>Food</v>
      </c>
      <c r="J351" t="str">
        <f>_xlfn.XLOOKUP(A351, $A$1:$A$1001, 'Additional Product Info.'!$D$1:$D$1001)</f>
        <v>No</v>
      </c>
      <c r="K351" s="1">
        <f t="shared" si="10"/>
        <v>63850.239999999998</v>
      </c>
      <c r="L351" s="1">
        <f t="shared" si="11"/>
        <v>4.3299999999999983</v>
      </c>
      <c r="M351" t="str">
        <f>IF(L351&lt;=Statistics!$E$6,"Low Difference",IF('Product Positioning'!L351&gt;=Statistics!$E$4,"High Difference","Moderate Difference"))</f>
        <v>High Difference</v>
      </c>
    </row>
    <row r="352" spans="1:13" x14ac:dyDescent="0.2">
      <c r="A352">
        <v>167273</v>
      </c>
      <c r="B352" s="1">
        <v>5.55</v>
      </c>
      <c r="C352" s="1">
        <v>3.4</v>
      </c>
      <c r="D352">
        <v>1598</v>
      </c>
      <c r="E352" t="str">
        <f>_xlfn.XLOOKUP(A352, 'Customer Information'!$A$1:$A$1001, 'Customer Information'!$B$1:$B$1001)</f>
        <v>Medium</v>
      </c>
      <c r="F352" t="str">
        <f>_xlfn.XLOOKUP(A352, 'Customer Information'!$A$1:$A$1001, 'Customer Information'!$C$1:$C$1001)</f>
        <v>Families</v>
      </c>
      <c r="G352" t="str">
        <f>_xlfn.XLOOKUP('Customer Information'!A352, 'Customer Information'!$A$1:$A$1001, 'Customer Information'!$D$1:$D$1001)</f>
        <v>No</v>
      </c>
      <c r="H352" t="str">
        <f>INDEX('Additional Product Info.'!$A$1:$C$1001, MATCH('Product Positioning'!$A352, 'Additional Product Info.'!$A$1:$A$1001, 0), MATCH('Product Positioning'!H$1, 'Additional Product Info.'!$A$1:$C$1, 0))</f>
        <v>End-cap</v>
      </c>
      <c r="I352" t="str">
        <f>INDEX('Additional Product Info.'!$A$1:$C$1001, MATCH('Product Positioning'!$A352, 'Additional Product Info.'!$A$1:$A$1001, 0), MATCH('Product Positioning'!I$1, 'Additional Product Info.'!$A$1:$C$1, 0))</f>
        <v>Food</v>
      </c>
      <c r="J352" t="str">
        <f>_xlfn.XLOOKUP(A352, $A$1:$A$1001, 'Additional Product Info.'!$D$1:$D$1001)</f>
        <v>No</v>
      </c>
      <c r="K352" s="1">
        <f t="shared" si="10"/>
        <v>8868.9</v>
      </c>
      <c r="L352" s="1">
        <f t="shared" si="11"/>
        <v>2.15</v>
      </c>
      <c r="M352" t="str">
        <f>IF(L352&lt;=Statistics!$E$6,"Low Difference",IF('Product Positioning'!L352&gt;=Statistics!$E$4,"High Difference","Moderate Difference"))</f>
        <v>Moderate Difference</v>
      </c>
    </row>
    <row r="353" spans="1:13" x14ac:dyDescent="0.2">
      <c r="A353">
        <v>189296</v>
      </c>
      <c r="B353" s="1">
        <v>39</v>
      </c>
      <c r="C353" s="1">
        <v>34.9</v>
      </c>
      <c r="D353">
        <v>1452</v>
      </c>
      <c r="E353" t="str">
        <f>_xlfn.XLOOKUP(A353, 'Customer Information'!$A$1:$A$1001, 'Customer Information'!$B$1:$B$1001)</f>
        <v>High</v>
      </c>
      <c r="F353" t="str">
        <f>_xlfn.XLOOKUP(A353, 'Customer Information'!$A$1:$A$1001, 'Customer Information'!$C$1:$C$1001)</f>
        <v>Families</v>
      </c>
      <c r="G353" t="str">
        <f>_xlfn.XLOOKUP('Customer Information'!A353, 'Customer Information'!$A$1:$A$1001, 'Customer Information'!$D$1:$D$1001)</f>
        <v>Yes</v>
      </c>
      <c r="H353" t="str">
        <f>INDEX('Additional Product Info.'!$A$1:$C$1001, MATCH('Product Positioning'!$A353, 'Additional Product Info.'!$A$1:$A$1001, 0), MATCH('Product Positioning'!H$1, 'Additional Product Info.'!$A$1:$C$1, 0))</f>
        <v>End-cap</v>
      </c>
      <c r="I353" t="str">
        <f>INDEX('Additional Product Info.'!$A$1:$C$1001, MATCH('Product Positioning'!$A353, 'Additional Product Info.'!$A$1:$A$1001, 0), MATCH('Product Positioning'!I$1, 'Additional Product Info.'!$A$1:$C$1, 0))</f>
        <v>Clothing</v>
      </c>
      <c r="J353" t="str">
        <f>_xlfn.XLOOKUP(A353, $A$1:$A$1001, 'Additional Product Info.'!$D$1:$D$1001)</f>
        <v>No</v>
      </c>
      <c r="K353" s="1">
        <f t="shared" si="10"/>
        <v>56628</v>
      </c>
      <c r="L353" s="1">
        <f t="shared" si="11"/>
        <v>4.1000000000000014</v>
      </c>
      <c r="M353" t="str">
        <f>IF(L353&lt;=Statistics!$E$6,"Low Difference",IF('Product Positioning'!L353&gt;=Statistics!$E$4,"High Difference","Moderate Difference"))</f>
        <v>High Difference</v>
      </c>
    </row>
    <row r="354" spans="1:13" x14ac:dyDescent="0.2">
      <c r="A354">
        <v>125082</v>
      </c>
      <c r="B354" s="1">
        <v>29.75</v>
      </c>
      <c r="C354" s="1">
        <v>28.24</v>
      </c>
      <c r="D354">
        <v>1446</v>
      </c>
      <c r="E354" t="str">
        <f>_xlfn.XLOOKUP(A354, 'Customer Information'!$A$1:$A$1001, 'Customer Information'!$B$1:$B$1001)</f>
        <v>Low</v>
      </c>
      <c r="F354" t="str">
        <f>_xlfn.XLOOKUP(A354, 'Customer Information'!$A$1:$A$1001, 'Customer Information'!$C$1:$C$1001)</f>
        <v>College students</v>
      </c>
      <c r="G354" t="str">
        <f>_xlfn.XLOOKUP('Customer Information'!A354, 'Customer Information'!$A$1:$A$1001, 'Customer Information'!$D$1:$D$1001)</f>
        <v>No</v>
      </c>
      <c r="H354" t="str">
        <f>INDEX('Additional Product Info.'!$A$1:$C$1001, MATCH('Product Positioning'!$A354, 'Additional Product Info.'!$A$1:$A$1001, 0), MATCH('Product Positioning'!H$1, 'Additional Product Info.'!$A$1:$C$1, 0))</f>
        <v>End-cap</v>
      </c>
      <c r="I354" t="str">
        <f>INDEX('Additional Product Info.'!$A$1:$C$1001, MATCH('Product Positioning'!$A354, 'Additional Product Info.'!$A$1:$A$1001, 0), MATCH('Product Positioning'!I$1, 'Additional Product Info.'!$A$1:$C$1, 0))</f>
        <v>Electronics</v>
      </c>
      <c r="J354" t="str">
        <f>_xlfn.XLOOKUP(A354, $A$1:$A$1001, 'Additional Product Info.'!$D$1:$D$1001)</f>
        <v>No</v>
      </c>
      <c r="K354" s="1">
        <f t="shared" si="10"/>
        <v>43018.5</v>
      </c>
      <c r="L354" s="1">
        <f t="shared" si="11"/>
        <v>1.5100000000000016</v>
      </c>
      <c r="M354" t="str">
        <f>IF(L354&lt;=Statistics!$E$6,"Low Difference",IF('Product Positioning'!L354&gt;=Statistics!$E$4,"High Difference","Moderate Difference"))</f>
        <v>Moderate Difference</v>
      </c>
    </row>
    <row r="355" spans="1:13" x14ac:dyDescent="0.2">
      <c r="A355">
        <v>116920</v>
      </c>
      <c r="B355" s="1">
        <v>32.25</v>
      </c>
      <c r="C355" s="1">
        <v>29.15</v>
      </c>
      <c r="D355">
        <v>1634</v>
      </c>
      <c r="E355" t="str">
        <f>_xlfn.XLOOKUP(A355, 'Customer Information'!$A$1:$A$1001, 'Customer Information'!$B$1:$B$1001)</f>
        <v>High</v>
      </c>
      <c r="F355" t="str">
        <f>_xlfn.XLOOKUP(A355, 'Customer Information'!$A$1:$A$1001, 'Customer Information'!$C$1:$C$1001)</f>
        <v>Seniors</v>
      </c>
      <c r="G355" t="str">
        <f>_xlfn.XLOOKUP('Customer Information'!A355, 'Customer Information'!$A$1:$A$1001, 'Customer Information'!$D$1:$D$1001)</f>
        <v>Yes</v>
      </c>
      <c r="H355" t="str">
        <f>INDEX('Additional Product Info.'!$A$1:$C$1001, MATCH('Product Positioning'!$A355, 'Additional Product Info.'!$A$1:$A$1001, 0), MATCH('Product Positioning'!H$1, 'Additional Product Info.'!$A$1:$C$1, 0))</f>
        <v>Aisle</v>
      </c>
      <c r="I355" t="str">
        <f>INDEX('Additional Product Info.'!$A$1:$C$1001, MATCH('Product Positioning'!$A355, 'Additional Product Info.'!$A$1:$A$1001, 0), MATCH('Product Positioning'!I$1, 'Additional Product Info.'!$A$1:$C$1, 0))</f>
        <v>Clothing</v>
      </c>
      <c r="J355" t="str">
        <f>_xlfn.XLOOKUP(A355, $A$1:$A$1001, 'Additional Product Info.'!$D$1:$D$1001)</f>
        <v>No</v>
      </c>
      <c r="K355" s="1">
        <f t="shared" si="10"/>
        <v>52696.5</v>
      </c>
      <c r="L355" s="1">
        <f t="shared" si="11"/>
        <v>3.1000000000000014</v>
      </c>
      <c r="M355" t="str">
        <f>IF(L355&lt;=Statistics!$E$6,"Low Difference",IF('Product Positioning'!L355&gt;=Statistics!$E$4,"High Difference","Moderate Difference"))</f>
        <v>Moderate Difference</v>
      </c>
    </row>
    <row r="356" spans="1:13" x14ac:dyDescent="0.2">
      <c r="A356">
        <v>111320</v>
      </c>
      <c r="B356" s="1">
        <v>44.51</v>
      </c>
      <c r="C356" s="1">
        <v>43.38</v>
      </c>
      <c r="D356">
        <v>1098</v>
      </c>
      <c r="E356" t="str">
        <f>_xlfn.XLOOKUP(A356, 'Customer Information'!$A$1:$A$1001, 'Customer Information'!$B$1:$B$1001)</f>
        <v>Medium</v>
      </c>
      <c r="F356" t="str">
        <f>_xlfn.XLOOKUP(A356, 'Customer Information'!$A$1:$A$1001, 'Customer Information'!$C$1:$C$1001)</f>
        <v>Seniors</v>
      </c>
      <c r="G356" t="str">
        <f>_xlfn.XLOOKUP('Customer Information'!A356, 'Customer Information'!$A$1:$A$1001, 'Customer Information'!$D$1:$D$1001)</f>
        <v>No</v>
      </c>
      <c r="H356" t="str">
        <f>INDEX('Additional Product Info.'!$A$1:$C$1001, MATCH('Product Positioning'!$A356, 'Additional Product Info.'!$A$1:$A$1001, 0), MATCH('Product Positioning'!H$1, 'Additional Product Info.'!$A$1:$C$1, 0))</f>
        <v>End-cap</v>
      </c>
      <c r="I356" t="str">
        <f>INDEX('Additional Product Info.'!$A$1:$C$1001, MATCH('Product Positioning'!$A356, 'Additional Product Info.'!$A$1:$A$1001, 0), MATCH('Product Positioning'!I$1, 'Additional Product Info.'!$A$1:$C$1, 0))</f>
        <v>Clothing</v>
      </c>
      <c r="J356" t="str">
        <f>_xlfn.XLOOKUP(A356, $A$1:$A$1001, 'Additional Product Info.'!$D$1:$D$1001)</f>
        <v>Yes</v>
      </c>
      <c r="K356" s="1">
        <f t="shared" si="10"/>
        <v>48871.979999999996</v>
      </c>
      <c r="L356" s="1">
        <f t="shared" si="11"/>
        <v>1.1299999999999955</v>
      </c>
      <c r="M356" t="str">
        <f>IF(L356&lt;=Statistics!$E$6,"Low Difference",IF('Product Positioning'!L356&gt;=Statistics!$E$4,"High Difference","Moderate Difference"))</f>
        <v>Low Difference</v>
      </c>
    </row>
    <row r="357" spans="1:13" x14ac:dyDescent="0.2">
      <c r="A357">
        <v>172247</v>
      </c>
      <c r="B357" s="1">
        <v>11.85</v>
      </c>
      <c r="C357" s="1">
        <v>11</v>
      </c>
      <c r="D357">
        <v>867</v>
      </c>
      <c r="E357" t="str">
        <f>_xlfn.XLOOKUP(A357, 'Customer Information'!$A$1:$A$1001, 'Customer Information'!$B$1:$B$1001)</f>
        <v>Medium</v>
      </c>
      <c r="F357" t="str">
        <f>_xlfn.XLOOKUP(A357, 'Customer Information'!$A$1:$A$1001, 'Customer Information'!$C$1:$C$1001)</f>
        <v>Families</v>
      </c>
      <c r="G357" t="str">
        <f>_xlfn.XLOOKUP('Customer Information'!A357, 'Customer Information'!$A$1:$A$1001, 'Customer Information'!$D$1:$D$1001)</f>
        <v>No</v>
      </c>
      <c r="H357" t="str">
        <f>INDEX('Additional Product Info.'!$A$1:$C$1001, MATCH('Product Positioning'!$A357, 'Additional Product Info.'!$A$1:$A$1001, 0), MATCH('Product Positioning'!H$1, 'Additional Product Info.'!$A$1:$C$1, 0))</f>
        <v>End-cap</v>
      </c>
      <c r="I357" t="str">
        <f>INDEX('Additional Product Info.'!$A$1:$C$1001, MATCH('Product Positioning'!$A357, 'Additional Product Info.'!$A$1:$A$1001, 0), MATCH('Product Positioning'!I$1, 'Additional Product Info.'!$A$1:$C$1, 0))</f>
        <v>Clothing</v>
      </c>
      <c r="J357" t="str">
        <f>_xlfn.XLOOKUP(A357, $A$1:$A$1001, 'Additional Product Info.'!$D$1:$D$1001)</f>
        <v>No</v>
      </c>
      <c r="K357" s="1">
        <f t="shared" si="10"/>
        <v>10273.949999999999</v>
      </c>
      <c r="L357" s="1">
        <f t="shared" si="11"/>
        <v>0.84999999999999964</v>
      </c>
      <c r="M357" t="str">
        <f>IF(L357&lt;=Statistics!$E$6,"Low Difference",IF('Product Positioning'!L357&gt;=Statistics!$E$4,"High Difference","Moderate Difference"))</f>
        <v>Low Difference</v>
      </c>
    </row>
    <row r="358" spans="1:13" x14ac:dyDescent="0.2">
      <c r="A358">
        <v>143462</v>
      </c>
      <c r="B358" s="1">
        <v>33.11</v>
      </c>
      <c r="C358" s="1">
        <v>29.2</v>
      </c>
      <c r="D358">
        <v>2329</v>
      </c>
      <c r="E358" t="str">
        <f>_xlfn.XLOOKUP(A358, 'Customer Information'!$A$1:$A$1001, 'Customer Information'!$B$1:$B$1001)</f>
        <v>High</v>
      </c>
      <c r="F358" t="str">
        <f>_xlfn.XLOOKUP(A358, 'Customer Information'!$A$1:$A$1001, 'Customer Information'!$C$1:$C$1001)</f>
        <v>Seniors</v>
      </c>
      <c r="G358" t="str">
        <f>_xlfn.XLOOKUP('Customer Information'!A358, 'Customer Information'!$A$1:$A$1001, 'Customer Information'!$D$1:$D$1001)</f>
        <v>No</v>
      </c>
      <c r="H358" t="str">
        <f>INDEX('Additional Product Info.'!$A$1:$C$1001, MATCH('Product Positioning'!$A358, 'Additional Product Info.'!$A$1:$A$1001, 0), MATCH('Product Positioning'!H$1, 'Additional Product Info.'!$A$1:$C$1, 0))</f>
        <v>End-cap</v>
      </c>
      <c r="I358" t="str">
        <f>INDEX('Additional Product Info.'!$A$1:$C$1001, MATCH('Product Positioning'!$A358, 'Additional Product Info.'!$A$1:$A$1001, 0), MATCH('Product Positioning'!I$1, 'Additional Product Info.'!$A$1:$C$1, 0))</f>
        <v>Food</v>
      </c>
      <c r="J358" t="str">
        <f>_xlfn.XLOOKUP(A358, $A$1:$A$1001, 'Additional Product Info.'!$D$1:$D$1001)</f>
        <v>No</v>
      </c>
      <c r="K358" s="1">
        <f t="shared" si="10"/>
        <v>77113.19</v>
      </c>
      <c r="L358" s="1">
        <f t="shared" si="11"/>
        <v>3.91</v>
      </c>
      <c r="M358" t="str">
        <f>IF(L358&lt;=Statistics!$E$6,"Low Difference",IF('Product Positioning'!L358&gt;=Statistics!$E$4,"High Difference","Moderate Difference"))</f>
        <v>High Difference</v>
      </c>
    </row>
    <row r="359" spans="1:13" x14ac:dyDescent="0.2">
      <c r="A359">
        <v>125637</v>
      </c>
      <c r="B359" s="1">
        <v>24.67</v>
      </c>
      <c r="C359" s="1">
        <v>21.83</v>
      </c>
      <c r="D359">
        <v>1797</v>
      </c>
      <c r="E359" t="str">
        <f>_xlfn.XLOOKUP(A359, 'Customer Information'!$A$1:$A$1001, 'Customer Information'!$B$1:$B$1001)</f>
        <v>Low</v>
      </c>
      <c r="F359" t="str">
        <f>_xlfn.XLOOKUP(A359, 'Customer Information'!$A$1:$A$1001, 'Customer Information'!$C$1:$C$1001)</f>
        <v>Seniors</v>
      </c>
      <c r="G359" t="str">
        <f>_xlfn.XLOOKUP('Customer Information'!A359, 'Customer Information'!$A$1:$A$1001, 'Customer Information'!$D$1:$D$1001)</f>
        <v>No</v>
      </c>
      <c r="H359" t="str">
        <f>INDEX('Additional Product Info.'!$A$1:$C$1001, MATCH('Product Positioning'!$A359, 'Additional Product Info.'!$A$1:$A$1001, 0), MATCH('Product Positioning'!H$1, 'Additional Product Info.'!$A$1:$C$1, 0))</f>
        <v>Front of Store</v>
      </c>
      <c r="I359" t="str">
        <f>INDEX('Additional Product Info.'!$A$1:$C$1001, MATCH('Product Positioning'!$A359, 'Additional Product Info.'!$A$1:$A$1001, 0), MATCH('Product Positioning'!I$1, 'Additional Product Info.'!$A$1:$C$1, 0))</f>
        <v>Clothing</v>
      </c>
      <c r="J359" t="str">
        <f>_xlfn.XLOOKUP(A359, $A$1:$A$1001, 'Additional Product Info.'!$D$1:$D$1001)</f>
        <v>Yes</v>
      </c>
      <c r="K359" s="1">
        <f t="shared" si="10"/>
        <v>44331.990000000005</v>
      </c>
      <c r="L359" s="1">
        <f t="shared" si="11"/>
        <v>2.8400000000000034</v>
      </c>
      <c r="M359" t="str">
        <f>IF(L359&lt;=Statistics!$E$6,"Low Difference",IF('Product Positioning'!L359&gt;=Statistics!$E$4,"High Difference","Moderate Difference"))</f>
        <v>Moderate Difference</v>
      </c>
    </row>
    <row r="360" spans="1:13" x14ac:dyDescent="0.2">
      <c r="A360">
        <v>115827</v>
      </c>
      <c r="B360" s="1">
        <v>8.9</v>
      </c>
      <c r="C360" s="1">
        <v>5.4</v>
      </c>
      <c r="D360">
        <v>2636</v>
      </c>
      <c r="E360" t="str">
        <f>_xlfn.XLOOKUP(A360, 'Customer Information'!$A$1:$A$1001, 'Customer Information'!$B$1:$B$1001)</f>
        <v>Medium</v>
      </c>
      <c r="F360" t="str">
        <f>_xlfn.XLOOKUP(A360, 'Customer Information'!$A$1:$A$1001, 'Customer Information'!$C$1:$C$1001)</f>
        <v>Families</v>
      </c>
      <c r="G360" t="str">
        <f>_xlfn.XLOOKUP('Customer Information'!A360, 'Customer Information'!$A$1:$A$1001, 'Customer Information'!$D$1:$D$1001)</f>
        <v>Yes</v>
      </c>
      <c r="H360" t="str">
        <f>INDEX('Additional Product Info.'!$A$1:$C$1001, MATCH('Product Positioning'!$A360, 'Additional Product Info.'!$A$1:$A$1001, 0), MATCH('Product Positioning'!H$1, 'Additional Product Info.'!$A$1:$C$1, 0))</f>
        <v>End-cap</v>
      </c>
      <c r="I360" t="str">
        <f>INDEX('Additional Product Info.'!$A$1:$C$1001, MATCH('Product Positioning'!$A360, 'Additional Product Info.'!$A$1:$A$1001, 0), MATCH('Product Positioning'!I$1, 'Additional Product Info.'!$A$1:$C$1, 0))</f>
        <v>Clothing</v>
      </c>
      <c r="J360" t="str">
        <f>_xlfn.XLOOKUP(A360, $A$1:$A$1001, 'Additional Product Info.'!$D$1:$D$1001)</f>
        <v>Yes</v>
      </c>
      <c r="K360" s="1">
        <f t="shared" si="10"/>
        <v>23460.400000000001</v>
      </c>
      <c r="L360" s="1">
        <f t="shared" si="11"/>
        <v>3.5</v>
      </c>
      <c r="M360" t="str">
        <f>IF(L360&lt;=Statistics!$E$6,"Low Difference",IF('Product Positioning'!L360&gt;=Statistics!$E$4,"High Difference","Moderate Difference"))</f>
        <v>Moderate Difference</v>
      </c>
    </row>
    <row r="361" spans="1:13" x14ac:dyDescent="0.2">
      <c r="A361">
        <v>183225</v>
      </c>
      <c r="B361" s="1">
        <v>37.72</v>
      </c>
      <c r="C361" s="1">
        <v>37.14</v>
      </c>
      <c r="D361">
        <v>2659</v>
      </c>
      <c r="E361" t="str">
        <f>_xlfn.XLOOKUP(A361, 'Customer Information'!$A$1:$A$1001, 'Customer Information'!$B$1:$B$1001)</f>
        <v>Low</v>
      </c>
      <c r="F361" t="str">
        <f>_xlfn.XLOOKUP(A361, 'Customer Information'!$A$1:$A$1001, 'Customer Information'!$C$1:$C$1001)</f>
        <v>Young adults</v>
      </c>
      <c r="G361" t="str">
        <f>_xlfn.XLOOKUP('Customer Information'!A361, 'Customer Information'!$A$1:$A$1001, 'Customer Information'!$D$1:$D$1001)</f>
        <v>Yes</v>
      </c>
      <c r="H361" t="str">
        <f>INDEX('Additional Product Info.'!$A$1:$C$1001, MATCH('Product Positioning'!$A361, 'Additional Product Info.'!$A$1:$A$1001, 0), MATCH('Product Positioning'!H$1, 'Additional Product Info.'!$A$1:$C$1, 0))</f>
        <v>End-cap</v>
      </c>
      <c r="I361" t="str">
        <f>INDEX('Additional Product Info.'!$A$1:$C$1001, MATCH('Product Positioning'!$A361, 'Additional Product Info.'!$A$1:$A$1001, 0), MATCH('Product Positioning'!I$1, 'Additional Product Info.'!$A$1:$C$1, 0))</f>
        <v>Food</v>
      </c>
      <c r="J361" t="str">
        <f>_xlfn.XLOOKUP(A361, $A$1:$A$1001, 'Additional Product Info.'!$D$1:$D$1001)</f>
        <v>No</v>
      </c>
      <c r="K361" s="1">
        <f t="shared" si="10"/>
        <v>100297.48</v>
      </c>
      <c r="L361" s="1">
        <f t="shared" si="11"/>
        <v>0.57999999999999829</v>
      </c>
      <c r="M361" t="str">
        <f>IF(L361&lt;=Statistics!$E$6,"Low Difference",IF('Product Positioning'!L361&gt;=Statistics!$E$4,"High Difference","Moderate Difference"))</f>
        <v>Low Difference</v>
      </c>
    </row>
    <row r="362" spans="1:13" x14ac:dyDescent="0.2">
      <c r="A362">
        <v>133283</v>
      </c>
      <c r="B362" s="1">
        <v>30.44</v>
      </c>
      <c r="C362" s="1">
        <v>28.74</v>
      </c>
      <c r="D362">
        <v>1937</v>
      </c>
      <c r="E362" t="str">
        <f>_xlfn.XLOOKUP(A362, 'Customer Information'!$A$1:$A$1001, 'Customer Information'!$B$1:$B$1001)</f>
        <v>High</v>
      </c>
      <c r="F362" t="str">
        <f>_xlfn.XLOOKUP(A362, 'Customer Information'!$A$1:$A$1001, 'Customer Information'!$C$1:$C$1001)</f>
        <v>Young adults</v>
      </c>
      <c r="G362" t="str">
        <f>_xlfn.XLOOKUP('Customer Information'!A362, 'Customer Information'!$A$1:$A$1001, 'Customer Information'!$D$1:$D$1001)</f>
        <v>Yes</v>
      </c>
      <c r="H362" t="str">
        <f>INDEX('Additional Product Info.'!$A$1:$C$1001, MATCH('Product Positioning'!$A362, 'Additional Product Info.'!$A$1:$A$1001, 0), MATCH('Product Positioning'!H$1, 'Additional Product Info.'!$A$1:$C$1, 0))</f>
        <v>Aisle</v>
      </c>
      <c r="I362" t="str">
        <f>INDEX('Additional Product Info.'!$A$1:$C$1001, MATCH('Product Positioning'!$A362, 'Additional Product Info.'!$A$1:$A$1001, 0), MATCH('Product Positioning'!I$1, 'Additional Product Info.'!$A$1:$C$1, 0))</f>
        <v>Electronics</v>
      </c>
      <c r="J362" t="str">
        <f>_xlfn.XLOOKUP(A362, $A$1:$A$1001, 'Additional Product Info.'!$D$1:$D$1001)</f>
        <v>No</v>
      </c>
      <c r="K362" s="1">
        <f t="shared" si="10"/>
        <v>58962.280000000006</v>
      </c>
      <c r="L362" s="1">
        <f t="shared" si="11"/>
        <v>1.7000000000000028</v>
      </c>
      <c r="M362" t="str">
        <f>IF(L362&lt;=Statistics!$E$6,"Low Difference",IF('Product Positioning'!L362&gt;=Statistics!$E$4,"High Difference","Moderate Difference"))</f>
        <v>Moderate Difference</v>
      </c>
    </row>
    <row r="363" spans="1:13" x14ac:dyDescent="0.2">
      <c r="A363">
        <v>164389</v>
      </c>
      <c r="B363" s="1">
        <v>23.18</v>
      </c>
      <c r="C363" s="1">
        <v>19.440000000000001</v>
      </c>
      <c r="D363">
        <v>946</v>
      </c>
      <c r="E363" t="str">
        <f>_xlfn.XLOOKUP(A363, 'Customer Information'!$A$1:$A$1001, 'Customer Information'!$B$1:$B$1001)</f>
        <v>Low</v>
      </c>
      <c r="F363" t="str">
        <f>_xlfn.XLOOKUP(A363, 'Customer Information'!$A$1:$A$1001, 'Customer Information'!$C$1:$C$1001)</f>
        <v>Families</v>
      </c>
      <c r="G363" t="str">
        <f>_xlfn.XLOOKUP('Customer Information'!A363, 'Customer Information'!$A$1:$A$1001, 'Customer Information'!$D$1:$D$1001)</f>
        <v>No</v>
      </c>
      <c r="H363" t="str">
        <f>INDEX('Additional Product Info.'!$A$1:$C$1001, MATCH('Product Positioning'!$A363, 'Additional Product Info.'!$A$1:$A$1001, 0), MATCH('Product Positioning'!H$1, 'Additional Product Info.'!$A$1:$C$1, 0))</f>
        <v>Front of Store</v>
      </c>
      <c r="I363" t="str">
        <f>INDEX('Additional Product Info.'!$A$1:$C$1001, MATCH('Product Positioning'!$A363, 'Additional Product Info.'!$A$1:$A$1001, 0), MATCH('Product Positioning'!I$1, 'Additional Product Info.'!$A$1:$C$1, 0))</f>
        <v>Electronics</v>
      </c>
      <c r="J363" t="str">
        <f>_xlfn.XLOOKUP(A363, $A$1:$A$1001, 'Additional Product Info.'!$D$1:$D$1001)</f>
        <v>Yes</v>
      </c>
      <c r="K363" s="1">
        <f t="shared" si="10"/>
        <v>21928.28</v>
      </c>
      <c r="L363" s="1">
        <f t="shared" si="11"/>
        <v>3.7399999999999984</v>
      </c>
      <c r="M363" t="str">
        <f>IF(L363&lt;=Statistics!$E$6,"Low Difference",IF('Product Positioning'!L363&gt;=Statistics!$E$4,"High Difference","Moderate Difference"))</f>
        <v>High Difference</v>
      </c>
    </row>
    <row r="364" spans="1:13" x14ac:dyDescent="0.2">
      <c r="A364">
        <v>163108</v>
      </c>
      <c r="B364" s="1">
        <v>9.48</v>
      </c>
      <c r="C364" s="1">
        <v>8.56</v>
      </c>
      <c r="D364">
        <v>2015</v>
      </c>
      <c r="E364" t="str">
        <f>_xlfn.XLOOKUP(A364, 'Customer Information'!$A$1:$A$1001, 'Customer Information'!$B$1:$B$1001)</f>
        <v>Low</v>
      </c>
      <c r="F364" t="str">
        <f>_xlfn.XLOOKUP(A364, 'Customer Information'!$A$1:$A$1001, 'Customer Information'!$C$1:$C$1001)</f>
        <v>Seniors</v>
      </c>
      <c r="G364" t="str">
        <f>_xlfn.XLOOKUP('Customer Information'!A364, 'Customer Information'!$A$1:$A$1001, 'Customer Information'!$D$1:$D$1001)</f>
        <v>No</v>
      </c>
      <c r="H364" t="str">
        <f>INDEX('Additional Product Info.'!$A$1:$C$1001, MATCH('Product Positioning'!$A364, 'Additional Product Info.'!$A$1:$A$1001, 0), MATCH('Product Positioning'!H$1, 'Additional Product Info.'!$A$1:$C$1, 0))</f>
        <v>Aisle</v>
      </c>
      <c r="I364" t="str">
        <f>INDEX('Additional Product Info.'!$A$1:$C$1001, MATCH('Product Positioning'!$A364, 'Additional Product Info.'!$A$1:$A$1001, 0), MATCH('Product Positioning'!I$1, 'Additional Product Info.'!$A$1:$C$1, 0))</f>
        <v>Clothing</v>
      </c>
      <c r="J364" t="str">
        <f>_xlfn.XLOOKUP(A364, $A$1:$A$1001, 'Additional Product Info.'!$D$1:$D$1001)</f>
        <v>Yes</v>
      </c>
      <c r="K364" s="1">
        <f t="shared" si="10"/>
        <v>19102.2</v>
      </c>
      <c r="L364" s="1">
        <f t="shared" si="11"/>
        <v>0.91999999999999993</v>
      </c>
      <c r="M364" t="str">
        <f>IF(L364&lt;=Statistics!$E$6,"Low Difference",IF('Product Positioning'!L364&gt;=Statistics!$E$4,"High Difference","Moderate Difference"))</f>
        <v>Low Difference</v>
      </c>
    </row>
    <row r="365" spans="1:13" x14ac:dyDescent="0.2">
      <c r="A365">
        <v>160121</v>
      </c>
      <c r="B365" s="1">
        <v>45.89</v>
      </c>
      <c r="C365" s="1">
        <v>42.27</v>
      </c>
      <c r="D365">
        <v>1826</v>
      </c>
      <c r="E365" t="str">
        <f>_xlfn.XLOOKUP(A365, 'Customer Information'!$A$1:$A$1001, 'Customer Information'!$B$1:$B$1001)</f>
        <v>Medium</v>
      </c>
      <c r="F365" t="str">
        <f>_xlfn.XLOOKUP(A365, 'Customer Information'!$A$1:$A$1001, 'Customer Information'!$C$1:$C$1001)</f>
        <v>Young adults</v>
      </c>
      <c r="G365" t="str">
        <f>_xlfn.XLOOKUP('Customer Information'!A365, 'Customer Information'!$A$1:$A$1001, 'Customer Information'!$D$1:$D$1001)</f>
        <v>Yes</v>
      </c>
      <c r="H365" t="str">
        <f>INDEX('Additional Product Info.'!$A$1:$C$1001, MATCH('Product Positioning'!$A365, 'Additional Product Info.'!$A$1:$A$1001, 0), MATCH('Product Positioning'!H$1, 'Additional Product Info.'!$A$1:$C$1, 0))</f>
        <v>Aisle</v>
      </c>
      <c r="I365" t="str">
        <f>INDEX('Additional Product Info.'!$A$1:$C$1001, MATCH('Product Positioning'!$A365, 'Additional Product Info.'!$A$1:$A$1001, 0), MATCH('Product Positioning'!I$1, 'Additional Product Info.'!$A$1:$C$1, 0))</f>
        <v>Food</v>
      </c>
      <c r="J365" t="str">
        <f>_xlfn.XLOOKUP(A365, $A$1:$A$1001, 'Additional Product Info.'!$D$1:$D$1001)</f>
        <v>Yes</v>
      </c>
      <c r="K365" s="1">
        <f t="shared" si="10"/>
        <v>83795.14</v>
      </c>
      <c r="L365" s="1">
        <f t="shared" si="11"/>
        <v>3.6199999999999974</v>
      </c>
      <c r="M365" t="str">
        <f>IF(L365&lt;=Statistics!$E$6,"Low Difference",IF('Product Positioning'!L365&gt;=Statistics!$E$4,"High Difference","Moderate Difference"))</f>
        <v>Moderate Difference</v>
      </c>
    </row>
    <row r="366" spans="1:13" x14ac:dyDescent="0.2">
      <c r="A366">
        <v>141116</v>
      </c>
      <c r="B366" s="1">
        <v>13.57</v>
      </c>
      <c r="C366" s="1">
        <v>13.42</v>
      </c>
      <c r="D366">
        <v>2175</v>
      </c>
      <c r="E366" t="str">
        <f>_xlfn.XLOOKUP(A366, 'Customer Information'!$A$1:$A$1001, 'Customer Information'!$B$1:$B$1001)</f>
        <v>Low</v>
      </c>
      <c r="F366" t="str">
        <f>_xlfn.XLOOKUP(A366, 'Customer Information'!$A$1:$A$1001, 'Customer Information'!$C$1:$C$1001)</f>
        <v>College students</v>
      </c>
      <c r="G366" t="str">
        <f>_xlfn.XLOOKUP('Customer Information'!A366, 'Customer Information'!$A$1:$A$1001, 'Customer Information'!$D$1:$D$1001)</f>
        <v>Yes</v>
      </c>
      <c r="H366" t="str">
        <f>INDEX('Additional Product Info.'!$A$1:$C$1001, MATCH('Product Positioning'!$A366, 'Additional Product Info.'!$A$1:$A$1001, 0), MATCH('Product Positioning'!H$1, 'Additional Product Info.'!$A$1:$C$1, 0))</f>
        <v>Front of Store</v>
      </c>
      <c r="I366" t="str">
        <f>INDEX('Additional Product Info.'!$A$1:$C$1001, MATCH('Product Positioning'!$A366, 'Additional Product Info.'!$A$1:$A$1001, 0), MATCH('Product Positioning'!I$1, 'Additional Product Info.'!$A$1:$C$1, 0))</f>
        <v>Clothing</v>
      </c>
      <c r="J366" t="str">
        <f>_xlfn.XLOOKUP(A366, $A$1:$A$1001, 'Additional Product Info.'!$D$1:$D$1001)</f>
        <v>Yes</v>
      </c>
      <c r="K366" s="1">
        <f t="shared" si="10"/>
        <v>29514.75</v>
      </c>
      <c r="L366" s="1">
        <f t="shared" si="11"/>
        <v>0.15000000000000036</v>
      </c>
      <c r="M366" t="str">
        <f>IF(L366&lt;=Statistics!$E$6,"Low Difference",IF('Product Positioning'!L366&gt;=Statistics!$E$4,"High Difference","Moderate Difference"))</f>
        <v>Low Difference</v>
      </c>
    </row>
    <row r="367" spans="1:13" x14ac:dyDescent="0.2">
      <c r="A367">
        <v>157901</v>
      </c>
      <c r="B367" s="1">
        <v>44.95</v>
      </c>
      <c r="C367" s="1">
        <v>44.81</v>
      </c>
      <c r="D367">
        <v>2429</v>
      </c>
      <c r="E367" t="str">
        <f>_xlfn.XLOOKUP(A367, 'Customer Information'!$A$1:$A$1001, 'Customer Information'!$B$1:$B$1001)</f>
        <v>High</v>
      </c>
      <c r="F367" t="str">
        <f>_xlfn.XLOOKUP(A367, 'Customer Information'!$A$1:$A$1001, 'Customer Information'!$C$1:$C$1001)</f>
        <v>Seniors</v>
      </c>
      <c r="G367" t="str">
        <f>_xlfn.XLOOKUP('Customer Information'!A367, 'Customer Information'!$A$1:$A$1001, 'Customer Information'!$D$1:$D$1001)</f>
        <v>Yes</v>
      </c>
      <c r="H367" t="str">
        <f>INDEX('Additional Product Info.'!$A$1:$C$1001, MATCH('Product Positioning'!$A367, 'Additional Product Info.'!$A$1:$A$1001, 0), MATCH('Product Positioning'!H$1, 'Additional Product Info.'!$A$1:$C$1, 0))</f>
        <v>End-cap</v>
      </c>
      <c r="I367" t="str">
        <f>INDEX('Additional Product Info.'!$A$1:$C$1001, MATCH('Product Positioning'!$A367, 'Additional Product Info.'!$A$1:$A$1001, 0), MATCH('Product Positioning'!I$1, 'Additional Product Info.'!$A$1:$C$1, 0))</f>
        <v>Clothing</v>
      </c>
      <c r="J367" t="str">
        <f>_xlfn.XLOOKUP(A367, $A$1:$A$1001, 'Additional Product Info.'!$D$1:$D$1001)</f>
        <v>No</v>
      </c>
      <c r="K367" s="1">
        <f t="shared" si="10"/>
        <v>109183.55</v>
      </c>
      <c r="L367" s="1">
        <f t="shared" si="11"/>
        <v>0.14000000000000057</v>
      </c>
      <c r="M367" t="str">
        <f>IF(L367&lt;=Statistics!$E$6,"Low Difference",IF('Product Positioning'!L367&gt;=Statistics!$E$4,"High Difference","Moderate Difference"))</f>
        <v>Low Difference</v>
      </c>
    </row>
    <row r="368" spans="1:13" x14ac:dyDescent="0.2">
      <c r="A368">
        <v>165017</v>
      </c>
      <c r="B368" s="1">
        <v>29.79</v>
      </c>
      <c r="C368" s="1">
        <v>28.21</v>
      </c>
      <c r="D368">
        <v>2257</v>
      </c>
      <c r="E368" t="str">
        <f>_xlfn.XLOOKUP(A368, 'Customer Information'!$A$1:$A$1001, 'Customer Information'!$B$1:$B$1001)</f>
        <v>Medium</v>
      </c>
      <c r="F368" t="str">
        <f>_xlfn.XLOOKUP(A368, 'Customer Information'!$A$1:$A$1001, 'Customer Information'!$C$1:$C$1001)</f>
        <v>Seniors</v>
      </c>
      <c r="G368" t="str">
        <f>_xlfn.XLOOKUP('Customer Information'!A368, 'Customer Information'!$A$1:$A$1001, 'Customer Information'!$D$1:$D$1001)</f>
        <v>Yes</v>
      </c>
      <c r="H368" t="str">
        <f>INDEX('Additional Product Info.'!$A$1:$C$1001, MATCH('Product Positioning'!$A368, 'Additional Product Info.'!$A$1:$A$1001, 0), MATCH('Product Positioning'!H$1, 'Additional Product Info.'!$A$1:$C$1, 0))</f>
        <v>Aisle</v>
      </c>
      <c r="I368" t="str">
        <f>INDEX('Additional Product Info.'!$A$1:$C$1001, MATCH('Product Positioning'!$A368, 'Additional Product Info.'!$A$1:$A$1001, 0), MATCH('Product Positioning'!I$1, 'Additional Product Info.'!$A$1:$C$1, 0))</f>
        <v>Food</v>
      </c>
      <c r="J368" t="str">
        <f>_xlfn.XLOOKUP(A368, $A$1:$A$1001, 'Additional Product Info.'!$D$1:$D$1001)</f>
        <v>Yes</v>
      </c>
      <c r="K368" s="1">
        <f t="shared" si="10"/>
        <v>67236.03</v>
      </c>
      <c r="L368" s="1">
        <f t="shared" si="11"/>
        <v>1.5799999999999983</v>
      </c>
      <c r="M368" t="str">
        <f>IF(L368&lt;=Statistics!$E$6,"Low Difference",IF('Product Positioning'!L368&gt;=Statistics!$E$4,"High Difference","Moderate Difference"))</f>
        <v>Moderate Difference</v>
      </c>
    </row>
    <row r="369" spans="1:13" x14ac:dyDescent="0.2">
      <c r="A369">
        <v>165689</v>
      </c>
      <c r="B369" s="1">
        <v>41.01</v>
      </c>
      <c r="C369" s="1">
        <v>39.78</v>
      </c>
      <c r="D369">
        <v>696</v>
      </c>
      <c r="E369" t="str">
        <f>_xlfn.XLOOKUP(A369, 'Customer Information'!$A$1:$A$1001, 'Customer Information'!$B$1:$B$1001)</f>
        <v>Medium</v>
      </c>
      <c r="F369" t="str">
        <f>_xlfn.XLOOKUP(A369, 'Customer Information'!$A$1:$A$1001, 'Customer Information'!$C$1:$C$1001)</f>
        <v>Families</v>
      </c>
      <c r="G369" t="str">
        <f>_xlfn.XLOOKUP('Customer Information'!A369, 'Customer Information'!$A$1:$A$1001, 'Customer Information'!$D$1:$D$1001)</f>
        <v>No</v>
      </c>
      <c r="H369" t="str">
        <f>INDEX('Additional Product Info.'!$A$1:$C$1001, MATCH('Product Positioning'!$A369, 'Additional Product Info.'!$A$1:$A$1001, 0), MATCH('Product Positioning'!H$1, 'Additional Product Info.'!$A$1:$C$1, 0))</f>
        <v>End-cap</v>
      </c>
      <c r="I369" t="str">
        <f>INDEX('Additional Product Info.'!$A$1:$C$1001, MATCH('Product Positioning'!$A369, 'Additional Product Info.'!$A$1:$A$1001, 0), MATCH('Product Positioning'!I$1, 'Additional Product Info.'!$A$1:$C$1, 0))</f>
        <v>Food</v>
      </c>
      <c r="J369" t="str">
        <f>_xlfn.XLOOKUP(A369, $A$1:$A$1001, 'Additional Product Info.'!$D$1:$D$1001)</f>
        <v>No</v>
      </c>
      <c r="K369" s="1">
        <f t="shared" si="10"/>
        <v>28542.959999999999</v>
      </c>
      <c r="L369" s="1">
        <f t="shared" si="11"/>
        <v>1.2299999999999969</v>
      </c>
      <c r="M369" t="str">
        <f>IF(L369&lt;=Statistics!$E$6,"Low Difference",IF('Product Positioning'!L369&gt;=Statistics!$E$4,"High Difference","Moderate Difference"))</f>
        <v>Moderate Difference</v>
      </c>
    </row>
    <row r="370" spans="1:13" x14ac:dyDescent="0.2">
      <c r="A370">
        <v>172370</v>
      </c>
      <c r="B370" s="1">
        <v>49.94</v>
      </c>
      <c r="C370" s="1">
        <v>48.76</v>
      </c>
      <c r="D370">
        <v>1789</v>
      </c>
      <c r="E370" t="str">
        <f>_xlfn.XLOOKUP(A370, 'Customer Information'!$A$1:$A$1001, 'Customer Information'!$B$1:$B$1001)</f>
        <v>High</v>
      </c>
      <c r="F370" t="str">
        <f>_xlfn.XLOOKUP(A370, 'Customer Information'!$A$1:$A$1001, 'Customer Information'!$C$1:$C$1001)</f>
        <v>Young adults</v>
      </c>
      <c r="G370" t="str">
        <f>_xlfn.XLOOKUP('Customer Information'!A370, 'Customer Information'!$A$1:$A$1001, 'Customer Information'!$D$1:$D$1001)</f>
        <v>No</v>
      </c>
      <c r="H370" t="str">
        <f>INDEX('Additional Product Info.'!$A$1:$C$1001, MATCH('Product Positioning'!$A370, 'Additional Product Info.'!$A$1:$A$1001, 0), MATCH('Product Positioning'!H$1, 'Additional Product Info.'!$A$1:$C$1, 0))</f>
        <v>End-cap</v>
      </c>
      <c r="I370" t="str">
        <f>INDEX('Additional Product Info.'!$A$1:$C$1001, MATCH('Product Positioning'!$A370, 'Additional Product Info.'!$A$1:$A$1001, 0), MATCH('Product Positioning'!I$1, 'Additional Product Info.'!$A$1:$C$1, 0))</f>
        <v>Food</v>
      </c>
      <c r="J370" t="str">
        <f>_xlfn.XLOOKUP(A370, $A$1:$A$1001, 'Additional Product Info.'!$D$1:$D$1001)</f>
        <v>No</v>
      </c>
      <c r="K370" s="1">
        <f t="shared" si="10"/>
        <v>89342.659999999989</v>
      </c>
      <c r="L370" s="1">
        <f t="shared" si="11"/>
        <v>1.1799999999999997</v>
      </c>
      <c r="M370" t="str">
        <f>IF(L370&lt;=Statistics!$E$6,"Low Difference",IF('Product Positioning'!L370&gt;=Statistics!$E$4,"High Difference","Moderate Difference"))</f>
        <v>Moderate Difference</v>
      </c>
    </row>
    <row r="371" spans="1:13" x14ac:dyDescent="0.2">
      <c r="A371">
        <v>149539</v>
      </c>
      <c r="B371" s="1">
        <v>6.23</v>
      </c>
      <c r="C371" s="1">
        <v>4.53</v>
      </c>
      <c r="D371">
        <v>2203</v>
      </c>
      <c r="E371" t="str">
        <f>_xlfn.XLOOKUP(A371, 'Customer Information'!$A$1:$A$1001, 'Customer Information'!$B$1:$B$1001)</f>
        <v>Medium</v>
      </c>
      <c r="F371" t="str">
        <f>_xlfn.XLOOKUP(A371, 'Customer Information'!$A$1:$A$1001, 'Customer Information'!$C$1:$C$1001)</f>
        <v>Seniors</v>
      </c>
      <c r="G371" t="str">
        <f>_xlfn.XLOOKUP('Customer Information'!A371, 'Customer Information'!$A$1:$A$1001, 'Customer Information'!$D$1:$D$1001)</f>
        <v>No</v>
      </c>
      <c r="H371" t="str">
        <f>INDEX('Additional Product Info.'!$A$1:$C$1001, MATCH('Product Positioning'!$A371, 'Additional Product Info.'!$A$1:$A$1001, 0), MATCH('Product Positioning'!H$1, 'Additional Product Info.'!$A$1:$C$1, 0))</f>
        <v>End-cap</v>
      </c>
      <c r="I371" t="str">
        <f>INDEX('Additional Product Info.'!$A$1:$C$1001, MATCH('Product Positioning'!$A371, 'Additional Product Info.'!$A$1:$A$1001, 0), MATCH('Product Positioning'!I$1, 'Additional Product Info.'!$A$1:$C$1, 0))</f>
        <v>Electronics</v>
      </c>
      <c r="J371" t="str">
        <f>_xlfn.XLOOKUP(A371, $A$1:$A$1001, 'Additional Product Info.'!$D$1:$D$1001)</f>
        <v>No</v>
      </c>
      <c r="K371" s="1">
        <f t="shared" si="10"/>
        <v>13724.69</v>
      </c>
      <c r="L371" s="1">
        <f t="shared" si="11"/>
        <v>1.7000000000000002</v>
      </c>
      <c r="M371" t="str">
        <f>IF(L371&lt;=Statistics!$E$6,"Low Difference",IF('Product Positioning'!L371&gt;=Statistics!$E$4,"High Difference","Moderate Difference"))</f>
        <v>Moderate Difference</v>
      </c>
    </row>
    <row r="372" spans="1:13" x14ac:dyDescent="0.2">
      <c r="A372">
        <v>149127</v>
      </c>
      <c r="B372" s="1">
        <v>46.45</v>
      </c>
      <c r="C372" s="1">
        <v>45.65</v>
      </c>
      <c r="D372">
        <v>2727</v>
      </c>
      <c r="E372" t="str">
        <f>_xlfn.XLOOKUP(A372, 'Customer Information'!$A$1:$A$1001, 'Customer Information'!$B$1:$B$1001)</f>
        <v>High</v>
      </c>
      <c r="F372" t="str">
        <f>_xlfn.XLOOKUP(A372, 'Customer Information'!$A$1:$A$1001, 'Customer Information'!$C$1:$C$1001)</f>
        <v>Young adults</v>
      </c>
      <c r="G372" t="str">
        <f>_xlfn.XLOOKUP('Customer Information'!A372, 'Customer Information'!$A$1:$A$1001, 'Customer Information'!$D$1:$D$1001)</f>
        <v>No</v>
      </c>
      <c r="H372" t="str">
        <f>INDEX('Additional Product Info.'!$A$1:$C$1001, MATCH('Product Positioning'!$A372, 'Additional Product Info.'!$A$1:$A$1001, 0), MATCH('Product Positioning'!H$1, 'Additional Product Info.'!$A$1:$C$1, 0))</f>
        <v>Front of Store</v>
      </c>
      <c r="I372" t="str">
        <f>INDEX('Additional Product Info.'!$A$1:$C$1001, MATCH('Product Positioning'!$A372, 'Additional Product Info.'!$A$1:$A$1001, 0), MATCH('Product Positioning'!I$1, 'Additional Product Info.'!$A$1:$C$1, 0))</f>
        <v>Food</v>
      </c>
      <c r="J372" t="str">
        <f>_xlfn.XLOOKUP(A372, $A$1:$A$1001, 'Additional Product Info.'!$D$1:$D$1001)</f>
        <v>No</v>
      </c>
      <c r="K372" s="1">
        <f t="shared" si="10"/>
        <v>126669.15000000001</v>
      </c>
      <c r="L372" s="1">
        <f t="shared" si="11"/>
        <v>0.80000000000000426</v>
      </c>
      <c r="M372" t="str">
        <f>IF(L372&lt;=Statistics!$E$6,"Low Difference",IF('Product Positioning'!L372&gt;=Statistics!$E$4,"High Difference","Moderate Difference"))</f>
        <v>Low Difference</v>
      </c>
    </row>
    <row r="373" spans="1:13" x14ac:dyDescent="0.2">
      <c r="A373">
        <v>199887</v>
      </c>
      <c r="B373" s="1">
        <v>29.76</v>
      </c>
      <c r="C373" s="1">
        <v>29.19</v>
      </c>
      <c r="D373">
        <v>1109</v>
      </c>
      <c r="E373" t="str">
        <f>_xlfn.XLOOKUP(A373, 'Customer Information'!$A$1:$A$1001, 'Customer Information'!$B$1:$B$1001)</f>
        <v>High</v>
      </c>
      <c r="F373" t="str">
        <f>_xlfn.XLOOKUP(A373, 'Customer Information'!$A$1:$A$1001, 'Customer Information'!$C$1:$C$1001)</f>
        <v>Seniors</v>
      </c>
      <c r="G373" t="str">
        <f>_xlfn.XLOOKUP('Customer Information'!A373, 'Customer Information'!$A$1:$A$1001, 'Customer Information'!$D$1:$D$1001)</f>
        <v>No</v>
      </c>
      <c r="H373" t="str">
        <f>INDEX('Additional Product Info.'!$A$1:$C$1001, MATCH('Product Positioning'!$A373, 'Additional Product Info.'!$A$1:$A$1001, 0), MATCH('Product Positioning'!H$1, 'Additional Product Info.'!$A$1:$C$1, 0))</f>
        <v>Front of Store</v>
      </c>
      <c r="I373" t="str">
        <f>INDEX('Additional Product Info.'!$A$1:$C$1001, MATCH('Product Positioning'!$A373, 'Additional Product Info.'!$A$1:$A$1001, 0), MATCH('Product Positioning'!I$1, 'Additional Product Info.'!$A$1:$C$1, 0))</f>
        <v>Food</v>
      </c>
      <c r="J373" t="str">
        <f>_xlfn.XLOOKUP(A373, $A$1:$A$1001, 'Additional Product Info.'!$D$1:$D$1001)</f>
        <v>Yes</v>
      </c>
      <c r="K373" s="1">
        <f t="shared" si="10"/>
        <v>33003.840000000004</v>
      </c>
      <c r="L373" s="1">
        <f t="shared" si="11"/>
        <v>0.57000000000000028</v>
      </c>
      <c r="M373" t="str">
        <f>IF(L373&lt;=Statistics!$E$6,"Low Difference",IF('Product Positioning'!L373&gt;=Statistics!$E$4,"High Difference","Moderate Difference"))</f>
        <v>Low Difference</v>
      </c>
    </row>
    <row r="374" spans="1:13" x14ac:dyDescent="0.2">
      <c r="A374">
        <v>166103</v>
      </c>
      <c r="B374" s="1">
        <v>21.8</v>
      </c>
      <c r="C374" s="1">
        <v>21.43</v>
      </c>
      <c r="D374">
        <v>2428</v>
      </c>
      <c r="E374" t="str">
        <f>_xlfn.XLOOKUP(A374, 'Customer Information'!$A$1:$A$1001, 'Customer Information'!$B$1:$B$1001)</f>
        <v>Low</v>
      </c>
      <c r="F374" t="str">
        <f>_xlfn.XLOOKUP(A374, 'Customer Information'!$A$1:$A$1001, 'Customer Information'!$C$1:$C$1001)</f>
        <v>Young adults</v>
      </c>
      <c r="G374" t="str">
        <f>_xlfn.XLOOKUP('Customer Information'!A374, 'Customer Information'!$A$1:$A$1001, 'Customer Information'!$D$1:$D$1001)</f>
        <v>Yes</v>
      </c>
      <c r="H374" t="str">
        <f>INDEX('Additional Product Info.'!$A$1:$C$1001, MATCH('Product Positioning'!$A374, 'Additional Product Info.'!$A$1:$A$1001, 0), MATCH('Product Positioning'!H$1, 'Additional Product Info.'!$A$1:$C$1, 0))</f>
        <v>End-cap</v>
      </c>
      <c r="I374" t="str">
        <f>INDEX('Additional Product Info.'!$A$1:$C$1001, MATCH('Product Positioning'!$A374, 'Additional Product Info.'!$A$1:$A$1001, 0), MATCH('Product Positioning'!I$1, 'Additional Product Info.'!$A$1:$C$1, 0))</f>
        <v>Clothing</v>
      </c>
      <c r="J374" t="str">
        <f>_xlfn.XLOOKUP(A374, $A$1:$A$1001, 'Additional Product Info.'!$D$1:$D$1001)</f>
        <v>Yes</v>
      </c>
      <c r="K374" s="1">
        <f t="shared" si="10"/>
        <v>52930.400000000001</v>
      </c>
      <c r="L374" s="1">
        <f t="shared" si="11"/>
        <v>0.37000000000000099</v>
      </c>
      <c r="M374" t="str">
        <f>IF(L374&lt;=Statistics!$E$6,"Low Difference",IF('Product Positioning'!L374&gt;=Statistics!$E$4,"High Difference","Moderate Difference"))</f>
        <v>Low Difference</v>
      </c>
    </row>
    <row r="375" spans="1:13" x14ac:dyDescent="0.2">
      <c r="A375">
        <v>144850</v>
      </c>
      <c r="B375" s="1">
        <v>25.49</v>
      </c>
      <c r="C375" s="1">
        <v>24.92</v>
      </c>
      <c r="D375">
        <v>2190</v>
      </c>
      <c r="E375" t="str">
        <f>_xlfn.XLOOKUP(A375, 'Customer Information'!$A$1:$A$1001, 'Customer Information'!$B$1:$B$1001)</f>
        <v>Medium</v>
      </c>
      <c r="F375" t="str">
        <f>_xlfn.XLOOKUP(A375, 'Customer Information'!$A$1:$A$1001, 'Customer Information'!$C$1:$C$1001)</f>
        <v>Seniors</v>
      </c>
      <c r="G375" t="str">
        <f>_xlfn.XLOOKUP('Customer Information'!A375, 'Customer Information'!$A$1:$A$1001, 'Customer Information'!$D$1:$D$1001)</f>
        <v>No</v>
      </c>
      <c r="H375" t="str">
        <f>INDEX('Additional Product Info.'!$A$1:$C$1001, MATCH('Product Positioning'!$A375, 'Additional Product Info.'!$A$1:$A$1001, 0), MATCH('Product Positioning'!H$1, 'Additional Product Info.'!$A$1:$C$1, 0))</f>
        <v>Front of Store</v>
      </c>
      <c r="I375" t="str">
        <f>INDEX('Additional Product Info.'!$A$1:$C$1001, MATCH('Product Positioning'!$A375, 'Additional Product Info.'!$A$1:$A$1001, 0), MATCH('Product Positioning'!I$1, 'Additional Product Info.'!$A$1:$C$1, 0))</f>
        <v>Food</v>
      </c>
      <c r="J375" t="str">
        <f>_xlfn.XLOOKUP(A375, $A$1:$A$1001, 'Additional Product Info.'!$D$1:$D$1001)</f>
        <v>No</v>
      </c>
      <c r="K375" s="1">
        <f t="shared" si="10"/>
        <v>55823.1</v>
      </c>
      <c r="L375" s="1">
        <f t="shared" si="11"/>
        <v>0.56999999999999673</v>
      </c>
      <c r="M375" t="str">
        <f>IF(L375&lt;=Statistics!$E$6,"Low Difference",IF('Product Positioning'!L375&gt;=Statistics!$E$4,"High Difference","Moderate Difference"))</f>
        <v>Low Difference</v>
      </c>
    </row>
    <row r="376" spans="1:13" x14ac:dyDescent="0.2">
      <c r="A376">
        <v>139746</v>
      </c>
      <c r="B376" s="1">
        <v>14.04</v>
      </c>
      <c r="C376" s="1">
        <v>11.23</v>
      </c>
      <c r="D376">
        <v>699</v>
      </c>
      <c r="E376" t="str">
        <f>_xlfn.XLOOKUP(A376, 'Customer Information'!$A$1:$A$1001, 'Customer Information'!$B$1:$B$1001)</f>
        <v>High</v>
      </c>
      <c r="F376" t="str">
        <f>_xlfn.XLOOKUP(A376, 'Customer Information'!$A$1:$A$1001, 'Customer Information'!$C$1:$C$1001)</f>
        <v>Young adults</v>
      </c>
      <c r="G376" t="str">
        <f>_xlfn.XLOOKUP('Customer Information'!A376, 'Customer Information'!$A$1:$A$1001, 'Customer Information'!$D$1:$D$1001)</f>
        <v>Yes</v>
      </c>
      <c r="H376" t="str">
        <f>INDEX('Additional Product Info.'!$A$1:$C$1001, MATCH('Product Positioning'!$A376, 'Additional Product Info.'!$A$1:$A$1001, 0), MATCH('Product Positioning'!H$1, 'Additional Product Info.'!$A$1:$C$1, 0))</f>
        <v>Aisle</v>
      </c>
      <c r="I376" t="str">
        <f>INDEX('Additional Product Info.'!$A$1:$C$1001, MATCH('Product Positioning'!$A376, 'Additional Product Info.'!$A$1:$A$1001, 0), MATCH('Product Positioning'!I$1, 'Additional Product Info.'!$A$1:$C$1, 0))</f>
        <v>Food</v>
      </c>
      <c r="J376" t="str">
        <f>_xlfn.XLOOKUP(A376, $A$1:$A$1001, 'Additional Product Info.'!$D$1:$D$1001)</f>
        <v>Yes</v>
      </c>
      <c r="K376" s="1">
        <f t="shared" si="10"/>
        <v>9813.9599999999991</v>
      </c>
      <c r="L376" s="1">
        <f t="shared" si="11"/>
        <v>2.8099999999999987</v>
      </c>
      <c r="M376" t="str">
        <f>IF(L376&lt;=Statistics!$E$6,"Low Difference",IF('Product Positioning'!L376&gt;=Statistics!$E$4,"High Difference","Moderate Difference"))</f>
        <v>Moderate Difference</v>
      </c>
    </row>
    <row r="377" spans="1:13" x14ac:dyDescent="0.2">
      <c r="A377">
        <v>177685</v>
      </c>
      <c r="B377" s="1">
        <v>29.68</v>
      </c>
      <c r="C377" s="1">
        <v>28.94</v>
      </c>
      <c r="D377">
        <v>2204</v>
      </c>
      <c r="E377" t="str">
        <f>_xlfn.XLOOKUP(A377, 'Customer Information'!$A$1:$A$1001, 'Customer Information'!$B$1:$B$1001)</f>
        <v>Low</v>
      </c>
      <c r="F377" t="str">
        <f>_xlfn.XLOOKUP(A377, 'Customer Information'!$A$1:$A$1001, 'Customer Information'!$C$1:$C$1001)</f>
        <v>Young adults</v>
      </c>
      <c r="G377" t="str">
        <f>_xlfn.XLOOKUP('Customer Information'!A377, 'Customer Information'!$A$1:$A$1001, 'Customer Information'!$D$1:$D$1001)</f>
        <v>No</v>
      </c>
      <c r="H377" t="str">
        <f>INDEX('Additional Product Info.'!$A$1:$C$1001, MATCH('Product Positioning'!$A377, 'Additional Product Info.'!$A$1:$A$1001, 0), MATCH('Product Positioning'!H$1, 'Additional Product Info.'!$A$1:$C$1, 0))</f>
        <v>Aisle</v>
      </c>
      <c r="I377" t="str">
        <f>INDEX('Additional Product Info.'!$A$1:$C$1001, MATCH('Product Positioning'!$A377, 'Additional Product Info.'!$A$1:$A$1001, 0), MATCH('Product Positioning'!I$1, 'Additional Product Info.'!$A$1:$C$1, 0))</f>
        <v>Food</v>
      </c>
      <c r="J377" t="str">
        <f>_xlfn.XLOOKUP(A377, $A$1:$A$1001, 'Additional Product Info.'!$D$1:$D$1001)</f>
        <v>No</v>
      </c>
      <c r="K377" s="1">
        <f t="shared" si="10"/>
        <v>65414.720000000001</v>
      </c>
      <c r="L377" s="1">
        <f t="shared" si="11"/>
        <v>0.73999999999999844</v>
      </c>
      <c r="M377" t="str">
        <f>IF(L377&lt;=Statistics!$E$6,"Low Difference",IF('Product Positioning'!L377&gt;=Statistics!$E$4,"High Difference","Moderate Difference"))</f>
        <v>Low Difference</v>
      </c>
    </row>
    <row r="378" spans="1:13" x14ac:dyDescent="0.2">
      <c r="A378">
        <v>166728</v>
      </c>
      <c r="B378" s="1">
        <v>25.92</v>
      </c>
      <c r="C378" s="1">
        <v>23.68</v>
      </c>
      <c r="D378">
        <v>542</v>
      </c>
      <c r="E378" t="str">
        <f>_xlfn.XLOOKUP(A378, 'Customer Information'!$A$1:$A$1001, 'Customer Information'!$B$1:$B$1001)</f>
        <v>High</v>
      </c>
      <c r="F378" t="str">
        <f>_xlfn.XLOOKUP(A378, 'Customer Information'!$A$1:$A$1001, 'Customer Information'!$C$1:$C$1001)</f>
        <v>College students</v>
      </c>
      <c r="G378" t="str">
        <f>_xlfn.XLOOKUP('Customer Information'!A378, 'Customer Information'!$A$1:$A$1001, 'Customer Information'!$D$1:$D$1001)</f>
        <v>Yes</v>
      </c>
      <c r="H378" t="str">
        <f>INDEX('Additional Product Info.'!$A$1:$C$1001, MATCH('Product Positioning'!$A378, 'Additional Product Info.'!$A$1:$A$1001, 0), MATCH('Product Positioning'!H$1, 'Additional Product Info.'!$A$1:$C$1, 0))</f>
        <v>Aisle</v>
      </c>
      <c r="I378" t="str">
        <f>INDEX('Additional Product Info.'!$A$1:$C$1001, MATCH('Product Positioning'!$A378, 'Additional Product Info.'!$A$1:$A$1001, 0), MATCH('Product Positioning'!I$1, 'Additional Product Info.'!$A$1:$C$1, 0))</f>
        <v>Electronics</v>
      </c>
      <c r="J378" t="str">
        <f>_xlfn.XLOOKUP(A378, $A$1:$A$1001, 'Additional Product Info.'!$D$1:$D$1001)</f>
        <v>No</v>
      </c>
      <c r="K378" s="1">
        <f t="shared" si="10"/>
        <v>14048.640000000001</v>
      </c>
      <c r="L378" s="1">
        <f t="shared" si="11"/>
        <v>2.240000000000002</v>
      </c>
      <c r="M378" t="str">
        <f>IF(L378&lt;=Statistics!$E$6,"Low Difference",IF('Product Positioning'!L378&gt;=Statistics!$E$4,"High Difference","Moderate Difference"))</f>
        <v>Moderate Difference</v>
      </c>
    </row>
    <row r="379" spans="1:13" x14ac:dyDescent="0.2">
      <c r="A379">
        <v>116065</v>
      </c>
      <c r="B379" s="1">
        <v>36.880000000000003</v>
      </c>
      <c r="C379" s="1">
        <v>35.72</v>
      </c>
      <c r="D379">
        <v>2912</v>
      </c>
      <c r="E379" t="str">
        <f>_xlfn.XLOOKUP(A379, 'Customer Information'!$A$1:$A$1001, 'Customer Information'!$B$1:$B$1001)</f>
        <v>Medium</v>
      </c>
      <c r="F379" t="str">
        <f>_xlfn.XLOOKUP(A379, 'Customer Information'!$A$1:$A$1001, 'Customer Information'!$C$1:$C$1001)</f>
        <v>Seniors</v>
      </c>
      <c r="G379" t="str">
        <f>_xlfn.XLOOKUP('Customer Information'!A379, 'Customer Information'!$A$1:$A$1001, 'Customer Information'!$D$1:$D$1001)</f>
        <v>Yes</v>
      </c>
      <c r="H379" t="str">
        <f>INDEX('Additional Product Info.'!$A$1:$C$1001, MATCH('Product Positioning'!$A379, 'Additional Product Info.'!$A$1:$A$1001, 0), MATCH('Product Positioning'!H$1, 'Additional Product Info.'!$A$1:$C$1, 0))</f>
        <v>Front of Store</v>
      </c>
      <c r="I379" t="str">
        <f>INDEX('Additional Product Info.'!$A$1:$C$1001, MATCH('Product Positioning'!$A379, 'Additional Product Info.'!$A$1:$A$1001, 0), MATCH('Product Positioning'!I$1, 'Additional Product Info.'!$A$1:$C$1, 0))</f>
        <v>Food</v>
      </c>
      <c r="J379" t="str">
        <f>_xlfn.XLOOKUP(A379, $A$1:$A$1001, 'Additional Product Info.'!$D$1:$D$1001)</f>
        <v>Yes</v>
      </c>
      <c r="K379" s="1">
        <f t="shared" si="10"/>
        <v>107394.56000000001</v>
      </c>
      <c r="L379" s="1">
        <f t="shared" si="11"/>
        <v>1.1600000000000037</v>
      </c>
      <c r="M379" t="str">
        <f>IF(L379&lt;=Statistics!$E$6,"Low Difference",IF('Product Positioning'!L379&gt;=Statistics!$E$4,"High Difference","Moderate Difference"))</f>
        <v>Low Difference</v>
      </c>
    </row>
    <row r="380" spans="1:13" x14ac:dyDescent="0.2">
      <c r="A380">
        <v>110033</v>
      </c>
      <c r="B380" s="1">
        <v>40.15</v>
      </c>
      <c r="C380" s="1">
        <v>39.380000000000003</v>
      </c>
      <c r="D380">
        <v>1998</v>
      </c>
      <c r="E380" t="str">
        <f>_xlfn.XLOOKUP(A380, 'Customer Information'!$A$1:$A$1001, 'Customer Information'!$B$1:$B$1001)</f>
        <v>Low</v>
      </c>
      <c r="F380" t="str">
        <f>_xlfn.XLOOKUP(A380, 'Customer Information'!$A$1:$A$1001, 'Customer Information'!$C$1:$C$1001)</f>
        <v>Families</v>
      </c>
      <c r="G380" t="str">
        <f>_xlfn.XLOOKUP('Customer Information'!A380, 'Customer Information'!$A$1:$A$1001, 'Customer Information'!$D$1:$D$1001)</f>
        <v>Yes</v>
      </c>
      <c r="H380" t="str">
        <f>INDEX('Additional Product Info.'!$A$1:$C$1001, MATCH('Product Positioning'!$A380, 'Additional Product Info.'!$A$1:$A$1001, 0), MATCH('Product Positioning'!H$1, 'Additional Product Info.'!$A$1:$C$1, 0))</f>
        <v>Front of Store</v>
      </c>
      <c r="I380" t="str">
        <f>INDEX('Additional Product Info.'!$A$1:$C$1001, MATCH('Product Positioning'!$A380, 'Additional Product Info.'!$A$1:$A$1001, 0), MATCH('Product Positioning'!I$1, 'Additional Product Info.'!$A$1:$C$1, 0))</f>
        <v>Electronics</v>
      </c>
      <c r="J380" t="str">
        <f>_xlfn.XLOOKUP(A380, $A$1:$A$1001, 'Additional Product Info.'!$D$1:$D$1001)</f>
        <v>Yes</v>
      </c>
      <c r="K380" s="1">
        <f t="shared" si="10"/>
        <v>80219.7</v>
      </c>
      <c r="L380" s="1">
        <f t="shared" si="11"/>
        <v>0.76999999999999602</v>
      </c>
      <c r="M380" t="str">
        <f>IF(L380&lt;=Statistics!$E$6,"Low Difference",IF('Product Positioning'!L380&gt;=Statistics!$E$4,"High Difference","Moderate Difference"))</f>
        <v>Low Difference</v>
      </c>
    </row>
    <row r="381" spans="1:13" x14ac:dyDescent="0.2">
      <c r="A381">
        <v>164617</v>
      </c>
      <c r="B381" s="1">
        <v>41.6</v>
      </c>
      <c r="C381" s="1">
        <v>38.19</v>
      </c>
      <c r="D381">
        <v>577</v>
      </c>
      <c r="E381" t="str">
        <f>_xlfn.XLOOKUP(A381, 'Customer Information'!$A$1:$A$1001, 'Customer Information'!$B$1:$B$1001)</f>
        <v>High</v>
      </c>
      <c r="F381" t="str">
        <f>_xlfn.XLOOKUP(A381, 'Customer Information'!$A$1:$A$1001, 'Customer Information'!$C$1:$C$1001)</f>
        <v>Seniors</v>
      </c>
      <c r="G381" t="str">
        <f>_xlfn.XLOOKUP('Customer Information'!A381, 'Customer Information'!$A$1:$A$1001, 'Customer Information'!$D$1:$D$1001)</f>
        <v>Yes</v>
      </c>
      <c r="H381" t="str">
        <f>INDEX('Additional Product Info.'!$A$1:$C$1001, MATCH('Product Positioning'!$A381, 'Additional Product Info.'!$A$1:$A$1001, 0), MATCH('Product Positioning'!H$1, 'Additional Product Info.'!$A$1:$C$1, 0))</f>
        <v>Front of Store</v>
      </c>
      <c r="I381" t="str">
        <f>INDEX('Additional Product Info.'!$A$1:$C$1001, MATCH('Product Positioning'!$A381, 'Additional Product Info.'!$A$1:$A$1001, 0), MATCH('Product Positioning'!I$1, 'Additional Product Info.'!$A$1:$C$1, 0))</f>
        <v>Electronics</v>
      </c>
      <c r="J381" t="str">
        <f>_xlfn.XLOOKUP(A381, $A$1:$A$1001, 'Additional Product Info.'!$D$1:$D$1001)</f>
        <v>No</v>
      </c>
      <c r="K381" s="1">
        <f t="shared" si="10"/>
        <v>24003.200000000001</v>
      </c>
      <c r="L381" s="1">
        <f t="shared" si="11"/>
        <v>3.4100000000000037</v>
      </c>
      <c r="M381" t="str">
        <f>IF(L381&lt;=Statistics!$E$6,"Low Difference",IF('Product Positioning'!L381&gt;=Statistics!$E$4,"High Difference","Moderate Difference"))</f>
        <v>Moderate Difference</v>
      </c>
    </row>
    <row r="382" spans="1:13" x14ac:dyDescent="0.2">
      <c r="A382">
        <v>112314</v>
      </c>
      <c r="B382" s="1">
        <v>42.47</v>
      </c>
      <c r="C382" s="1">
        <v>41.94</v>
      </c>
      <c r="D382">
        <v>1370</v>
      </c>
      <c r="E382" t="str">
        <f>_xlfn.XLOOKUP(A382, 'Customer Information'!$A$1:$A$1001, 'Customer Information'!$B$1:$B$1001)</f>
        <v>Low</v>
      </c>
      <c r="F382" t="str">
        <f>_xlfn.XLOOKUP(A382, 'Customer Information'!$A$1:$A$1001, 'Customer Information'!$C$1:$C$1001)</f>
        <v>College students</v>
      </c>
      <c r="G382" t="str">
        <f>_xlfn.XLOOKUP('Customer Information'!A382, 'Customer Information'!$A$1:$A$1001, 'Customer Information'!$D$1:$D$1001)</f>
        <v>Yes</v>
      </c>
      <c r="H382" t="str">
        <f>INDEX('Additional Product Info.'!$A$1:$C$1001, MATCH('Product Positioning'!$A382, 'Additional Product Info.'!$A$1:$A$1001, 0), MATCH('Product Positioning'!H$1, 'Additional Product Info.'!$A$1:$C$1, 0))</f>
        <v>Aisle</v>
      </c>
      <c r="I382" t="str">
        <f>INDEX('Additional Product Info.'!$A$1:$C$1001, MATCH('Product Positioning'!$A382, 'Additional Product Info.'!$A$1:$A$1001, 0), MATCH('Product Positioning'!I$1, 'Additional Product Info.'!$A$1:$C$1, 0))</f>
        <v>Electronics</v>
      </c>
      <c r="J382" t="str">
        <f>_xlfn.XLOOKUP(A382, $A$1:$A$1001, 'Additional Product Info.'!$D$1:$D$1001)</f>
        <v>No</v>
      </c>
      <c r="K382" s="1">
        <f t="shared" si="10"/>
        <v>58183.9</v>
      </c>
      <c r="L382" s="1">
        <f t="shared" si="11"/>
        <v>0.53000000000000114</v>
      </c>
      <c r="M382" t="str">
        <f>IF(L382&lt;=Statistics!$E$6,"Low Difference",IF('Product Positioning'!L382&gt;=Statistics!$E$4,"High Difference","Moderate Difference"))</f>
        <v>Low Difference</v>
      </c>
    </row>
    <row r="383" spans="1:13" x14ac:dyDescent="0.2">
      <c r="A383">
        <v>130671</v>
      </c>
      <c r="B383" s="1">
        <v>35.950000000000003</v>
      </c>
      <c r="C383" s="1">
        <v>31.23</v>
      </c>
      <c r="D383">
        <v>2432</v>
      </c>
      <c r="E383" t="str">
        <f>_xlfn.XLOOKUP(A383, 'Customer Information'!$A$1:$A$1001, 'Customer Information'!$B$1:$B$1001)</f>
        <v>Low</v>
      </c>
      <c r="F383" t="str">
        <f>_xlfn.XLOOKUP(A383, 'Customer Information'!$A$1:$A$1001, 'Customer Information'!$C$1:$C$1001)</f>
        <v>Seniors</v>
      </c>
      <c r="G383" t="str">
        <f>_xlfn.XLOOKUP('Customer Information'!A383, 'Customer Information'!$A$1:$A$1001, 'Customer Information'!$D$1:$D$1001)</f>
        <v>Yes</v>
      </c>
      <c r="H383" t="str">
        <f>INDEX('Additional Product Info.'!$A$1:$C$1001, MATCH('Product Positioning'!$A383, 'Additional Product Info.'!$A$1:$A$1001, 0), MATCH('Product Positioning'!H$1, 'Additional Product Info.'!$A$1:$C$1, 0))</f>
        <v>End-cap</v>
      </c>
      <c r="I383" t="str">
        <f>INDEX('Additional Product Info.'!$A$1:$C$1001, MATCH('Product Positioning'!$A383, 'Additional Product Info.'!$A$1:$A$1001, 0), MATCH('Product Positioning'!I$1, 'Additional Product Info.'!$A$1:$C$1, 0))</f>
        <v>Electronics</v>
      </c>
      <c r="J383" t="str">
        <f>_xlfn.XLOOKUP(A383, $A$1:$A$1001, 'Additional Product Info.'!$D$1:$D$1001)</f>
        <v>No</v>
      </c>
      <c r="K383" s="1">
        <f t="shared" si="10"/>
        <v>87430.400000000009</v>
      </c>
      <c r="L383" s="1">
        <f t="shared" si="11"/>
        <v>4.7200000000000024</v>
      </c>
      <c r="M383" t="str">
        <f>IF(L383&lt;=Statistics!$E$6,"Low Difference",IF('Product Positioning'!L383&gt;=Statistics!$E$4,"High Difference","Moderate Difference"))</f>
        <v>High Difference</v>
      </c>
    </row>
    <row r="384" spans="1:13" x14ac:dyDescent="0.2">
      <c r="A384">
        <v>176094</v>
      </c>
      <c r="B384" s="1">
        <v>32.369999999999997</v>
      </c>
      <c r="C384" s="1">
        <v>28.91</v>
      </c>
      <c r="D384">
        <v>1506</v>
      </c>
      <c r="E384" t="str">
        <f>_xlfn.XLOOKUP(A384, 'Customer Information'!$A$1:$A$1001, 'Customer Information'!$B$1:$B$1001)</f>
        <v>High</v>
      </c>
      <c r="F384" t="str">
        <f>_xlfn.XLOOKUP(A384, 'Customer Information'!$A$1:$A$1001, 'Customer Information'!$C$1:$C$1001)</f>
        <v>Families</v>
      </c>
      <c r="G384" t="str">
        <f>_xlfn.XLOOKUP('Customer Information'!A384, 'Customer Information'!$A$1:$A$1001, 'Customer Information'!$D$1:$D$1001)</f>
        <v>Yes</v>
      </c>
      <c r="H384" t="str">
        <f>INDEX('Additional Product Info.'!$A$1:$C$1001, MATCH('Product Positioning'!$A384, 'Additional Product Info.'!$A$1:$A$1001, 0), MATCH('Product Positioning'!H$1, 'Additional Product Info.'!$A$1:$C$1, 0))</f>
        <v>End-cap</v>
      </c>
      <c r="I384" t="str">
        <f>INDEX('Additional Product Info.'!$A$1:$C$1001, MATCH('Product Positioning'!$A384, 'Additional Product Info.'!$A$1:$A$1001, 0), MATCH('Product Positioning'!I$1, 'Additional Product Info.'!$A$1:$C$1, 0))</f>
        <v>Electronics</v>
      </c>
      <c r="J384" t="str">
        <f>_xlfn.XLOOKUP(A384, $A$1:$A$1001, 'Additional Product Info.'!$D$1:$D$1001)</f>
        <v>No</v>
      </c>
      <c r="K384" s="1">
        <f t="shared" si="10"/>
        <v>48749.219999999994</v>
      </c>
      <c r="L384" s="1">
        <f t="shared" si="11"/>
        <v>3.4599999999999973</v>
      </c>
      <c r="M384" t="str">
        <f>IF(L384&lt;=Statistics!$E$6,"Low Difference",IF('Product Positioning'!L384&gt;=Statistics!$E$4,"High Difference","Moderate Difference"))</f>
        <v>Moderate Difference</v>
      </c>
    </row>
    <row r="385" spans="1:13" x14ac:dyDescent="0.2">
      <c r="A385">
        <v>133227</v>
      </c>
      <c r="B385" s="1">
        <v>13.73</v>
      </c>
      <c r="C385" s="1">
        <v>10.09</v>
      </c>
      <c r="D385">
        <v>1911</v>
      </c>
      <c r="E385" t="str">
        <f>_xlfn.XLOOKUP(A385, 'Customer Information'!$A$1:$A$1001, 'Customer Information'!$B$1:$B$1001)</f>
        <v>High</v>
      </c>
      <c r="F385" t="str">
        <f>_xlfn.XLOOKUP(A385, 'Customer Information'!$A$1:$A$1001, 'Customer Information'!$C$1:$C$1001)</f>
        <v>Seniors</v>
      </c>
      <c r="G385" t="str">
        <f>_xlfn.XLOOKUP('Customer Information'!A385, 'Customer Information'!$A$1:$A$1001, 'Customer Information'!$D$1:$D$1001)</f>
        <v>Yes</v>
      </c>
      <c r="H385" t="str">
        <f>INDEX('Additional Product Info.'!$A$1:$C$1001, MATCH('Product Positioning'!$A385, 'Additional Product Info.'!$A$1:$A$1001, 0), MATCH('Product Positioning'!H$1, 'Additional Product Info.'!$A$1:$C$1, 0))</f>
        <v>Front of Store</v>
      </c>
      <c r="I385" t="str">
        <f>INDEX('Additional Product Info.'!$A$1:$C$1001, MATCH('Product Positioning'!$A385, 'Additional Product Info.'!$A$1:$A$1001, 0), MATCH('Product Positioning'!I$1, 'Additional Product Info.'!$A$1:$C$1, 0))</f>
        <v>Food</v>
      </c>
      <c r="J385" t="str">
        <f>_xlfn.XLOOKUP(A385, $A$1:$A$1001, 'Additional Product Info.'!$D$1:$D$1001)</f>
        <v>Yes</v>
      </c>
      <c r="K385" s="1">
        <f t="shared" si="10"/>
        <v>26238.030000000002</v>
      </c>
      <c r="L385" s="1">
        <f t="shared" si="11"/>
        <v>3.6400000000000006</v>
      </c>
      <c r="M385" t="str">
        <f>IF(L385&lt;=Statistics!$E$6,"Low Difference",IF('Product Positioning'!L385&gt;=Statistics!$E$4,"High Difference","Moderate Difference"))</f>
        <v>Moderate Difference</v>
      </c>
    </row>
    <row r="386" spans="1:13" x14ac:dyDescent="0.2">
      <c r="A386">
        <v>170530</v>
      </c>
      <c r="B386" s="1">
        <v>34.86</v>
      </c>
      <c r="C386" s="1">
        <v>33.159999999999997</v>
      </c>
      <c r="D386">
        <v>880</v>
      </c>
      <c r="E386" t="str">
        <f>_xlfn.XLOOKUP(A386, 'Customer Information'!$A$1:$A$1001, 'Customer Information'!$B$1:$B$1001)</f>
        <v>High</v>
      </c>
      <c r="F386" t="str">
        <f>_xlfn.XLOOKUP(A386, 'Customer Information'!$A$1:$A$1001, 'Customer Information'!$C$1:$C$1001)</f>
        <v>College students</v>
      </c>
      <c r="G386" t="str">
        <f>_xlfn.XLOOKUP('Customer Information'!A386, 'Customer Information'!$A$1:$A$1001, 'Customer Information'!$D$1:$D$1001)</f>
        <v>Yes</v>
      </c>
      <c r="H386" t="str">
        <f>INDEX('Additional Product Info.'!$A$1:$C$1001, MATCH('Product Positioning'!$A386, 'Additional Product Info.'!$A$1:$A$1001, 0), MATCH('Product Positioning'!H$1, 'Additional Product Info.'!$A$1:$C$1, 0))</f>
        <v>Aisle</v>
      </c>
      <c r="I386" t="str">
        <f>INDEX('Additional Product Info.'!$A$1:$C$1001, MATCH('Product Positioning'!$A386, 'Additional Product Info.'!$A$1:$A$1001, 0), MATCH('Product Positioning'!I$1, 'Additional Product Info.'!$A$1:$C$1, 0))</f>
        <v>Food</v>
      </c>
      <c r="J386" t="str">
        <f>_xlfn.XLOOKUP(A386, $A$1:$A$1001, 'Additional Product Info.'!$D$1:$D$1001)</f>
        <v>Yes</v>
      </c>
      <c r="K386" s="1">
        <f t="shared" ref="K386:K449" si="12">B386*D386</f>
        <v>30676.799999999999</v>
      </c>
      <c r="L386" s="1">
        <f t="shared" ref="L386:L449" si="13">ABS(B386-C386)</f>
        <v>1.7000000000000028</v>
      </c>
      <c r="M386" t="str">
        <f>IF(L386&lt;=Statistics!$E$6,"Low Difference",IF('Product Positioning'!L386&gt;=Statistics!$E$4,"High Difference","Moderate Difference"))</f>
        <v>Moderate Difference</v>
      </c>
    </row>
    <row r="387" spans="1:13" x14ac:dyDescent="0.2">
      <c r="A387">
        <v>195782</v>
      </c>
      <c r="B387" s="1">
        <v>22.2</v>
      </c>
      <c r="C387" s="1">
        <v>18.07</v>
      </c>
      <c r="D387">
        <v>2748</v>
      </c>
      <c r="E387" t="str">
        <f>_xlfn.XLOOKUP(A387, 'Customer Information'!$A$1:$A$1001, 'Customer Information'!$B$1:$B$1001)</f>
        <v>Medium</v>
      </c>
      <c r="F387" t="str">
        <f>_xlfn.XLOOKUP(A387, 'Customer Information'!$A$1:$A$1001, 'Customer Information'!$C$1:$C$1001)</f>
        <v>Seniors</v>
      </c>
      <c r="G387" t="str">
        <f>_xlfn.XLOOKUP('Customer Information'!A387, 'Customer Information'!$A$1:$A$1001, 'Customer Information'!$D$1:$D$1001)</f>
        <v>No</v>
      </c>
      <c r="H387" t="str">
        <f>INDEX('Additional Product Info.'!$A$1:$C$1001, MATCH('Product Positioning'!$A387, 'Additional Product Info.'!$A$1:$A$1001, 0), MATCH('Product Positioning'!H$1, 'Additional Product Info.'!$A$1:$C$1, 0))</f>
        <v>Front of Store</v>
      </c>
      <c r="I387" t="str">
        <f>INDEX('Additional Product Info.'!$A$1:$C$1001, MATCH('Product Positioning'!$A387, 'Additional Product Info.'!$A$1:$A$1001, 0), MATCH('Product Positioning'!I$1, 'Additional Product Info.'!$A$1:$C$1, 0))</f>
        <v>Clothing</v>
      </c>
      <c r="J387" t="str">
        <f>_xlfn.XLOOKUP(A387, $A$1:$A$1001, 'Additional Product Info.'!$D$1:$D$1001)</f>
        <v>No</v>
      </c>
      <c r="K387" s="1">
        <f t="shared" si="12"/>
        <v>61005.599999999999</v>
      </c>
      <c r="L387" s="1">
        <f t="shared" si="13"/>
        <v>4.129999999999999</v>
      </c>
      <c r="M387" t="str">
        <f>IF(L387&lt;=Statistics!$E$6,"Low Difference",IF('Product Positioning'!L387&gt;=Statistics!$E$4,"High Difference","Moderate Difference"))</f>
        <v>High Difference</v>
      </c>
    </row>
    <row r="388" spans="1:13" x14ac:dyDescent="0.2">
      <c r="A388">
        <v>113054</v>
      </c>
      <c r="B388" s="1">
        <v>32.090000000000003</v>
      </c>
      <c r="C388" s="1">
        <v>28.27</v>
      </c>
      <c r="D388">
        <v>1705</v>
      </c>
      <c r="E388" t="str">
        <f>_xlfn.XLOOKUP(A388, 'Customer Information'!$A$1:$A$1001, 'Customer Information'!$B$1:$B$1001)</f>
        <v>Medium</v>
      </c>
      <c r="F388" t="str">
        <f>_xlfn.XLOOKUP(A388, 'Customer Information'!$A$1:$A$1001, 'Customer Information'!$C$1:$C$1001)</f>
        <v>Young adults</v>
      </c>
      <c r="G388" t="str">
        <f>_xlfn.XLOOKUP('Customer Information'!A388, 'Customer Information'!$A$1:$A$1001, 'Customer Information'!$D$1:$D$1001)</f>
        <v>Yes</v>
      </c>
      <c r="H388" t="str">
        <f>INDEX('Additional Product Info.'!$A$1:$C$1001, MATCH('Product Positioning'!$A388, 'Additional Product Info.'!$A$1:$A$1001, 0), MATCH('Product Positioning'!H$1, 'Additional Product Info.'!$A$1:$C$1, 0))</f>
        <v>End-cap</v>
      </c>
      <c r="I388" t="str">
        <f>INDEX('Additional Product Info.'!$A$1:$C$1001, MATCH('Product Positioning'!$A388, 'Additional Product Info.'!$A$1:$A$1001, 0), MATCH('Product Positioning'!I$1, 'Additional Product Info.'!$A$1:$C$1, 0))</f>
        <v>Food</v>
      </c>
      <c r="J388" t="str">
        <f>_xlfn.XLOOKUP(A388, $A$1:$A$1001, 'Additional Product Info.'!$D$1:$D$1001)</f>
        <v>No</v>
      </c>
      <c r="K388" s="1">
        <f t="shared" si="12"/>
        <v>54713.450000000004</v>
      </c>
      <c r="L388" s="1">
        <f t="shared" si="13"/>
        <v>3.8200000000000038</v>
      </c>
      <c r="M388" t="str">
        <f>IF(L388&lt;=Statistics!$E$6,"Low Difference",IF('Product Positioning'!L388&gt;=Statistics!$E$4,"High Difference","Moderate Difference"))</f>
        <v>High Difference</v>
      </c>
    </row>
    <row r="389" spans="1:13" x14ac:dyDescent="0.2">
      <c r="A389">
        <v>198313</v>
      </c>
      <c r="B389" s="1">
        <v>33.950000000000003</v>
      </c>
      <c r="C389" s="1">
        <v>33.43</v>
      </c>
      <c r="D389">
        <v>1298</v>
      </c>
      <c r="E389" t="str">
        <f>_xlfn.XLOOKUP(A389, 'Customer Information'!$A$1:$A$1001, 'Customer Information'!$B$1:$B$1001)</f>
        <v>Medium</v>
      </c>
      <c r="F389" t="str">
        <f>_xlfn.XLOOKUP(A389, 'Customer Information'!$A$1:$A$1001, 'Customer Information'!$C$1:$C$1001)</f>
        <v>Families</v>
      </c>
      <c r="G389" t="str">
        <f>_xlfn.XLOOKUP('Customer Information'!A389, 'Customer Information'!$A$1:$A$1001, 'Customer Information'!$D$1:$D$1001)</f>
        <v>No</v>
      </c>
      <c r="H389" t="str">
        <f>INDEX('Additional Product Info.'!$A$1:$C$1001, MATCH('Product Positioning'!$A389, 'Additional Product Info.'!$A$1:$A$1001, 0), MATCH('Product Positioning'!H$1, 'Additional Product Info.'!$A$1:$C$1, 0))</f>
        <v>Aisle</v>
      </c>
      <c r="I389" t="str">
        <f>INDEX('Additional Product Info.'!$A$1:$C$1001, MATCH('Product Positioning'!$A389, 'Additional Product Info.'!$A$1:$A$1001, 0), MATCH('Product Positioning'!I$1, 'Additional Product Info.'!$A$1:$C$1, 0))</f>
        <v>Food</v>
      </c>
      <c r="J389" t="str">
        <f>_xlfn.XLOOKUP(A389, $A$1:$A$1001, 'Additional Product Info.'!$D$1:$D$1001)</f>
        <v>Yes</v>
      </c>
      <c r="K389" s="1">
        <f t="shared" si="12"/>
        <v>44067.100000000006</v>
      </c>
      <c r="L389" s="1">
        <f t="shared" si="13"/>
        <v>0.52000000000000313</v>
      </c>
      <c r="M389" t="str">
        <f>IF(L389&lt;=Statistics!$E$6,"Low Difference",IF('Product Positioning'!L389&gt;=Statistics!$E$4,"High Difference","Moderate Difference"))</f>
        <v>Low Difference</v>
      </c>
    </row>
    <row r="390" spans="1:13" x14ac:dyDescent="0.2">
      <c r="A390">
        <v>158628</v>
      </c>
      <c r="B390" s="1">
        <v>22.29</v>
      </c>
      <c r="C390" s="1">
        <v>17.88</v>
      </c>
      <c r="D390">
        <v>708</v>
      </c>
      <c r="E390" t="str">
        <f>_xlfn.XLOOKUP(A390, 'Customer Information'!$A$1:$A$1001, 'Customer Information'!$B$1:$B$1001)</f>
        <v>High</v>
      </c>
      <c r="F390" t="str">
        <f>_xlfn.XLOOKUP(A390, 'Customer Information'!$A$1:$A$1001, 'Customer Information'!$C$1:$C$1001)</f>
        <v>Seniors</v>
      </c>
      <c r="G390" t="str">
        <f>_xlfn.XLOOKUP('Customer Information'!A390, 'Customer Information'!$A$1:$A$1001, 'Customer Information'!$D$1:$D$1001)</f>
        <v>Yes</v>
      </c>
      <c r="H390" t="str">
        <f>INDEX('Additional Product Info.'!$A$1:$C$1001, MATCH('Product Positioning'!$A390, 'Additional Product Info.'!$A$1:$A$1001, 0), MATCH('Product Positioning'!H$1, 'Additional Product Info.'!$A$1:$C$1, 0))</f>
        <v>End-cap</v>
      </c>
      <c r="I390" t="str">
        <f>INDEX('Additional Product Info.'!$A$1:$C$1001, MATCH('Product Positioning'!$A390, 'Additional Product Info.'!$A$1:$A$1001, 0), MATCH('Product Positioning'!I$1, 'Additional Product Info.'!$A$1:$C$1, 0))</f>
        <v>Clothing</v>
      </c>
      <c r="J390" t="str">
        <f>_xlfn.XLOOKUP(A390, $A$1:$A$1001, 'Additional Product Info.'!$D$1:$D$1001)</f>
        <v>Yes</v>
      </c>
      <c r="K390" s="1">
        <f t="shared" si="12"/>
        <v>15781.32</v>
      </c>
      <c r="L390" s="1">
        <f t="shared" si="13"/>
        <v>4.41</v>
      </c>
      <c r="M390" t="str">
        <f>IF(L390&lt;=Statistics!$E$6,"Low Difference",IF('Product Positioning'!L390&gt;=Statistics!$E$4,"High Difference","Moderate Difference"))</f>
        <v>High Difference</v>
      </c>
    </row>
    <row r="391" spans="1:13" x14ac:dyDescent="0.2">
      <c r="A391">
        <v>154165</v>
      </c>
      <c r="B391" s="1">
        <v>30.33</v>
      </c>
      <c r="C391" s="1">
        <v>30.04</v>
      </c>
      <c r="D391">
        <v>1887</v>
      </c>
      <c r="E391" t="str">
        <f>_xlfn.XLOOKUP(A391, 'Customer Information'!$A$1:$A$1001, 'Customer Information'!$B$1:$B$1001)</f>
        <v>High</v>
      </c>
      <c r="F391" t="str">
        <f>_xlfn.XLOOKUP(A391, 'Customer Information'!$A$1:$A$1001, 'Customer Information'!$C$1:$C$1001)</f>
        <v>Seniors</v>
      </c>
      <c r="G391" t="str">
        <f>_xlfn.XLOOKUP('Customer Information'!A391, 'Customer Information'!$A$1:$A$1001, 'Customer Information'!$D$1:$D$1001)</f>
        <v>No</v>
      </c>
      <c r="H391" t="str">
        <f>INDEX('Additional Product Info.'!$A$1:$C$1001, MATCH('Product Positioning'!$A391, 'Additional Product Info.'!$A$1:$A$1001, 0), MATCH('Product Positioning'!H$1, 'Additional Product Info.'!$A$1:$C$1, 0))</f>
        <v>Aisle</v>
      </c>
      <c r="I391" t="str">
        <f>INDEX('Additional Product Info.'!$A$1:$C$1001, MATCH('Product Positioning'!$A391, 'Additional Product Info.'!$A$1:$A$1001, 0), MATCH('Product Positioning'!I$1, 'Additional Product Info.'!$A$1:$C$1, 0))</f>
        <v>Electronics</v>
      </c>
      <c r="J391" t="str">
        <f>_xlfn.XLOOKUP(A391, $A$1:$A$1001, 'Additional Product Info.'!$D$1:$D$1001)</f>
        <v>Yes</v>
      </c>
      <c r="K391" s="1">
        <f t="shared" si="12"/>
        <v>57232.71</v>
      </c>
      <c r="L391" s="1">
        <f t="shared" si="13"/>
        <v>0.28999999999999915</v>
      </c>
      <c r="M391" t="str">
        <f>IF(L391&lt;=Statistics!$E$6,"Low Difference",IF('Product Positioning'!L391&gt;=Statistics!$E$4,"High Difference","Moderate Difference"))</f>
        <v>Low Difference</v>
      </c>
    </row>
    <row r="392" spans="1:13" x14ac:dyDescent="0.2">
      <c r="A392">
        <v>122473</v>
      </c>
      <c r="B392" s="1">
        <v>32.200000000000003</v>
      </c>
      <c r="C392" s="1">
        <v>31.52</v>
      </c>
      <c r="D392">
        <v>1604</v>
      </c>
      <c r="E392" t="str">
        <f>_xlfn.XLOOKUP(A392, 'Customer Information'!$A$1:$A$1001, 'Customer Information'!$B$1:$B$1001)</f>
        <v>Medium</v>
      </c>
      <c r="F392" t="str">
        <f>_xlfn.XLOOKUP(A392, 'Customer Information'!$A$1:$A$1001, 'Customer Information'!$C$1:$C$1001)</f>
        <v>Seniors</v>
      </c>
      <c r="G392" t="str">
        <f>_xlfn.XLOOKUP('Customer Information'!A392, 'Customer Information'!$A$1:$A$1001, 'Customer Information'!$D$1:$D$1001)</f>
        <v>No</v>
      </c>
      <c r="H392" t="str">
        <f>INDEX('Additional Product Info.'!$A$1:$C$1001, MATCH('Product Positioning'!$A392, 'Additional Product Info.'!$A$1:$A$1001, 0), MATCH('Product Positioning'!H$1, 'Additional Product Info.'!$A$1:$C$1, 0))</f>
        <v>Aisle</v>
      </c>
      <c r="I392" t="str">
        <f>INDEX('Additional Product Info.'!$A$1:$C$1001, MATCH('Product Positioning'!$A392, 'Additional Product Info.'!$A$1:$A$1001, 0), MATCH('Product Positioning'!I$1, 'Additional Product Info.'!$A$1:$C$1, 0))</f>
        <v>Clothing</v>
      </c>
      <c r="J392" t="str">
        <f>_xlfn.XLOOKUP(A392, $A$1:$A$1001, 'Additional Product Info.'!$D$1:$D$1001)</f>
        <v>Yes</v>
      </c>
      <c r="K392" s="1">
        <f t="shared" si="12"/>
        <v>51648.800000000003</v>
      </c>
      <c r="L392" s="1">
        <f t="shared" si="13"/>
        <v>0.68000000000000327</v>
      </c>
      <c r="M392" t="str">
        <f>IF(L392&lt;=Statistics!$E$6,"Low Difference",IF('Product Positioning'!L392&gt;=Statistics!$E$4,"High Difference","Moderate Difference"))</f>
        <v>Low Difference</v>
      </c>
    </row>
    <row r="393" spans="1:13" x14ac:dyDescent="0.2">
      <c r="A393">
        <v>150408</v>
      </c>
      <c r="B393" s="1">
        <v>31.86</v>
      </c>
      <c r="C393" s="1">
        <v>27.95</v>
      </c>
      <c r="D393">
        <v>1603</v>
      </c>
      <c r="E393" t="str">
        <f>_xlfn.XLOOKUP(A393, 'Customer Information'!$A$1:$A$1001, 'Customer Information'!$B$1:$B$1001)</f>
        <v>Low</v>
      </c>
      <c r="F393" t="str">
        <f>_xlfn.XLOOKUP(A393, 'Customer Information'!$A$1:$A$1001, 'Customer Information'!$C$1:$C$1001)</f>
        <v>College students</v>
      </c>
      <c r="G393" t="str">
        <f>_xlfn.XLOOKUP('Customer Information'!A393, 'Customer Information'!$A$1:$A$1001, 'Customer Information'!$D$1:$D$1001)</f>
        <v>Yes</v>
      </c>
      <c r="H393" t="str">
        <f>INDEX('Additional Product Info.'!$A$1:$C$1001, MATCH('Product Positioning'!$A393, 'Additional Product Info.'!$A$1:$A$1001, 0), MATCH('Product Positioning'!H$1, 'Additional Product Info.'!$A$1:$C$1, 0))</f>
        <v>End-cap</v>
      </c>
      <c r="I393" t="str">
        <f>INDEX('Additional Product Info.'!$A$1:$C$1001, MATCH('Product Positioning'!$A393, 'Additional Product Info.'!$A$1:$A$1001, 0), MATCH('Product Positioning'!I$1, 'Additional Product Info.'!$A$1:$C$1, 0))</f>
        <v>Food</v>
      </c>
      <c r="J393" t="str">
        <f>_xlfn.XLOOKUP(A393, $A$1:$A$1001, 'Additional Product Info.'!$D$1:$D$1001)</f>
        <v>Yes</v>
      </c>
      <c r="K393" s="1">
        <f t="shared" si="12"/>
        <v>51071.58</v>
      </c>
      <c r="L393" s="1">
        <f t="shared" si="13"/>
        <v>3.91</v>
      </c>
      <c r="M393" t="str">
        <f>IF(L393&lt;=Statistics!$E$6,"Low Difference",IF('Product Positioning'!L393&gt;=Statistics!$E$4,"High Difference","Moderate Difference"))</f>
        <v>High Difference</v>
      </c>
    </row>
    <row r="394" spans="1:13" x14ac:dyDescent="0.2">
      <c r="A394">
        <v>178253</v>
      </c>
      <c r="B394" s="1">
        <v>13.82</v>
      </c>
      <c r="C394" s="1">
        <v>9.57</v>
      </c>
      <c r="D394">
        <v>2609</v>
      </c>
      <c r="E394" t="str">
        <f>_xlfn.XLOOKUP(A394, 'Customer Information'!$A$1:$A$1001, 'Customer Information'!$B$1:$B$1001)</f>
        <v>Low</v>
      </c>
      <c r="F394" t="str">
        <f>_xlfn.XLOOKUP(A394, 'Customer Information'!$A$1:$A$1001, 'Customer Information'!$C$1:$C$1001)</f>
        <v>College students</v>
      </c>
      <c r="G394" t="str">
        <f>_xlfn.XLOOKUP('Customer Information'!A394, 'Customer Information'!$A$1:$A$1001, 'Customer Information'!$D$1:$D$1001)</f>
        <v>No</v>
      </c>
      <c r="H394" t="str">
        <f>INDEX('Additional Product Info.'!$A$1:$C$1001, MATCH('Product Positioning'!$A394, 'Additional Product Info.'!$A$1:$A$1001, 0), MATCH('Product Positioning'!H$1, 'Additional Product Info.'!$A$1:$C$1, 0))</f>
        <v>Aisle</v>
      </c>
      <c r="I394" t="str">
        <f>INDEX('Additional Product Info.'!$A$1:$C$1001, MATCH('Product Positioning'!$A394, 'Additional Product Info.'!$A$1:$A$1001, 0), MATCH('Product Positioning'!I$1, 'Additional Product Info.'!$A$1:$C$1, 0))</f>
        <v>Clothing</v>
      </c>
      <c r="J394" t="str">
        <f>_xlfn.XLOOKUP(A394, $A$1:$A$1001, 'Additional Product Info.'!$D$1:$D$1001)</f>
        <v>Yes</v>
      </c>
      <c r="K394" s="1">
        <f t="shared" si="12"/>
        <v>36056.379999999997</v>
      </c>
      <c r="L394" s="1">
        <f t="shared" si="13"/>
        <v>4.25</v>
      </c>
      <c r="M394" t="str">
        <f>IF(L394&lt;=Statistics!$E$6,"Low Difference",IF('Product Positioning'!L394&gt;=Statistics!$E$4,"High Difference","Moderate Difference"))</f>
        <v>High Difference</v>
      </c>
    </row>
    <row r="395" spans="1:13" x14ac:dyDescent="0.2">
      <c r="A395">
        <v>182211</v>
      </c>
      <c r="B395" s="1">
        <v>6.38</v>
      </c>
      <c r="C395" s="1">
        <v>5.8</v>
      </c>
      <c r="D395">
        <v>1956</v>
      </c>
      <c r="E395" t="str">
        <f>_xlfn.XLOOKUP(A395, 'Customer Information'!$A$1:$A$1001, 'Customer Information'!$B$1:$B$1001)</f>
        <v>Medium</v>
      </c>
      <c r="F395" t="str">
        <f>_xlfn.XLOOKUP(A395, 'Customer Information'!$A$1:$A$1001, 'Customer Information'!$C$1:$C$1001)</f>
        <v>Families</v>
      </c>
      <c r="G395" t="str">
        <f>_xlfn.XLOOKUP('Customer Information'!A395, 'Customer Information'!$A$1:$A$1001, 'Customer Information'!$D$1:$D$1001)</f>
        <v>No</v>
      </c>
      <c r="H395" t="str">
        <f>INDEX('Additional Product Info.'!$A$1:$C$1001, MATCH('Product Positioning'!$A395, 'Additional Product Info.'!$A$1:$A$1001, 0), MATCH('Product Positioning'!H$1, 'Additional Product Info.'!$A$1:$C$1, 0))</f>
        <v>End-cap</v>
      </c>
      <c r="I395" t="str">
        <f>INDEX('Additional Product Info.'!$A$1:$C$1001, MATCH('Product Positioning'!$A395, 'Additional Product Info.'!$A$1:$A$1001, 0), MATCH('Product Positioning'!I$1, 'Additional Product Info.'!$A$1:$C$1, 0))</f>
        <v>Clothing</v>
      </c>
      <c r="J395" t="str">
        <f>_xlfn.XLOOKUP(A395, $A$1:$A$1001, 'Additional Product Info.'!$D$1:$D$1001)</f>
        <v>Yes</v>
      </c>
      <c r="K395" s="1">
        <f t="shared" si="12"/>
        <v>12479.28</v>
      </c>
      <c r="L395" s="1">
        <f t="shared" si="13"/>
        <v>0.58000000000000007</v>
      </c>
      <c r="M395" t="str">
        <f>IF(L395&lt;=Statistics!$E$6,"Low Difference",IF('Product Positioning'!L395&gt;=Statistics!$E$4,"High Difference","Moderate Difference"))</f>
        <v>Low Difference</v>
      </c>
    </row>
    <row r="396" spans="1:13" x14ac:dyDescent="0.2">
      <c r="A396">
        <v>157396</v>
      </c>
      <c r="B396" s="1">
        <v>7.24</v>
      </c>
      <c r="C396" s="1">
        <v>4.3</v>
      </c>
      <c r="D396">
        <v>1929</v>
      </c>
      <c r="E396" t="str">
        <f>_xlfn.XLOOKUP(A396, 'Customer Information'!$A$1:$A$1001, 'Customer Information'!$B$1:$B$1001)</f>
        <v>High</v>
      </c>
      <c r="F396" t="str">
        <f>_xlfn.XLOOKUP(A396, 'Customer Information'!$A$1:$A$1001, 'Customer Information'!$C$1:$C$1001)</f>
        <v>College students</v>
      </c>
      <c r="G396" t="str">
        <f>_xlfn.XLOOKUP('Customer Information'!A396, 'Customer Information'!$A$1:$A$1001, 'Customer Information'!$D$1:$D$1001)</f>
        <v>Yes</v>
      </c>
      <c r="H396" t="str">
        <f>INDEX('Additional Product Info.'!$A$1:$C$1001, MATCH('Product Positioning'!$A396, 'Additional Product Info.'!$A$1:$A$1001, 0), MATCH('Product Positioning'!H$1, 'Additional Product Info.'!$A$1:$C$1, 0))</f>
        <v>Front of Store</v>
      </c>
      <c r="I396" t="str">
        <f>INDEX('Additional Product Info.'!$A$1:$C$1001, MATCH('Product Positioning'!$A396, 'Additional Product Info.'!$A$1:$A$1001, 0), MATCH('Product Positioning'!I$1, 'Additional Product Info.'!$A$1:$C$1, 0))</f>
        <v>Clothing</v>
      </c>
      <c r="J396" t="str">
        <f>_xlfn.XLOOKUP(A396, $A$1:$A$1001, 'Additional Product Info.'!$D$1:$D$1001)</f>
        <v>No</v>
      </c>
      <c r="K396" s="1">
        <f t="shared" si="12"/>
        <v>13965.960000000001</v>
      </c>
      <c r="L396" s="1">
        <f t="shared" si="13"/>
        <v>2.9400000000000004</v>
      </c>
      <c r="M396" t="str">
        <f>IF(L396&lt;=Statistics!$E$6,"Low Difference",IF('Product Positioning'!L396&gt;=Statistics!$E$4,"High Difference","Moderate Difference"))</f>
        <v>Moderate Difference</v>
      </c>
    </row>
    <row r="397" spans="1:13" x14ac:dyDescent="0.2">
      <c r="A397">
        <v>152736</v>
      </c>
      <c r="B397" s="1">
        <v>6.99</v>
      </c>
      <c r="C397" s="1">
        <v>4.25</v>
      </c>
      <c r="D397">
        <v>570</v>
      </c>
      <c r="E397" t="str">
        <f>_xlfn.XLOOKUP(A397, 'Customer Information'!$A$1:$A$1001, 'Customer Information'!$B$1:$B$1001)</f>
        <v>Low</v>
      </c>
      <c r="F397" t="str">
        <f>_xlfn.XLOOKUP(A397, 'Customer Information'!$A$1:$A$1001, 'Customer Information'!$C$1:$C$1001)</f>
        <v>Seniors</v>
      </c>
      <c r="G397" t="str">
        <f>_xlfn.XLOOKUP('Customer Information'!A397, 'Customer Information'!$A$1:$A$1001, 'Customer Information'!$D$1:$D$1001)</f>
        <v>Yes</v>
      </c>
      <c r="H397" t="str">
        <f>INDEX('Additional Product Info.'!$A$1:$C$1001, MATCH('Product Positioning'!$A397, 'Additional Product Info.'!$A$1:$A$1001, 0), MATCH('Product Positioning'!H$1, 'Additional Product Info.'!$A$1:$C$1, 0))</f>
        <v>Aisle</v>
      </c>
      <c r="I397" t="str">
        <f>INDEX('Additional Product Info.'!$A$1:$C$1001, MATCH('Product Positioning'!$A397, 'Additional Product Info.'!$A$1:$A$1001, 0), MATCH('Product Positioning'!I$1, 'Additional Product Info.'!$A$1:$C$1, 0))</f>
        <v>Electronics</v>
      </c>
      <c r="J397" t="str">
        <f>_xlfn.XLOOKUP(A397, $A$1:$A$1001, 'Additional Product Info.'!$D$1:$D$1001)</f>
        <v>No</v>
      </c>
      <c r="K397" s="1">
        <f t="shared" si="12"/>
        <v>3984.3</v>
      </c>
      <c r="L397" s="1">
        <f t="shared" si="13"/>
        <v>2.74</v>
      </c>
      <c r="M397" t="str">
        <f>IF(L397&lt;=Statistics!$E$6,"Low Difference",IF('Product Positioning'!L397&gt;=Statistics!$E$4,"High Difference","Moderate Difference"))</f>
        <v>Moderate Difference</v>
      </c>
    </row>
    <row r="398" spans="1:13" x14ac:dyDescent="0.2">
      <c r="A398">
        <v>168051</v>
      </c>
      <c r="B398" s="1">
        <v>13.03</v>
      </c>
      <c r="C398" s="1">
        <v>9.9600000000000009</v>
      </c>
      <c r="D398">
        <v>1680</v>
      </c>
      <c r="E398" t="str">
        <f>_xlfn.XLOOKUP(A398, 'Customer Information'!$A$1:$A$1001, 'Customer Information'!$B$1:$B$1001)</f>
        <v>High</v>
      </c>
      <c r="F398" t="str">
        <f>_xlfn.XLOOKUP(A398, 'Customer Information'!$A$1:$A$1001, 'Customer Information'!$C$1:$C$1001)</f>
        <v>Young adults</v>
      </c>
      <c r="G398" t="str">
        <f>_xlfn.XLOOKUP('Customer Information'!A398, 'Customer Information'!$A$1:$A$1001, 'Customer Information'!$D$1:$D$1001)</f>
        <v>No</v>
      </c>
      <c r="H398" t="str">
        <f>INDEX('Additional Product Info.'!$A$1:$C$1001, MATCH('Product Positioning'!$A398, 'Additional Product Info.'!$A$1:$A$1001, 0), MATCH('Product Positioning'!H$1, 'Additional Product Info.'!$A$1:$C$1, 0))</f>
        <v>Aisle</v>
      </c>
      <c r="I398" t="str">
        <f>INDEX('Additional Product Info.'!$A$1:$C$1001, MATCH('Product Positioning'!$A398, 'Additional Product Info.'!$A$1:$A$1001, 0), MATCH('Product Positioning'!I$1, 'Additional Product Info.'!$A$1:$C$1, 0))</f>
        <v>Electronics</v>
      </c>
      <c r="J398" t="str">
        <f>_xlfn.XLOOKUP(A398, $A$1:$A$1001, 'Additional Product Info.'!$D$1:$D$1001)</f>
        <v>Yes</v>
      </c>
      <c r="K398" s="1">
        <f t="shared" si="12"/>
        <v>21890.399999999998</v>
      </c>
      <c r="L398" s="1">
        <f t="shared" si="13"/>
        <v>3.0699999999999985</v>
      </c>
      <c r="M398" t="str">
        <f>IF(L398&lt;=Statistics!$E$6,"Low Difference",IF('Product Positioning'!L398&gt;=Statistics!$E$4,"High Difference","Moderate Difference"))</f>
        <v>Moderate Difference</v>
      </c>
    </row>
    <row r="399" spans="1:13" x14ac:dyDescent="0.2">
      <c r="A399">
        <v>119648</v>
      </c>
      <c r="B399" s="1">
        <v>31.46</v>
      </c>
      <c r="C399" s="1">
        <v>28.87</v>
      </c>
      <c r="D399">
        <v>2356</v>
      </c>
      <c r="E399" t="str">
        <f>_xlfn.XLOOKUP(A399, 'Customer Information'!$A$1:$A$1001, 'Customer Information'!$B$1:$B$1001)</f>
        <v>Medium</v>
      </c>
      <c r="F399" t="str">
        <f>_xlfn.XLOOKUP(A399, 'Customer Information'!$A$1:$A$1001, 'Customer Information'!$C$1:$C$1001)</f>
        <v>College students</v>
      </c>
      <c r="G399" t="str">
        <f>_xlfn.XLOOKUP('Customer Information'!A399, 'Customer Information'!$A$1:$A$1001, 'Customer Information'!$D$1:$D$1001)</f>
        <v>No</v>
      </c>
      <c r="H399" t="str">
        <f>INDEX('Additional Product Info.'!$A$1:$C$1001, MATCH('Product Positioning'!$A399, 'Additional Product Info.'!$A$1:$A$1001, 0), MATCH('Product Positioning'!H$1, 'Additional Product Info.'!$A$1:$C$1, 0))</f>
        <v>Aisle</v>
      </c>
      <c r="I399" t="str">
        <f>INDEX('Additional Product Info.'!$A$1:$C$1001, MATCH('Product Positioning'!$A399, 'Additional Product Info.'!$A$1:$A$1001, 0), MATCH('Product Positioning'!I$1, 'Additional Product Info.'!$A$1:$C$1, 0))</f>
        <v>Clothing</v>
      </c>
      <c r="J399" t="str">
        <f>_xlfn.XLOOKUP(A399, $A$1:$A$1001, 'Additional Product Info.'!$D$1:$D$1001)</f>
        <v>No</v>
      </c>
      <c r="K399" s="1">
        <f t="shared" si="12"/>
        <v>74119.759999999995</v>
      </c>
      <c r="L399" s="1">
        <f t="shared" si="13"/>
        <v>2.59</v>
      </c>
      <c r="M399" t="str">
        <f>IF(L399&lt;=Statistics!$E$6,"Low Difference",IF('Product Positioning'!L399&gt;=Statistics!$E$4,"High Difference","Moderate Difference"))</f>
        <v>Moderate Difference</v>
      </c>
    </row>
    <row r="400" spans="1:13" x14ac:dyDescent="0.2">
      <c r="A400">
        <v>130206</v>
      </c>
      <c r="B400" s="1">
        <v>37.159999999999997</v>
      </c>
      <c r="C400" s="1">
        <v>32.19</v>
      </c>
      <c r="D400">
        <v>2510</v>
      </c>
      <c r="E400" t="str">
        <f>_xlfn.XLOOKUP(A400, 'Customer Information'!$A$1:$A$1001, 'Customer Information'!$B$1:$B$1001)</f>
        <v>Low</v>
      </c>
      <c r="F400" t="str">
        <f>_xlfn.XLOOKUP(A400, 'Customer Information'!$A$1:$A$1001, 'Customer Information'!$C$1:$C$1001)</f>
        <v>College students</v>
      </c>
      <c r="G400" t="str">
        <f>_xlfn.XLOOKUP('Customer Information'!A400, 'Customer Information'!$A$1:$A$1001, 'Customer Information'!$D$1:$D$1001)</f>
        <v>Yes</v>
      </c>
      <c r="H400" t="str">
        <f>INDEX('Additional Product Info.'!$A$1:$C$1001, MATCH('Product Positioning'!$A400, 'Additional Product Info.'!$A$1:$A$1001, 0), MATCH('Product Positioning'!H$1, 'Additional Product Info.'!$A$1:$C$1, 0))</f>
        <v>Aisle</v>
      </c>
      <c r="I400" t="str">
        <f>INDEX('Additional Product Info.'!$A$1:$C$1001, MATCH('Product Positioning'!$A400, 'Additional Product Info.'!$A$1:$A$1001, 0), MATCH('Product Positioning'!I$1, 'Additional Product Info.'!$A$1:$C$1, 0))</f>
        <v>Electronics</v>
      </c>
      <c r="J400" t="str">
        <f>_xlfn.XLOOKUP(A400, $A$1:$A$1001, 'Additional Product Info.'!$D$1:$D$1001)</f>
        <v>No</v>
      </c>
      <c r="K400" s="1">
        <f t="shared" si="12"/>
        <v>93271.599999999991</v>
      </c>
      <c r="L400" s="1">
        <f t="shared" si="13"/>
        <v>4.9699999999999989</v>
      </c>
      <c r="M400" t="str">
        <f>IF(L400&lt;=Statistics!$E$6,"Low Difference",IF('Product Positioning'!L400&gt;=Statistics!$E$4,"High Difference","Moderate Difference"))</f>
        <v>High Difference</v>
      </c>
    </row>
    <row r="401" spans="1:13" x14ac:dyDescent="0.2">
      <c r="A401">
        <v>153501</v>
      </c>
      <c r="B401" s="1">
        <v>29.56</v>
      </c>
      <c r="C401" s="1">
        <v>29.41</v>
      </c>
      <c r="D401">
        <v>1103</v>
      </c>
      <c r="E401" t="str">
        <f>_xlfn.XLOOKUP(A401, 'Customer Information'!$A$1:$A$1001, 'Customer Information'!$B$1:$B$1001)</f>
        <v>Medium</v>
      </c>
      <c r="F401" t="str">
        <f>_xlfn.XLOOKUP(A401, 'Customer Information'!$A$1:$A$1001, 'Customer Information'!$C$1:$C$1001)</f>
        <v>Families</v>
      </c>
      <c r="G401" t="str">
        <f>_xlfn.XLOOKUP('Customer Information'!A401, 'Customer Information'!$A$1:$A$1001, 'Customer Information'!$D$1:$D$1001)</f>
        <v>Yes</v>
      </c>
      <c r="H401" t="str">
        <f>INDEX('Additional Product Info.'!$A$1:$C$1001, MATCH('Product Positioning'!$A401, 'Additional Product Info.'!$A$1:$A$1001, 0), MATCH('Product Positioning'!H$1, 'Additional Product Info.'!$A$1:$C$1, 0))</f>
        <v>Aisle</v>
      </c>
      <c r="I401" t="str">
        <f>INDEX('Additional Product Info.'!$A$1:$C$1001, MATCH('Product Positioning'!$A401, 'Additional Product Info.'!$A$1:$A$1001, 0), MATCH('Product Positioning'!I$1, 'Additional Product Info.'!$A$1:$C$1, 0))</f>
        <v>Clothing</v>
      </c>
      <c r="J401" t="str">
        <f>_xlfn.XLOOKUP(A401, $A$1:$A$1001, 'Additional Product Info.'!$D$1:$D$1001)</f>
        <v>Yes</v>
      </c>
      <c r="K401" s="1">
        <f t="shared" si="12"/>
        <v>32604.68</v>
      </c>
      <c r="L401" s="1">
        <f t="shared" si="13"/>
        <v>0.14999999999999858</v>
      </c>
      <c r="M401" t="str">
        <f>IF(L401&lt;=Statistics!$E$6,"Low Difference",IF('Product Positioning'!L401&gt;=Statistics!$E$4,"High Difference","Moderate Difference"))</f>
        <v>Low Difference</v>
      </c>
    </row>
    <row r="402" spans="1:13" x14ac:dyDescent="0.2">
      <c r="A402">
        <v>196059</v>
      </c>
      <c r="B402" s="1">
        <v>43.14</v>
      </c>
      <c r="C402" s="1">
        <v>38.22</v>
      </c>
      <c r="D402">
        <v>1692</v>
      </c>
      <c r="E402" t="str">
        <f>_xlfn.XLOOKUP(A402, 'Customer Information'!$A$1:$A$1001, 'Customer Information'!$B$1:$B$1001)</f>
        <v>High</v>
      </c>
      <c r="F402" t="str">
        <f>_xlfn.XLOOKUP(A402, 'Customer Information'!$A$1:$A$1001, 'Customer Information'!$C$1:$C$1001)</f>
        <v>Seniors</v>
      </c>
      <c r="G402" t="str">
        <f>_xlfn.XLOOKUP('Customer Information'!A402, 'Customer Information'!$A$1:$A$1001, 'Customer Information'!$D$1:$D$1001)</f>
        <v>No</v>
      </c>
      <c r="H402" t="str">
        <f>INDEX('Additional Product Info.'!$A$1:$C$1001, MATCH('Product Positioning'!$A402, 'Additional Product Info.'!$A$1:$A$1001, 0), MATCH('Product Positioning'!H$1, 'Additional Product Info.'!$A$1:$C$1, 0))</f>
        <v>Aisle</v>
      </c>
      <c r="I402" t="str">
        <f>INDEX('Additional Product Info.'!$A$1:$C$1001, MATCH('Product Positioning'!$A402, 'Additional Product Info.'!$A$1:$A$1001, 0), MATCH('Product Positioning'!I$1, 'Additional Product Info.'!$A$1:$C$1, 0))</f>
        <v>Clothing</v>
      </c>
      <c r="J402" t="str">
        <f>_xlfn.XLOOKUP(A402, $A$1:$A$1001, 'Additional Product Info.'!$D$1:$D$1001)</f>
        <v>No</v>
      </c>
      <c r="K402" s="1">
        <f t="shared" si="12"/>
        <v>72992.88</v>
      </c>
      <c r="L402" s="1">
        <f t="shared" si="13"/>
        <v>4.9200000000000017</v>
      </c>
      <c r="M402" t="str">
        <f>IF(L402&lt;=Statistics!$E$6,"Low Difference",IF('Product Positioning'!L402&gt;=Statistics!$E$4,"High Difference","Moderate Difference"))</f>
        <v>High Difference</v>
      </c>
    </row>
    <row r="403" spans="1:13" x14ac:dyDescent="0.2">
      <c r="A403">
        <v>153655</v>
      </c>
      <c r="B403" s="1">
        <v>6.98</v>
      </c>
      <c r="C403" s="1">
        <v>3.65</v>
      </c>
      <c r="D403">
        <v>2949</v>
      </c>
      <c r="E403" t="str">
        <f>_xlfn.XLOOKUP(A403, 'Customer Information'!$A$1:$A$1001, 'Customer Information'!$B$1:$B$1001)</f>
        <v>Low</v>
      </c>
      <c r="F403" t="str">
        <f>_xlfn.XLOOKUP(A403, 'Customer Information'!$A$1:$A$1001, 'Customer Information'!$C$1:$C$1001)</f>
        <v>Young adults</v>
      </c>
      <c r="G403" t="str">
        <f>_xlfn.XLOOKUP('Customer Information'!A403, 'Customer Information'!$A$1:$A$1001, 'Customer Information'!$D$1:$D$1001)</f>
        <v>Yes</v>
      </c>
      <c r="H403" t="str">
        <f>INDEX('Additional Product Info.'!$A$1:$C$1001, MATCH('Product Positioning'!$A403, 'Additional Product Info.'!$A$1:$A$1001, 0), MATCH('Product Positioning'!H$1, 'Additional Product Info.'!$A$1:$C$1, 0))</f>
        <v>Aisle</v>
      </c>
      <c r="I403" t="str">
        <f>INDEX('Additional Product Info.'!$A$1:$C$1001, MATCH('Product Positioning'!$A403, 'Additional Product Info.'!$A$1:$A$1001, 0), MATCH('Product Positioning'!I$1, 'Additional Product Info.'!$A$1:$C$1, 0))</f>
        <v>Clothing</v>
      </c>
      <c r="J403" t="str">
        <f>_xlfn.XLOOKUP(A403, $A$1:$A$1001, 'Additional Product Info.'!$D$1:$D$1001)</f>
        <v>No</v>
      </c>
      <c r="K403" s="1">
        <f t="shared" si="12"/>
        <v>20584.02</v>
      </c>
      <c r="L403" s="1">
        <f t="shared" si="13"/>
        <v>3.3300000000000005</v>
      </c>
      <c r="M403" t="str">
        <f>IF(L403&lt;=Statistics!$E$6,"Low Difference",IF('Product Positioning'!L403&gt;=Statistics!$E$4,"High Difference","Moderate Difference"))</f>
        <v>Moderate Difference</v>
      </c>
    </row>
    <row r="404" spans="1:13" x14ac:dyDescent="0.2">
      <c r="A404">
        <v>191803</v>
      </c>
      <c r="B404" s="1">
        <v>22.04</v>
      </c>
      <c r="C404" s="1">
        <v>18.39</v>
      </c>
      <c r="D404">
        <v>1956</v>
      </c>
      <c r="E404" t="str">
        <f>_xlfn.XLOOKUP(A404, 'Customer Information'!$A$1:$A$1001, 'Customer Information'!$B$1:$B$1001)</f>
        <v>Medium</v>
      </c>
      <c r="F404" t="str">
        <f>_xlfn.XLOOKUP(A404, 'Customer Information'!$A$1:$A$1001, 'Customer Information'!$C$1:$C$1001)</f>
        <v>Young adults</v>
      </c>
      <c r="G404" t="str">
        <f>_xlfn.XLOOKUP('Customer Information'!A404, 'Customer Information'!$A$1:$A$1001, 'Customer Information'!$D$1:$D$1001)</f>
        <v>Yes</v>
      </c>
      <c r="H404" t="str">
        <f>INDEX('Additional Product Info.'!$A$1:$C$1001, MATCH('Product Positioning'!$A404, 'Additional Product Info.'!$A$1:$A$1001, 0), MATCH('Product Positioning'!H$1, 'Additional Product Info.'!$A$1:$C$1, 0))</f>
        <v>Front of Store</v>
      </c>
      <c r="I404" t="str">
        <f>INDEX('Additional Product Info.'!$A$1:$C$1001, MATCH('Product Positioning'!$A404, 'Additional Product Info.'!$A$1:$A$1001, 0), MATCH('Product Positioning'!I$1, 'Additional Product Info.'!$A$1:$C$1, 0))</f>
        <v>Electronics</v>
      </c>
      <c r="J404" t="str">
        <f>_xlfn.XLOOKUP(A404, $A$1:$A$1001, 'Additional Product Info.'!$D$1:$D$1001)</f>
        <v>Yes</v>
      </c>
      <c r="K404" s="1">
        <f t="shared" si="12"/>
        <v>43110.239999999998</v>
      </c>
      <c r="L404" s="1">
        <f t="shared" si="13"/>
        <v>3.6499999999999986</v>
      </c>
      <c r="M404" t="str">
        <f>IF(L404&lt;=Statistics!$E$6,"Low Difference",IF('Product Positioning'!L404&gt;=Statistics!$E$4,"High Difference","Moderate Difference"))</f>
        <v>Moderate Difference</v>
      </c>
    </row>
    <row r="405" spans="1:13" x14ac:dyDescent="0.2">
      <c r="A405">
        <v>145992</v>
      </c>
      <c r="B405" s="1">
        <v>5.25</v>
      </c>
      <c r="C405" s="1">
        <v>4.12</v>
      </c>
      <c r="D405">
        <v>1519</v>
      </c>
      <c r="E405" t="str">
        <f>_xlfn.XLOOKUP(A405, 'Customer Information'!$A$1:$A$1001, 'Customer Information'!$B$1:$B$1001)</f>
        <v>Low</v>
      </c>
      <c r="F405" t="str">
        <f>_xlfn.XLOOKUP(A405, 'Customer Information'!$A$1:$A$1001, 'Customer Information'!$C$1:$C$1001)</f>
        <v>College students</v>
      </c>
      <c r="G405" t="str">
        <f>_xlfn.XLOOKUP('Customer Information'!A405, 'Customer Information'!$A$1:$A$1001, 'Customer Information'!$D$1:$D$1001)</f>
        <v>Yes</v>
      </c>
      <c r="H405" t="str">
        <f>INDEX('Additional Product Info.'!$A$1:$C$1001, MATCH('Product Positioning'!$A405, 'Additional Product Info.'!$A$1:$A$1001, 0), MATCH('Product Positioning'!H$1, 'Additional Product Info.'!$A$1:$C$1, 0))</f>
        <v>Front of Store</v>
      </c>
      <c r="I405" t="str">
        <f>INDEX('Additional Product Info.'!$A$1:$C$1001, MATCH('Product Positioning'!$A405, 'Additional Product Info.'!$A$1:$A$1001, 0), MATCH('Product Positioning'!I$1, 'Additional Product Info.'!$A$1:$C$1, 0))</f>
        <v>Electronics</v>
      </c>
      <c r="J405" t="str">
        <f>_xlfn.XLOOKUP(A405, $A$1:$A$1001, 'Additional Product Info.'!$D$1:$D$1001)</f>
        <v>No</v>
      </c>
      <c r="K405" s="1">
        <f t="shared" si="12"/>
        <v>7974.75</v>
      </c>
      <c r="L405" s="1">
        <f t="shared" si="13"/>
        <v>1.1299999999999999</v>
      </c>
      <c r="M405" t="str">
        <f>IF(L405&lt;=Statistics!$E$6,"Low Difference",IF('Product Positioning'!L405&gt;=Statistics!$E$4,"High Difference","Moderate Difference"))</f>
        <v>Low Difference</v>
      </c>
    </row>
    <row r="406" spans="1:13" x14ac:dyDescent="0.2">
      <c r="A406">
        <v>118967</v>
      </c>
      <c r="B406" s="1">
        <v>7.93</v>
      </c>
      <c r="C406" s="1">
        <v>4.75</v>
      </c>
      <c r="D406">
        <v>777</v>
      </c>
      <c r="E406" t="str">
        <f>_xlfn.XLOOKUP(A406, 'Customer Information'!$A$1:$A$1001, 'Customer Information'!$B$1:$B$1001)</f>
        <v>High</v>
      </c>
      <c r="F406" t="str">
        <f>_xlfn.XLOOKUP(A406, 'Customer Information'!$A$1:$A$1001, 'Customer Information'!$C$1:$C$1001)</f>
        <v>Young adults</v>
      </c>
      <c r="G406" t="str">
        <f>_xlfn.XLOOKUP('Customer Information'!A406, 'Customer Information'!$A$1:$A$1001, 'Customer Information'!$D$1:$D$1001)</f>
        <v>Yes</v>
      </c>
      <c r="H406" t="str">
        <f>INDEX('Additional Product Info.'!$A$1:$C$1001, MATCH('Product Positioning'!$A406, 'Additional Product Info.'!$A$1:$A$1001, 0), MATCH('Product Positioning'!H$1, 'Additional Product Info.'!$A$1:$C$1, 0))</f>
        <v>End-cap</v>
      </c>
      <c r="I406" t="str">
        <f>INDEX('Additional Product Info.'!$A$1:$C$1001, MATCH('Product Positioning'!$A406, 'Additional Product Info.'!$A$1:$A$1001, 0), MATCH('Product Positioning'!I$1, 'Additional Product Info.'!$A$1:$C$1, 0))</f>
        <v>Electronics</v>
      </c>
      <c r="J406" t="str">
        <f>_xlfn.XLOOKUP(A406, $A$1:$A$1001, 'Additional Product Info.'!$D$1:$D$1001)</f>
        <v>No</v>
      </c>
      <c r="K406" s="1">
        <f t="shared" si="12"/>
        <v>6161.61</v>
      </c>
      <c r="L406" s="1">
        <f t="shared" si="13"/>
        <v>3.1799999999999997</v>
      </c>
      <c r="M406" t="str">
        <f>IF(L406&lt;=Statistics!$E$6,"Low Difference",IF('Product Positioning'!L406&gt;=Statistics!$E$4,"High Difference","Moderate Difference"))</f>
        <v>Moderate Difference</v>
      </c>
    </row>
    <row r="407" spans="1:13" x14ac:dyDescent="0.2">
      <c r="A407">
        <v>125062</v>
      </c>
      <c r="B407" s="1">
        <v>45.23</v>
      </c>
      <c r="C407" s="1">
        <v>43.36</v>
      </c>
      <c r="D407">
        <v>768</v>
      </c>
      <c r="E407" t="str">
        <f>_xlfn.XLOOKUP(A407, 'Customer Information'!$A$1:$A$1001, 'Customer Information'!$B$1:$B$1001)</f>
        <v>High</v>
      </c>
      <c r="F407" t="str">
        <f>_xlfn.XLOOKUP(A407, 'Customer Information'!$A$1:$A$1001, 'Customer Information'!$C$1:$C$1001)</f>
        <v>College students</v>
      </c>
      <c r="G407" t="str">
        <f>_xlfn.XLOOKUP('Customer Information'!A407, 'Customer Information'!$A$1:$A$1001, 'Customer Information'!$D$1:$D$1001)</f>
        <v>No</v>
      </c>
      <c r="H407" t="str">
        <f>INDEX('Additional Product Info.'!$A$1:$C$1001, MATCH('Product Positioning'!$A407, 'Additional Product Info.'!$A$1:$A$1001, 0), MATCH('Product Positioning'!H$1, 'Additional Product Info.'!$A$1:$C$1, 0))</f>
        <v>End-cap</v>
      </c>
      <c r="I407" t="str">
        <f>INDEX('Additional Product Info.'!$A$1:$C$1001, MATCH('Product Positioning'!$A407, 'Additional Product Info.'!$A$1:$A$1001, 0), MATCH('Product Positioning'!I$1, 'Additional Product Info.'!$A$1:$C$1, 0))</f>
        <v>Food</v>
      </c>
      <c r="J407" t="str">
        <f>_xlfn.XLOOKUP(A407, $A$1:$A$1001, 'Additional Product Info.'!$D$1:$D$1001)</f>
        <v>No</v>
      </c>
      <c r="K407" s="1">
        <f t="shared" si="12"/>
        <v>34736.639999999999</v>
      </c>
      <c r="L407" s="1">
        <f t="shared" si="13"/>
        <v>1.8699999999999974</v>
      </c>
      <c r="M407" t="str">
        <f>IF(L407&lt;=Statistics!$E$6,"Low Difference",IF('Product Positioning'!L407&gt;=Statistics!$E$4,"High Difference","Moderate Difference"))</f>
        <v>Moderate Difference</v>
      </c>
    </row>
    <row r="408" spans="1:13" x14ac:dyDescent="0.2">
      <c r="A408">
        <v>165448</v>
      </c>
      <c r="B408" s="1">
        <v>46.61</v>
      </c>
      <c r="C408" s="1">
        <v>41.87</v>
      </c>
      <c r="D408">
        <v>1294</v>
      </c>
      <c r="E408" t="str">
        <f>_xlfn.XLOOKUP(A408, 'Customer Information'!$A$1:$A$1001, 'Customer Information'!$B$1:$B$1001)</f>
        <v>High</v>
      </c>
      <c r="F408" t="str">
        <f>_xlfn.XLOOKUP(A408, 'Customer Information'!$A$1:$A$1001, 'Customer Information'!$C$1:$C$1001)</f>
        <v>Families</v>
      </c>
      <c r="G408" t="str">
        <f>_xlfn.XLOOKUP('Customer Information'!A408, 'Customer Information'!$A$1:$A$1001, 'Customer Information'!$D$1:$D$1001)</f>
        <v>Yes</v>
      </c>
      <c r="H408" t="str">
        <f>INDEX('Additional Product Info.'!$A$1:$C$1001, MATCH('Product Positioning'!$A408, 'Additional Product Info.'!$A$1:$A$1001, 0), MATCH('Product Positioning'!H$1, 'Additional Product Info.'!$A$1:$C$1, 0))</f>
        <v>End-cap</v>
      </c>
      <c r="I408" t="str">
        <f>INDEX('Additional Product Info.'!$A$1:$C$1001, MATCH('Product Positioning'!$A408, 'Additional Product Info.'!$A$1:$A$1001, 0), MATCH('Product Positioning'!I$1, 'Additional Product Info.'!$A$1:$C$1, 0))</f>
        <v>Clothing</v>
      </c>
      <c r="J408" t="str">
        <f>_xlfn.XLOOKUP(A408, $A$1:$A$1001, 'Additional Product Info.'!$D$1:$D$1001)</f>
        <v>Yes</v>
      </c>
      <c r="K408" s="1">
        <f t="shared" si="12"/>
        <v>60313.34</v>
      </c>
      <c r="L408" s="1">
        <f t="shared" si="13"/>
        <v>4.740000000000002</v>
      </c>
      <c r="M408" t="str">
        <f>IF(L408&lt;=Statistics!$E$6,"Low Difference",IF('Product Positioning'!L408&gt;=Statistics!$E$4,"High Difference","Moderate Difference"))</f>
        <v>High Difference</v>
      </c>
    </row>
    <row r="409" spans="1:13" x14ac:dyDescent="0.2">
      <c r="A409">
        <v>160827</v>
      </c>
      <c r="B409" s="1">
        <v>25.91</v>
      </c>
      <c r="C409" s="1">
        <v>21.37</v>
      </c>
      <c r="D409">
        <v>2555</v>
      </c>
      <c r="E409" t="str">
        <f>_xlfn.XLOOKUP(A409, 'Customer Information'!$A$1:$A$1001, 'Customer Information'!$B$1:$B$1001)</f>
        <v>Low</v>
      </c>
      <c r="F409" t="str">
        <f>_xlfn.XLOOKUP(A409, 'Customer Information'!$A$1:$A$1001, 'Customer Information'!$C$1:$C$1001)</f>
        <v>Seniors</v>
      </c>
      <c r="G409" t="str">
        <f>_xlfn.XLOOKUP('Customer Information'!A409, 'Customer Information'!$A$1:$A$1001, 'Customer Information'!$D$1:$D$1001)</f>
        <v>No</v>
      </c>
      <c r="H409" t="str">
        <f>INDEX('Additional Product Info.'!$A$1:$C$1001, MATCH('Product Positioning'!$A409, 'Additional Product Info.'!$A$1:$A$1001, 0), MATCH('Product Positioning'!H$1, 'Additional Product Info.'!$A$1:$C$1, 0))</f>
        <v>End-cap</v>
      </c>
      <c r="I409" t="str">
        <f>INDEX('Additional Product Info.'!$A$1:$C$1001, MATCH('Product Positioning'!$A409, 'Additional Product Info.'!$A$1:$A$1001, 0), MATCH('Product Positioning'!I$1, 'Additional Product Info.'!$A$1:$C$1, 0))</f>
        <v>Electronics</v>
      </c>
      <c r="J409" t="str">
        <f>_xlfn.XLOOKUP(A409, $A$1:$A$1001, 'Additional Product Info.'!$D$1:$D$1001)</f>
        <v>Yes</v>
      </c>
      <c r="K409" s="1">
        <f t="shared" si="12"/>
        <v>66200.05</v>
      </c>
      <c r="L409" s="1">
        <f t="shared" si="13"/>
        <v>4.5399999999999991</v>
      </c>
      <c r="M409" t="str">
        <f>IF(L409&lt;=Statistics!$E$6,"Low Difference",IF('Product Positioning'!L409&gt;=Statistics!$E$4,"High Difference","Moderate Difference"))</f>
        <v>High Difference</v>
      </c>
    </row>
    <row r="410" spans="1:13" x14ac:dyDescent="0.2">
      <c r="A410">
        <v>125378</v>
      </c>
      <c r="B410" s="1">
        <v>23.53</v>
      </c>
      <c r="C410" s="1">
        <v>22.66</v>
      </c>
      <c r="D410">
        <v>1770</v>
      </c>
      <c r="E410" t="str">
        <f>_xlfn.XLOOKUP(A410, 'Customer Information'!$A$1:$A$1001, 'Customer Information'!$B$1:$B$1001)</f>
        <v>Medium</v>
      </c>
      <c r="F410" t="str">
        <f>_xlfn.XLOOKUP(A410, 'Customer Information'!$A$1:$A$1001, 'Customer Information'!$C$1:$C$1001)</f>
        <v>Young adults</v>
      </c>
      <c r="G410" t="str">
        <f>_xlfn.XLOOKUP('Customer Information'!A410, 'Customer Information'!$A$1:$A$1001, 'Customer Information'!$D$1:$D$1001)</f>
        <v>Yes</v>
      </c>
      <c r="H410" t="str">
        <f>INDEX('Additional Product Info.'!$A$1:$C$1001, MATCH('Product Positioning'!$A410, 'Additional Product Info.'!$A$1:$A$1001, 0), MATCH('Product Positioning'!H$1, 'Additional Product Info.'!$A$1:$C$1, 0))</f>
        <v>Aisle</v>
      </c>
      <c r="I410" t="str">
        <f>INDEX('Additional Product Info.'!$A$1:$C$1001, MATCH('Product Positioning'!$A410, 'Additional Product Info.'!$A$1:$A$1001, 0), MATCH('Product Positioning'!I$1, 'Additional Product Info.'!$A$1:$C$1, 0))</f>
        <v>Electronics</v>
      </c>
      <c r="J410" t="str">
        <f>_xlfn.XLOOKUP(A410, $A$1:$A$1001, 'Additional Product Info.'!$D$1:$D$1001)</f>
        <v>No</v>
      </c>
      <c r="K410" s="1">
        <f t="shared" si="12"/>
        <v>41648.1</v>
      </c>
      <c r="L410" s="1">
        <f t="shared" si="13"/>
        <v>0.87000000000000099</v>
      </c>
      <c r="M410" t="str">
        <f>IF(L410&lt;=Statistics!$E$6,"Low Difference",IF('Product Positioning'!L410&gt;=Statistics!$E$4,"High Difference","Moderate Difference"))</f>
        <v>Low Difference</v>
      </c>
    </row>
    <row r="411" spans="1:13" x14ac:dyDescent="0.2">
      <c r="A411">
        <v>185547</v>
      </c>
      <c r="B411" s="1">
        <v>33.880000000000003</v>
      </c>
      <c r="C411" s="1">
        <v>32.200000000000003</v>
      </c>
      <c r="D411">
        <v>2933</v>
      </c>
      <c r="E411" t="str">
        <f>_xlfn.XLOOKUP(A411, 'Customer Information'!$A$1:$A$1001, 'Customer Information'!$B$1:$B$1001)</f>
        <v>High</v>
      </c>
      <c r="F411" t="str">
        <f>_xlfn.XLOOKUP(A411, 'Customer Information'!$A$1:$A$1001, 'Customer Information'!$C$1:$C$1001)</f>
        <v>College students</v>
      </c>
      <c r="G411" t="str">
        <f>_xlfn.XLOOKUP('Customer Information'!A411, 'Customer Information'!$A$1:$A$1001, 'Customer Information'!$D$1:$D$1001)</f>
        <v>Yes</v>
      </c>
      <c r="H411" t="str">
        <f>INDEX('Additional Product Info.'!$A$1:$C$1001, MATCH('Product Positioning'!$A411, 'Additional Product Info.'!$A$1:$A$1001, 0), MATCH('Product Positioning'!H$1, 'Additional Product Info.'!$A$1:$C$1, 0))</f>
        <v>Aisle</v>
      </c>
      <c r="I411" t="str">
        <f>INDEX('Additional Product Info.'!$A$1:$C$1001, MATCH('Product Positioning'!$A411, 'Additional Product Info.'!$A$1:$A$1001, 0), MATCH('Product Positioning'!I$1, 'Additional Product Info.'!$A$1:$C$1, 0))</f>
        <v>Food</v>
      </c>
      <c r="J411" t="str">
        <f>_xlfn.XLOOKUP(A411, $A$1:$A$1001, 'Additional Product Info.'!$D$1:$D$1001)</f>
        <v>Yes</v>
      </c>
      <c r="K411" s="1">
        <f t="shared" si="12"/>
        <v>99370.040000000008</v>
      </c>
      <c r="L411" s="1">
        <f t="shared" si="13"/>
        <v>1.6799999999999997</v>
      </c>
      <c r="M411" t="str">
        <f>IF(L411&lt;=Statistics!$E$6,"Low Difference",IF('Product Positioning'!L411&gt;=Statistics!$E$4,"High Difference","Moderate Difference"))</f>
        <v>Moderate Difference</v>
      </c>
    </row>
    <row r="412" spans="1:13" x14ac:dyDescent="0.2">
      <c r="A412">
        <v>191475</v>
      </c>
      <c r="B412" s="1">
        <v>29.88</v>
      </c>
      <c r="C412" s="1">
        <v>26.09</v>
      </c>
      <c r="D412">
        <v>1808</v>
      </c>
      <c r="E412" t="str">
        <f>_xlfn.XLOOKUP(A412, 'Customer Information'!$A$1:$A$1001, 'Customer Information'!$B$1:$B$1001)</f>
        <v>High</v>
      </c>
      <c r="F412" t="str">
        <f>_xlfn.XLOOKUP(A412, 'Customer Information'!$A$1:$A$1001, 'Customer Information'!$C$1:$C$1001)</f>
        <v>Seniors</v>
      </c>
      <c r="G412" t="str">
        <f>_xlfn.XLOOKUP('Customer Information'!A412, 'Customer Information'!$A$1:$A$1001, 'Customer Information'!$D$1:$D$1001)</f>
        <v>No</v>
      </c>
      <c r="H412" t="str">
        <f>INDEX('Additional Product Info.'!$A$1:$C$1001, MATCH('Product Positioning'!$A412, 'Additional Product Info.'!$A$1:$A$1001, 0), MATCH('Product Positioning'!H$1, 'Additional Product Info.'!$A$1:$C$1, 0))</f>
        <v>Aisle</v>
      </c>
      <c r="I412" t="str">
        <f>INDEX('Additional Product Info.'!$A$1:$C$1001, MATCH('Product Positioning'!$A412, 'Additional Product Info.'!$A$1:$A$1001, 0), MATCH('Product Positioning'!I$1, 'Additional Product Info.'!$A$1:$C$1, 0))</f>
        <v>Clothing</v>
      </c>
      <c r="J412" t="str">
        <f>_xlfn.XLOOKUP(A412, $A$1:$A$1001, 'Additional Product Info.'!$D$1:$D$1001)</f>
        <v>No</v>
      </c>
      <c r="K412" s="1">
        <f t="shared" si="12"/>
        <v>54023.040000000001</v>
      </c>
      <c r="L412" s="1">
        <f t="shared" si="13"/>
        <v>3.7899999999999991</v>
      </c>
      <c r="M412" t="str">
        <f>IF(L412&lt;=Statistics!$E$6,"Low Difference",IF('Product Positioning'!L412&gt;=Statistics!$E$4,"High Difference","Moderate Difference"))</f>
        <v>High Difference</v>
      </c>
    </row>
    <row r="413" spans="1:13" x14ac:dyDescent="0.2">
      <c r="A413">
        <v>193605</v>
      </c>
      <c r="B413" s="1">
        <v>5.18</v>
      </c>
      <c r="C413" s="1">
        <v>1.25</v>
      </c>
      <c r="D413">
        <v>960</v>
      </c>
      <c r="E413" t="str">
        <f>_xlfn.XLOOKUP(A413, 'Customer Information'!$A$1:$A$1001, 'Customer Information'!$B$1:$B$1001)</f>
        <v>Medium</v>
      </c>
      <c r="F413" t="str">
        <f>_xlfn.XLOOKUP(A413, 'Customer Information'!$A$1:$A$1001, 'Customer Information'!$C$1:$C$1001)</f>
        <v>Families</v>
      </c>
      <c r="G413" t="str">
        <f>_xlfn.XLOOKUP('Customer Information'!A413, 'Customer Information'!$A$1:$A$1001, 'Customer Information'!$D$1:$D$1001)</f>
        <v>No</v>
      </c>
      <c r="H413" t="str">
        <f>INDEX('Additional Product Info.'!$A$1:$C$1001, MATCH('Product Positioning'!$A413, 'Additional Product Info.'!$A$1:$A$1001, 0), MATCH('Product Positioning'!H$1, 'Additional Product Info.'!$A$1:$C$1, 0))</f>
        <v>Front of Store</v>
      </c>
      <c r="I413" t="str">
        <f>INDEX('Additional Product Info.'!$A$1:$C$1001, MATCH('Product Positioning'!$A413, 'Additional Product Info.'!$A$1:$A$1001, 0), MATCH('Product Positioning'!I$1, 'Additional Product Info.'!$A$1:$C$1, 0))</f>
        <v>Electronics</v>
      </c>
      <c r="J413" t="str">
        <f>_xlfn.XLOOKUP(A413, $A$1:$A$1001, 'Additional Product Info.'!$D$1:$D$1001)</f>
        <v>Yes</v>
      </c>
      <c r="K413" s="1">
        <f t="shared" si="12"/>
        <v>4972.7999999999993</v>
      </c>
      <c r="L413" s="1">
        <f t="shared" si="13"/>
        <v>3.9299999999999997</v>
      </c>
      <c r="M413" t="str">
        <f>IF(L413&lt;=Statistics!$E$6,"Low Difference",IF('Product Positioning'!L413&gt;=Statistics!$E$4,"High Difference","Moderate Difference"))</f>
        <v>High Difference</v>
      </c>
    </row>
    <row r="414" spans="1:13" x14ac:dyDescent="0.2">
      <c r="A414">
        <v>193179</v>
      </c>
      <c r="B414" s="1">
        <v>29.65</v>
      </c>
      <c r="C414" s="1">
        <v>25.39</v>
      </c>
      <c r="D414">
        <v>2593</v>
      </c>
      <c r="E414" t="str">
        <f>_xlfn.XLOOKUP(A414, 'Customer Information'!$A$1:$A$1001, 'Customer Information'!$B$1:$B$1001)</f>
        <v>Low</v>
      </c>
      <c r="F414" t="str">
        <f>_xlfn.XLOOKUP(A414, 'Customer Information'!$A$1:$A$1001, 'Customer Information'!$C$1:$C$1001)</f>
        <v>Young adults</v>
      </c>
      <c r="G414" t="str">
        <f>_xlfn.XLOOKUP('Customer Information'!A414, 'Customer Information'!$A$1:$A$1001, 'Customer Information'!$D$1:$D$1001)</f>
        <v>Yes</v>
      </c>
      <c r="H414" t="str">
        <f>INDEX('Additional Product Info.'!$A$1:$C$1001, MATCH('Product Positioning'!$A414, 'Additional Product Info.'!$A$1:$A$1001, 0), MATCH('Product Positioning'!H$1, 'Additional Product Info.'!$A$1:$C$1, 0))</f>
        <v>Front of Store</v>
      </c>
      <c r="I414" t="str">
        <f>INDEX('Additional Product Info.'!$A$1:$C$1001, MATCH('Product Positioning'!$A414, 'Additional Product Info.'!$A$1:$A$1001, 0), MATCH('Product Positioning'!I$1, 'Additional Product Info.'!$A$1:$C$1, 0))</f>
        <v>Electronics</v>
      </c>
      <c r="J414" t="str">
        <f>_xlfn.XLOOKUP(A414, $A$1:$A$1001, 'Additional Product Info.'!$D$1:$D$1001)</f>
        <v>Yes</v>
      </c>
      <c r="K414" s="1">
        <f t="shared" si="12"/>
        <v>76882.45</v>
      </c>
      <c r="L414" s="1">
        <f t="shared" si="13"/>
        <v>4.259999999999998</v>
      </c>
      <c r="M414" t="str">
        <f>IF(L414&lt;=Statistics!$E$6,"Low Difference",IF('Product Positioning'!L414&gt;=Statistics!$E$4,"High Difference","Moderate Difference"))</f>
        <v>High Difference</v>
      </c>
    </row>
    <row r="415" spans="1:13" x14ac:dyDescent="0.2">
      <c r="A415">
        <v>131808</v>
      </c>
      <c r="B415" s="1">
        <v>5.49</v>
      </c>
      <c r="C415" s="1">
        <v>3.93</v>
      </c>
      <c r="D415">
        <v>2071</v>
      </c>
      <c r="E415" t="str">
        <f>_xlfn.XLOOKUP(A415, 'Customer Information'!$A$1:$A$1001, 'Customer Information'!$B$1:$B$1001)</f>
        <v>Medium</v>
      </c>
      <c r="F415" t="str">
        <f>_xlfn.XLOOKUP(A415, 'Customer Information'!$A$1:$A$1001, 'Customer Information'!$C$1:$C$1001)</f>
        <v>Young adults</v>
      </c>
      <c r="G415" t="str">
        <f>_xlfn.XLOOKUP('Customer Information'!A415, 'Customer Information'!$A$1:$A$1001, 'Customer Information'!$D$1:$D$1001)</f>
        <v>Yes</v>
      </c>
      <c r="H415" t="str">
        <f>INDEX('Additional Product Info.'!$A$1:$C$1001, MATCH('Product Positioning'!$A415, 'Additional Product Info.'!$A$1:$A$1001, 0), MATCH('Product Positioning'!H$1, 'Additional Product Info.'!$A$1:$C$1, 0))</f>
        <v>Front of Store</v>
      </c>
      <c r="I415" t="str">
        <f>INDEX('Additional Product Info.'!$A$1:$C$1001, MATCH('Product Positioning'!$A415, 'Additional Product Info.'!$A$1:$A$1001, 0), MATCH('Product Positioning'!I$1, 'Additional Product Info.'!$A$1:$C$1, 0))</f>
        <v>Electronics</v>
      </c>
      <c r="J415" t="str">
        <f>_xlfn.XLOOKUP(A415, $A$1:$A$1001, 'Additional Product Info.'!$D$1:$D$1001)</f>
        <v>No</v>
      </c>
      <c r="K415" s="1">
        <f t="shared" si="12"/>
        <v>11369.79</v>
      </c>
      <c r="L415" s="1">
        <f t="shared" si="13"/>
        <v>1.56</v>
      </c>
      <c r="M415" t="str">
        <f>IF(L415&lt;=Statistics!$E$6,"Low Difference",IF('Product Positioning'!L415&gt;=Statistics!$E$4,"High Difference","Moderate Difference"))</f>
        <v>Moderate Difference</v>
      </c>
    </row>
    <row r="416" spans="1:13" x14ac:dyDescent="0.2">
      <c r="A416">
        <v>134615</v>
      </c>
      <c r="B416" s="1">
        <v>46.83</v>
      </c>
      <c r="C416" s="1">
        <v>43.95</v>
      </c>
      <c r="D416">
        <v>2441</v>
      </c>
      <c r="E416" t="str">
        <f>_xlfn.XLOOKUP(A416, 'Customer Information'!$A$1:$A$1001, 'Customer Information'!$B$1:$B$1001)</f>
        <v>High</v>
      </c>
      <c r="F416" t="str">
        <f>_xlfn.XLOOKUP(A416, 'Customer Information'!$A$1:$A$1001, 'Customer Information'!$C$1:$C$1001)</f>
        <v>Young adults</v>
      </c>
      <c r="G416" t="str">
        <f>_xlfn.XLOOKUP('Customer Information'!A416, 'Customer Information'!$A$1:$A$1001, 'Customer Information'!$D$1:$D$1001)</f>
        <v>No</v>
      </c>
      <c r="H416" t="str">
        <f>INDEX('Additional Product Info.'!$A$1:$C$1001, MATCH('Product Positioning'!$A416, 'Additional Product Info.'!$A$1:$A$1001, 0), MATCH('Product Positioning'!H$1, 'Additional Product Info.'!$A$1:$C$1, 0))</f>
        <v>End-cap</v>
      </c>
      <c r="I416" t="str">
        <f>INDEX('Additional Product Info.'!$A$1:$C$1001, MATCH('Product Positioning'!$A416, 'Additional Product Info.'!$A$1:$A$1001, 0), MATCH('Product Positioning'!I$1, 'Additional Product Info.'!$A$1:$C$1, 0))</f>
        <v>Electronics</v>
      </c>
      <c r="J416" t="str">
        <f>_xlfn.XLOOKUP(A416, $A$1:$A$1001, 'Additional Product Info.'!$D$1:$D$1001)</f>
        <v>Yes</v>
      </c>
      <c r="K416" s="1">
        <f t="shared" si="12"/>
        <v>114312.03</v>
      </c>
      <c r="L416" s="1">
        <f t="shared" si="13"/>
        <v>2.8799999999999955</v>
      </c>
      <c r="M416" t="str">
        <f>IF(L416&lt;=Statistics!$E$6,"Low Difference",IF('Product Positioning'!L416&gt;=Statistics!$E$4,"High Difference","Moderate Difference"))</f>
        <v>Moderate Difference</v>
      </c>
    </row>
    <row r="417" spans="1:13" x14ac:dyDescent="0.2">
      <c r="A417">
        <v>142414</v>
      </c>
      <c r="B417" s="1">
        <v>47.21</v>
      </c>
      <c r="C417" s="1">
        <v>43.5</v>
      </c>
      <c r="D417">
        <v>2683</v>
      </c>
      <c r="E417" t="str">
        <f>_xlfn.XLOOKUP(A417, 'Customer Information'!$A$1:$A$1001, 'Customer Information'!$B$1:$B$1001)</f>
        <v>High</v>
      </c>
      <c r="F417" t="str">
        <f>_xlfn.XLOOKUP(A417, 'Customer Information'!$A$1:$A$1001, 'Customer Information'!$C$1:$C$1001)</f>
        <v>Young adults</v>
      </c>
      <c r="G417" t="str">
        <f>_xlfn.XLOOKUP('Customer Information'!A417, 'Customer Information'!$A$1:$A$1001, 'Customer Information'!$D$1:$D$1001)</f>
        <v>Yes</v>
      </c>
      <c r="H417" t="str">
        <f>INDEX('Additional Product Info.'!$A$1:$C$1001, MATCH('Product Positioning'!$A417, 'Additional Product Info.'!$A$1:$A$1001, 0), MATCH('Product Positioning'!H$1, 'Additional Product Info.'!$A$1:$C$1, 0))</f>
        <v>Aisle</v>
      </c>
      <c r="I417" t="str">
        <f>INDEX('Additional Product Info.'!$A$1:$C$1001, MATCH('Product Positioning'!$A417, 'Additional Product Info.'!$A$1:$A$1001, 0), MATCH('Product Positioning'!I$1, 'Additional Product Info.'!$A$1:$C$1, 0))</f>
        <v>Clothing</v>
      </c>
      <c r="J417" t="str">
        <f>_xlfn.XLOOKUP(A417, $A$1:$A$1001, 'Additional Product Info.'!$D$1:$D$1001)</f>
        <v>No</v>
      </c>
      <c r="K417" s="1">
        <f t="shared" si="12"/>
        <v>126664.43000000001</v>
      </c>
      <c r="L417" s="1">
        <f t="shared" si="13"/>
        <v>3.7100000000000009</v>
      </c>
      <c r="M417" t="str">
        <f>IF(L417&lt;=Statistics!$E$6,"Low Difference",IF('Product Positioning'!L417&gt;=Statistics!$E$4,"High Difference","Moderate Difference"))</f>
        <v>High Difference</v>
      </c>
    </row>
    <row r="418" spans="1:13" x14ac:dyDescent="0.2">
      <c r="A418">
        <v>152245</v>
      </c>
      <c r="B418" s="1">
        <v>30.79</v>
      </c>
      <c r="C418" s="1">
        <v>28.5</v>
      </c>
      <c r="D418">
        <v>1105</v>
      </c>
      <c r="E418" t="str">
        <f>_xlfn.XLOOKUP(A418, 'Customer Information'!$A$1:$A$1001, 'Customer Information'!$B$1:$B$1001)</f>
        <v>High</v>
      </c>
      <c r="F418" t="str">
        <f>_xlfn.XLOOKUP(A418, 'Customer Information'!$A$1:$A$1001, 'Customer Information'!$C$1:$C$1001)</f>
        <v>Families</v>
      </c>
      <c r="G418" t="str">
        <f>_xlfn.XLOOKUP('Customer Information'!A418, 'Customer Information'!$A$1:$A$1001, 'Customer Information'!$D$1:$D$1001)</f>
        <v>No</v>
      </c>
      <c r="H418" t="str">
        <f>INDEX('Additional Product Info.'!$A$1:$C$1001, MATCH('Product Positioning'!$A418, 'Additional Product Info.'!$A$1:$A$1001, 0), MATCH('Product Positioning'!H$1, 'Additional Product Info.'!$A$1:$C$1, 0))</f>
        <v>Aisle</v>
      </c>
      <c r="I418" t="str">
        <f>INDEX('Additional Product Info.'!$A$1:$C$1001, MATCH('Product Positioning'!$A418, 'Additional Product Info.'!$A$1:$A$1001, 0), MATCH('Product Positioning'!I$1, 'Additional Product Info.'!$A$1:$C$1, 0))</f>
        <v>Clothing</v>
      </c>
      <c r="J418" t="str">
        <f>_xlfn.XLOOKUP(A418, $A$1:$A$1001, 'Additional Product Info.'!$D$1:$D$1001)</f>
        <v>No</v>
      </c>
      <c r="K418" s="1">
        <f t="shared" si="12"/>
        <v>34022.949999999997</v>
      </c>
      <c r="L418" s="1">
        <f t="shared" si="13"/>
        <v>2.2899999999999991</v>
      </c>
      <c r="M418" t="str">
        <f>IF(L418&lt;=Statistics!$E$6,"Low Difference",IF('Product Positioning'!L418&gt;=Statistics!$E$4,"High Difference","Moderate Difference"))</f>
        <v>Moderate Difference</v>
      </c>
    </row>
    <row r="419" spans="1:13" x14ac:dyDescent="0.2">
      <c r="A419">
        <v>186093</v>
      </c>
      <c r="B419" s="1">
        <v>42.17</v>
      </c>
      <c r="C419" s="1">
        <v>41.97</v>
      </c>
      <c r="D419">
        <v>1697</v>
      </c>
      <c r="E419" t="str">
        <f>_xlfn.XLOOKUP(A419, 'Customer Information'!$A$1:$A$1001, 'Customer Information'!$B$1:$B$1001)</f>
        <v>High</v>
      </c>
      <c r="F419" t="str">
        <f>_xlfn.XLOOKUP(A419, 'Customer Information'!$A$1:$A$1001, 'Customer Information'!$C$1:$C$1001)</f>
        <v>College students</v>
      </c>
      <c r="G419" t="str">
        <f>_xlfn.XLOOKUP('Customer Information'!A419, 'Customer Information'!$A$1:$A$1001, 'Customer Information'!$D$1:$D$1001)</f>
        <v>No</v>
      </c>
      <c r="H419" t="str">
        <f>INDEX('Additional Product Info.'!$A$1:$C$1001, MATCH('Product Positioning'!$A419, 'Additional Product Info.'!$A$1:$A$1001, 0), MATCH('Product Positioning'!H$1, 'Additional Product Info.'!$A$1:$C$1, 0))</f>
        <v>End-cap</v>
      </c>
      <c r="I419" t="str">
        <f>INDEX('Additional Product Info.'!$A$1:$C$1001, MATCH('Product Positioning'!$A419, 'Additional Product Info.'!$A$1:$A$1001, 0), MATCH('Product Positioning'!I$1, 'Additional Product Info.'!$A$1:$C$1, 0))</f>
        <v>Clothing</v>
      </c>
      <c r="J419" t="str">
        <f>_xlfn.XLOOKUP(A419, $A$1:$A$1001, 'Additional Product Info.'!$D$1:$D$1001)</f>
        <v>Yes</v>
      </c>
      <c r="K419" s="1">
        <f t="shared" si="12"/>
        <v>71562.490000000005</v>
      </c>
      <c r="L419" s="1">
        <f t="shared" si="13"/>
        <v>0.20000000000000284</v>
      </c>
      <c r="M419" t="str">
        <f>IF(L419&lt;=Statistics!$E$6,"Low Difference",IF('Product Positioning'!L419&gt;=Statistics!$E$4,"High Difference","Moderate Difference"))</f>
        <v>Low Difference</v>
      </c>
    </row>
    <row r="420" spans="1:13" x14ac:dyDescent="0.2">
      <c r="A420">
        <v>123603</v>
      </c>
      <c r="B420" s="1">
        <v>23.26</v>
      </c>
      <c r="C420" s="1">
        <v>19.02</v>
      </c>
      <c r="D420">
        <v>2963</v>
      </c>
      <c r="E420" t="str">
        <f>_xlfn.XLOOKUP(A420, 'Customer Information'!$A$1:$A$1001, 'Customer Information'!$B$1:$B$1001)</f>
        <v>High</v>
      </c>
      <c r="F420" t="str">
        <f>_xlfn.XLOOKUP(A420, 'Customer Information'!$A$1:$A$1001, 'Customer Information'!$C$1:$C$1001)</f>
        <v>Seniors</v>
      </c>
      <c r="G420" t="str">
        <f>_xlfn.XLOOKUP('Customer Information'!A420, 'Customer Information'!$A$1:$A$1001, 'Customer Information'!$D$1:$D$1001)</f>
        <v>Yes</v>
      </c>
      <c r="H420" t="str">
        <f>INDEX('Additional Product Info.'!$A$1:$C$1001, MATCH('Product Positioning'!$A420, 'Additional Product Info.'!$A$1:$A$1001, 0), MATCH('Product Positioning'!H$1, 'Additional Product Info.'!$A$1:$C$1, 0))</f>
        <v>Aisle</v>
      </c>
      <c r="I420" t="str">
        <f>INDEX('Additional Product Info.'!$A$1:$C$1001, MATCH('Product Positioning'!$A420, 'Additional Product Info.'!$A$1:$A$1001, 0), MATCH('Product Positioning'!I$1, 'Additional Product Info.'!$A$1:$C$1, 0))</f>
        <v>Electronics</v>
      </c>
      <c r="J420" t="str">
        <f>_xlfn.XLOOKUP(A420, $A$1:$A$1001, 'Additional Product Info.'!$D$1:$D$1001)</f>
        <v>No</v>
      </c>
      <c r="K420" s="1">
        <f t="shared" si="12"/>
        <v>68919.38</v>
      </c>
      <c r="L420" s="1">
        <f t="shared" si="13"/>
        <v>4.240000000000002</v>
      </c>
      <c r="M420" t="str">
        <f>IF(L420&lt;=Statistics!$E$6,"Low Difference",IF('Product Positioning'!L420&gt;=Statistics!$E$4,"High Difference","Moderate Difference"))</f>
        <v>High Difference</v>
      </c>
    </row>
    <row r="421" spans="1:13" x14ac:dyDescent="0.2">
      <c r="A421">
        <v>178518</v>
      </c>
      <c r="B421" s="1">
        <v>38.840000000000003</v>
      </c>
      <c r="C421" s="1">
        <v>37.74</v>
      </c>
      <c r="D421">
        <v>2200</v>
      </c>
      <c r="E421" t="str">
        <f>_xlfn.XLOOKUP(A421, 'Customer Information'!$A$1:$A$1001, 'Customer Information'!$B$1:$B$1001)</f>
        <v>High</v>
      </c>
      <c r="F421" t="str">
        <f>_xlfn.XLOOKUP(A421, 'Customer Information'!$A$1:$A$1001, 'Customer Information'!$C$1:$C$1001)</f>
        <v>Families</v>
      </c>
      <c r="G421" t="str">
        <f>_xlfn.XLOOKUP('Customer Information'!A421, 'Customer Information'!$A$1:$A$1001, 'Customer Information'!$D$1:$D$1001)</f>
        <v>No</v>
      </c>
      <c r="H421" t="str">
        <f>INDEX('Additional Product Info.'!$A$1:$C$1001, MATCH('Product Positioning'!$A421, 'Additional Product Info.'!$A$1:$A$1001, 0), MATCH('Product Positioning'!H$1, 'Additional Product Info.'!$A$1:$C$1, 0))</f>
        <v>Front of Store</v>
      </c>
      <c r="I421" t="str">
        <f>INDEX('Additional Product Info.'!$A$1:$C$1001, MATCH('Product Positioning'!$A421, 'Additional Product Info.'!$A$1:$A$1001, 0), MATCH('Product Positioning'!I$1, 'Additional Product Info.'!$A$1:$C$1, 0))</f>
        <v>Clothing</v>
      </c>
      <c r="J421" t="str">
        <f>_xlfn.XLOOKUP(A421, $A$1:$A$1001, 'Additional Product Info.'!$D$1:$D$1001)</f>
        <v>No</v>
      </c>
      <c r="K421" s="1">
        <f t="shared" si="12"/>
        <v>85448.000000000015</v>
      </c>
      <c r="L421" s="1">
        <f t="shared" si="13"/>
        <v>1.1000000000000014</v>
      </c>
      <c r="M421" t="str">
        <f>IF(L421&lt;=Statistics!$E$6,"Low Difference",IF('Product Positioning'!L421&gt;=Statistics!$E$4,"High Difference","Moderate Difference"))</f>
        <v>Low Difference</v>
      </c>
    </row>
    <row r="422" spans="1:13" x14ac:dyDescent="0.2">
      <c r="A422">
        <v>185924</v>
      </c>
      <c r="B422" s="1">
        <v>5.84</v>
      </c>
      <c r="C422" s="1">
        <v>1.86</v>
      </c>
      <c r="D422">
        <v>2840</v>
      </c>
      <c r="E422" t="str">
        <f>_xlfn.XLOOKUP(A422, 'Customer Information'!$A$1:$A$1001, 'Customer Information'!$B$1:$B$1001)</f>
        <v>High</v>
      </c>
      <c r="F422" t="str">
        <f>_xlfn.XLOOKUP(A422, 'Customer Information'!$A$1:$A$1001, 'Customer Information'!$C$1:$C$1001)</f>
        <v>College students</v>
      </c>
      <c r="G422" t="str">
        <f>_xlfn.XLOOKUP('Customer Information'!A422, 'Customer Information'!$A$1:$A$1001, 'Customer Information'!$D$1:$D$1001)</f>
        <v>Yes</v>
      </c>
      <c r="H422" t="str">
        <f>INDEX('Additional Product Info.'!$A$1:$C$1001, MATCH('Product Positioning'!$A422, 'Additional Product Info.'!$A$1:$A$1001, 0), MATCH('Product Positioning'!H$1, 'Additional Product Info.'!$A$1:$C$1, 0))</f>
        <v>Front of Store</v>
      </c>
      <c r="I422" t="str">
        <f>INDEX('Additional Product Info.'!$A$1:$C$1001, MATCH('Product Positioning'!$A422, 'Additional Product Info.'!$A$1:$A$1001, 0), MATCH('Product Positioning'!I$1, 'Additional Product Info.'!$A$1:$C$1, 0))</f>
        <v>Electronics</v>
      </c>
      <c r="J422" t="str">
        <f>_xlfn.XLOOKUP(A422, $A$1:$A$1001, 'Additional Product Info.'!$D$1:$D$1001)</f>
        <v>No</v>
      </c>
      <c r="K422" s="1">
        <f t="shared" si="12"/>
        <v>16585.599999999999</v>
      </c>
      <c r="L422" s="1">
        <f t="shared" si="13"/>
        <v>3.9799999999999995</v>
      </c>
      <c r="M422" t="str">
        <f>IF(L422&lt;=Statistics!$E$6,"Low Difference",IF('Product Positioning'!L422&gt;=Statistics!$E$4,"High Difference","Moderate Difference"))</f>
        <v>High Difference</v>
      </c>
    </row>
    <row r="423" spans="1:13" x14ac:dyDescent="0.2">
      <c r="A423">
        <v>161426</v>
      </c>
      <c r="B423" s="1">
        <v>44.13</v>
      </c>
      <c r="C423" s="1">
        <v>43.27</v>
      </c>
      <c r="D423">
        <v>1739</v>
      </c>
      <c r="E423" t="str">
        <f>_xlfn.XLOOKUP(A423, 'Customer Information'!$A$1:$A$1001, 'Customer Information'!$B$1:$B$1001)</f>
        <v>Low</v>
      </c>
      <c r="F423" t="str">
        <f>_xlfn.XLOOKUP(A423, 'Customer Information'!$A$1:$A$1001, 'Customer Information'!$C$1:$C$1001)</f>
        <v>Seniors</v>
      </c>
      <c r="G423" t="str">
        <f>_xlfn.XLOOKUP('Customer Information'!A423, 'Customer Information'!$A$1:$A$1001, 'Customer Information'!$D$1:$D$1001)</f>
        <v>No</v>
      </c>
      <c r="H423" t="str">
        <f>INDEX('Additional Product Info.'!$A$1:$C$1001, MATCH('Product Positioning'!$A423, 'Additional Product Info.'!$A$1:$A$1001, 0), MATCH('Product Positioning'!H$1, 'Additional Product Info.'!$A$1:$C$1, 0))</f>
        <v>End-cap</v>
      </c>
      <c r="I423" t="str">
        <f>INDEX('Additional Product Info.'!$A$1:$C$1001, MATCH('Product Positioning'!$A423, 'Additional Product Info.'!$A$1:$A$1001, 0), MATCH('Product Positioning'!I$1, 'Additional Product Info.'!$A$1:$C$1, 0))</f>
        <v>Food</v>
      </c>
      <c r="J423" t="str">
        <f>_xlfn.XLOOKUP(A423, $A$1:$A$1001, 'Additional Product Info.'!$D$1:$D$1001)</f>
        <v>No</v>
      </c>
      <c r="K423" s="1">
        <f t="shared" si="12"/>
        <v>76742.070000000007</v>
      </c>
      <c r="L423" s="1">
        <f t="shared" si="13"/>
        <v>0.85999999999999943</v>
      </c>
      <c r="M423" t="str">
        <f>IF(L423&lt;=Statistics!$E$6,"Low Difference",IF('Product Positioning'!L423&gt;=Statistics!$E$4,"High Difference","Moderate Difference"))</f>
        <v>Low Difference</v>
      </c>
    </row>
    <row r="424" spans="1:13" x14ac:dyDescent="0.2">
      <c r="A424">
        <v>179528</v>
      </c>
      <c r="B424" s="1">
        <v>40.14</v>
      </c>
      <c r="C424" s="1">
        <v>36.200000000000003</v>
      </c>
      <c r="D424">
        <v>2999</v>
      </c>
      <c r="E424" t="str">
        <f>_xlfn.XLOOKUP(A424, 'Customer Information'!$A$1:$A$1001, 'Customer Information'!$B$1:$B$1001)</f>
        <v>Low</v>
      </c>
      <c r="F424" t="str">
        <f>_xlfn.XLOOKUP(A424, 'Customer Information'!$A$1:$A$1001, 'Customer Information'!$C$1:$C$1001)</f>
        <v>College students</v>
      </c>
      <c r="G424" t="str">
        <f>_xlfn.XLOOKUP('Customer Information'!A424, 'Customer Information'!$A$1:$A$1001, 'Customer Information'!$D$1:$D$1001)</f>
        <v>No</v>
      </c>
      <c r="H424" t="str">
        <f>INDEX('Additional Product Info.'!$A$1:$C$1001, MATCH('Product Positioning'!$A424, 'Additional Product Info.'!$A$1:$A$1001, 0), MATCH('Product Positioning'!H$1, 'Additional Product Info.'!$A$1:$C$1, 0))</f>
        <v>End-cap</v>
      </c>
      <c r="I424" t="str">
        <f>INDEX('Additional Product Info.'!$A$1:$C$1001, MATCH('Product Positioning'!$A424, 'Additional Product Info.'!$A$1:$A$1001, 0), MATCH('Product Positioning'!I$1, 'Additional Product Info.'!$A$1:$C$1, 0))</f>
        <v>Clothing</v>
      </c>
      <c r="J424" t="str">
        <f>_xlfn.XLOOKUP(A424, $A$1:$A$1001, 'Additional Product Info.'!$D$1:$D$1001)</f>
        <v>No</v>
      </c>
      <c r="K424" s="1">
        <f t="shared" si="12"/>
        <v>120379.86</v>
      </c>
      <c r="L424" s="1">
        <f t="shared" si="13"/>
        <v>3.9399999999999977</v>
      </c>
      <c r="M424" t="str">
        <f>IF(L424&lt;=Statistics!$E$6,"Low Difference",IF('Product Positioning'!L424&gt;=Statistics!$E$4,"High Difference","Moderate Difference"))</f>
        <v>High Difference</v>
      </c>
    </row>
    <row r="425" spans="1:13" x14ac:dyDescent="0.2">
      <c r="A425">
        <v>152881</v>
      </c>
      <c r="B425" s="1">
        <v>27.34</v>
      </c>
      <c r="C425" s="1">
        <v>22.81</v>
      </c>
      <c r="D425">
        <v>2971</v>
      </c>
      <c r="E425" t="str">
        <f>_xlfn.XLOOKUP(A425, 'Customer Information'!$A$1:$A$1001, 'Customer Information'!$B$1:$B$1001)</f>
        <v>Low</v>
      </c>
      <c r="F425" t="str">
        <f>_xlfn.XLOOKUP(A425, 'Customer Information'!$A$1:$A$1001, 'Customer Information'!$C$1:$C$1001)</f>
        <v>Seniors</v>
      </c>
      <c r="G425" t="str">
        <f>_xlfn.XLOOKUP('Customer Information'!A425, 'Customer Information'!$A$1:$A$1001, 'Customer Information'!$D$1:$D$1001)</f>
        <v>Yes</v>
      </c>
      <c r="H425" t="str">
        <f>INDEX('Additional Product Info.'!$A$1:$C$1001, MATCH('Product Positioning'!$A425, 'Additional Product Info.'!$A$1:$A$1001, 0), MATCH('Product Positioning'!H$1, 'Additional Product Info.'!$A$1:$C$1, 0))</f>
        <v>Front of Store</v>
      </c>
      <c r="I425" t="str">
        <f>INDEX('Additional Product Info.'!$A$1:$C$1001, MATCH('Product Positioning'!$A425, 'Additional Product Info.'!$A$1:$A$1001, 0), MATCH('Product Positioning'!I$1, 'Additional Product Info.'!$A$1:$C$1, 0))</f>
        <v>Electronics</v>
      </c>
      <c r="J425" t="str">
        <f>_xlfn.XLOOKUP(A425, $A$1:$A$1001, 'Additional Product Info.'!$D$1:$D$1001)</f>
        <v>No</v>
      </c>
      <c r="K425" s="1">
        <f t="shared" si="12"/>
        <v>81227.14</v>
      </c>
      <c r="L425" s="1">
        <f t="shared" si="13"/>
        <v>4.5300000000000011</v>
      </c>
      <c r="M425" t="str">
        <f>IF(L425&lt;=Statistics!$E$6,"Low Difference",IF('Product Positioning'!L425&gt;=Statistics!$E$4,"High Difference","Moderate Difference"))</f>
        <v>High Difference</v>
      </c>
    </row>
    <row r="426" spans="1:13" x14ac:dyDescent="0.2">
      <c r="A426">
        <v>158853</v>
      </c>
      <c r="B426" s="1">
        <v>46.23</v>
      </c>
      <c r="C426" s="1">
        <v>41.51</v>
      </c>
      <c r="D426">
        <v>793</v>
      </c>
      <c r="E426" t="str">
        <f>_xlfn.XLOOKUP(A426, 'Customer Information'!$A$1:$A$1001, 'Customer Information'!$B$1:$B$1001)</f>
        <v>Low</v>
      </c>
      <c r="F426" t="str">
        <f>_xlfn.XLOOKUP(A426, 'Customer Information'!$A$1:$A$1001, 'Customer Information'!$C$1:$C$1001)</f>
        <v>College students</v>
      </c>
      <c r="G426" t="str">
        <f>_xlfn.XLOOKUP('Customer Information'!A426, 'Customer Information'!$A$1:$A$1001, 'Customer Information'!$D$1:$D$1001)</f>
        <v>Yes</v>
      </c>
      <c r="H426" t="str">
        <f>INDEX('Additional Product Info.'!$A$1:$C$1001, MATCH('Product Positioning'!$A426, 'Additional Product Info.'!$A$1:$A$1001, 0), MATCH('Product Positioning'!H$1, 'Additional Product Info.'!$A$1:$C$1, 0))</f>
        <v>Aisle</v>
      </c>
      <c r="I426" t="str">
        <f>INDEX('Additional Product Info.'!$A$1:$C$1001, MATCH('Product Positioning'!$A426, 'Additional Product Info.'!$A$1:$A$1001, 0), MATCH('Product Positioning'!I$1, 'Additional Product Info.'!$A$1:$C$1, 0))</f>
        <v>Food</v>
      </c>
      <c r="J426" t="str">
        <f>_xlfn.XLOOKUP(A426, $A$1:$A$1001, 'Additional Product Info.'!$D$1:$D$1001)</f>
        <v>No</v>
      </c>
      <c r="K426" s="1">
        <f t="shared" si="12"/>
        <v>36660.39</v>
      </c>
      <c r="L426" s="1">
        <f t="shared" si="13"/>
        <v>4.7199999999999989</v>
      </c>
      <c r="M426" t="str">
        <f>IF(L426&lt;=Statistics!$E$6,"Low Difference",IF('Product Positioning'!L426&gt;=Statistics!$E$4,"High Difference","Moderate Difference"))</f>
        <v>High Difference</v>
      </c>
    </row>
    <row r="427" spans="1:13" x14ac:dyDescent="0.2">
      <c r="A427">
        <v>186138</v>
      </c>
      <c r="B427" s="1">
        <v>33.229999999999997</v>
      </c>
      <c r="C427" s="1">
        <v>30.17</v>
      </c>
      <c r="D427">
        <v>2641</v>
      </c>
      <c r="E427" t="str">
        <f>_xlfn.XLOOKUP(A427, 'Customer Information'!$A$1:$A$1001, 'Customer Information'!$B$1:$B$1001)</f>
        <v>Low</v>
      </c>
      <c r="F427" t="str">
        <f>_xlfn.XLOOKUP(A427, 'Customer Information'!$A$1:$A$1001, 'Customer Information'!$C$1:$C$1001)</f>
        <v>Young adults</v>
      </c>
      <c r="G427" t="str">
        <f>_xlfn.XLOOKUP('Customer Information'!A427, 'Customer Information'!$A$1:$A$1001, 'Customer Information'!$D$1:$D$1001)</f>
        <v>No</v>
      </c>
      <c r="H427" t="str">
        <f>INDEX('Additional Product Info.'!$A$1:$C$1001, MATCH('Product Positioning'!$A427, 'Additional Product Info.'!$A$1:$A$1001, 0), MATCH('Product Positioning'!H$1, 'Additional Product Info.'!$A$1:$C$1, 0))</f>
        <v>Aisle</v>
      </c>
      <c r="I427" t="str">
        <f>INDEX('Additional Product Info.'!$A$1:$C$1001, MATCH('Product Positioning'!$A427, 'Additional Product Info.'!$A$1:$A$1001, 0), MATCH('Product Positioning'!I$1, 'Additional Product Info.'!$A$1:$C$1, 0))</f>
        <v>Electronics</v>
      </c>
      <c r="J427" t="str">
        <f>_xlfn.XLOOKUP(A427, $A$1:$A$1001, 'Additional Product Info.'!$D$1:$D$1001)</f>
        <v>Yes</v>
      </c>
      <c r="K427" s="1">
        <f t="shared" si="12"/>
        <v>87760.43</v>
      </c>
      <c r="L427" s="1">
        <f t="shared" si="13"/>
        <v>3.0599999999999952</v>
      </c>
      <c r="M427" t="str">
        <f>IF(L427&lt;=Statistics!$E$6,"Low Difference",IF('Product Positioning'!L427&gt;=Statistics!$E$4,"High Difference","Moderate Difference"))</f>
        <v>Moderate Difference</v>
      </c>
    </row>
    <row r="428" spans="1:13" x14ac:dyDescent="0.2">
      <c r="A428">
        <v>183223</v>
      </c>
      <c r="B428" s="1">
        <v>27.65</v>
      </c>
      <c r="C428" s="1">
        <v>27.47</v>
      </c>
      <c r="D428">
        <v>1171</v>
      </c>
      <c r="E428" t="str">
        <f>_xlfn.XLOOKUP(A428, 'Customer Information'!$A$1:$A$1001, 'Customer Information'!$B$1:$B$1001)</f>
        <v>High</v>
      </c>
      <c r="F428" t="str">
        <f>_xlfn.XLOOKUP(A428, 'Customer Information'!$A$1:$A$1001, 'Customer Information'!$C$1:$C$1001)</f>
        <v>Young adults</v>
      </c>
      <c r="G428" t="str">
        <f>_xlfn.XLOOKUP('Customer Information'!A428, 'Customer Information'!$A$1:$A$1001, 'Customer Information'!$D$1:$D$1001)</f>
        <v>Yes</v>
      </c>
      <c r="H428" t="str">
        <f>INDEX('Additional Product Info.'!$A$1:$C$1001, MATCH('Product Positioning'!$A428, 'Additional Product Info.'!$A$1:$A$1001, 0), MATCH('Product Positioning'!H$1, 'Additional Product Info.'!$A$1:$C$1, 0))</f>
        <v>Aisle</v>
      </c>
      <c r="I428" t="str">
        <f>INDEX('Additional Product Info.'!$A$1:$C$1001, MATCH('Product Positioning'!$A428, 'Additional Product Info.'!$A$1:$A$1001, 0), MATCH('Product Positioning'!I$1, 'Additional Product Info.'!$A$1:$C$1, 0))</f>
        <v>Food</v>
      </c>
      <c r="J428" t="str">
        <f>_xlfn.XLOOKUP(A428, $A$1:$A$1001, 'Additional Product Info.'!$D$1:$D$1001)</f>
        <v>Yes</v>
      </c>
      <c r="K428" s="1">
        <f t="shared" si="12"/>
        <v>32378.149999999998</v>
      </c>
      <c r="L428" s="1">
        <f t="shared" si="13"/>
        <v>0.17999999999999972</v>
      </c>
      <c r="M428" t="str">
        <f>IF(L428&lt;=Statistics!$E$6,"Low Difference",IF('Product Positioning'!L428&gt;=Statistics!$E$4,"High Difference","Moderate Difference"))</f>
        <v>Low Difference</v>
      </c>
    </row>
    <row r="429" spans="1:13" x14ac:dyDescent="0.2">
      <c r="A429">
        <v>113169</v>
      </c>
      <c r="B429" s="1">
        <v>22.42</v>
      </c>
      <c r="C429" s="1">
        <v>20.12</v>
      </c>
      <c r="D429">
        <v>2971</v>
      </c>
      <c r="E429" t="str">
        <f>_xlfn.XLOOKUP(A429, 'Customer Information'!$A$1:$A$1001, 'Customer Information'!$B$1:$B$1001)</f>
        <v>Low</v>
      </c>
      <c r="F429" t="str">
        <f>_xlfn.XLOOKUP(A429, 'Customer Information'!$A$1:$A$1001, 'Customer Information'!$C$1:$C$1001)</f>
        <v>Seniors</v>
      </c>
      <c r="G429" t="str">
        <f>_xlfn.XLOOKUP('Customer Information'!A429, 'Customer Information'!$A$1:$A$1001, 'Customer Information'!$D$1:$D$1001)</f>
        <v>Yes</v>
      </c>
      <c r="H429" t="str">
        <f>INDEX('Additional Product Info.'!$A$1:$C$1001, MATCH('Product Positioning'!$A429, 'Additional Product Info.'!$A$1:$A$1001, 0), MATCH('Product Positioning'!H$1, 'Additional Product Info.'!$A$1:$C$1, 0))</f>
        <v>Aisle</v>
      </c>
      <c r="I429" t="str">
        <f>INDEX('Additional Product Info.'!$A$1:$C$1001, MATCH('Product Positioning'!$A429, 'Additional Product Info.'!$A$1:$A$1001, 0), MATCH('Product Positioning'!I$1, 'Additional Product Info.'!$A$1:$C$1, 0))</f>
        <v>Clothing</v>
      </c>
      <c r="J429" t="str">
        <f>_xlfn.XLOOKUP(A429, $A$1:$A$1001, 'Additional Product Info.'!$D$1:$D$1001)</f>
        <v>No</v>
      </c>
      <c r="K429" s="1">
        <f t="shared" si="12"/>
        <v>66609.820000000007</v>
      </c>
      <c r="L429" s="1">
        <f t="shared" si="13"/>
        <v>2.3000000000000007</v>
      </c>
      <c r="M429" t="str">
        <f>IF(L429&lt;=Statistics!$E$6,"Low Difference",IF('Product Positioning'!L429&gt;=Statistics!$E$4,"High Difference","Moderate Difference"))</f>
        <v>Moderate Difference</v>
      </c>
    </row>
    <row r="430" spans="1:13" x14ac:dyDescent="0.2">
      <c r="A430">
        <v>138256</v>
      </c>
      <c r="B430" s="1">
        <v>30.63</v>
      </c>
      <c r="C430" s="1">
        <v>26.41</v>
      </c>
      <c r="D430">
        <v>2188</v>
      </c>
      <c r="E430" t="str">
        <f>_xlfn.XLOOKUP(A430, 'Customer Information'!$A$1:$A$1001, 'Customer Information'!$B$1:$B$1001)</f>
        <v>High</v>
      </c>
      <c r="F430" t="str">
        <f>_xlfn.XLOOKUP(A430, 'Customer Information'!$A$1:$A$1001, 'Customer Information'!$C$1:$C$1001)</f>
        <v>College students</v>
      </c>
      <c r="G430" t="str">
        <f>_xlfn.XLOOKUP('Customer Information'!A430, 'Customer Information'!$A$1:$A$1001, 'Customer Information'!$D$1:$D$1001)</f>
        <v>Yes</v>
      </c>
      <c r="H430" t="str">
        <f>INDEX('Additional Product Info.'!$A$1:$C$1001, MATCH('Product Positioning'!$A430, 'Additional Product Info.'!$A$1:$A$1001, 0), MATCH('Product Positioning'!H$1, 'Additional Product Info.'!$A$1:$C$1, 0))</f>
        <v>Front of Store</v>
      </c>
      <c r="I430" t="str">
        <f>INDEX('Additional Product Info.'!$A$1:$C$1001, MATCH('Product Positioning'!$A430, 'Additional Product Info.'!$A$1:$A$1001, 0), MATCH('Product Positioning'!I$1, 'Additional Product Info.'!$A$1:$C$1, 0))</f>
        <v>Food</v>
      </c>
      <c r="J430" t="str">
        <f>_xlfn.XLOOKUP(A430, $A$1:$A$1001, 'Additional Product Info.'!$D$1:$D$1001)</f>
        <v>No</v>
      </c>
      <c r="K430" s="1">
        <f t="shared" si="12"/>
        <v>67018.44</v>
      </c>
      <c r="L430" s="1">
        <f t="shared" si="13"/>
        <v>4.2199999999999989</v>
      </c>
      <c r="M430" t="str">
        <f>IF(L430&lt;=Statistics!$E$6,"Low Difference",IF('Product Positioning'!L430&gt;=Statistics!$E$4,"High Difference","Moderate Difference"))</f>
        <v>High Difference</v>
      </c>
    </row>
    <row r="431" spans="1:13" x14ac:dyDescent="0.2">
      <c r="A431">
        <v>115815</v>
      </c>
      <c r="B431" s="1">
        <v>29.87</v>
      </c>
      <c r="C431" s="1">
        <v>25.64</v>
      </c>
      <c r="D431">
        <v>1287</v>
      </c>
      <c r="E431" t="str">
        <f>_xlfn.XLOOKUP(A431, 'Customer Information'!$A$1:$A$1001, 'Customer Information'!$B$1:$B$1001)</f>
        <v>High</v>
      </c>
      <c r="F431" t="str">
        <f>_xlfn.XLOOKUP(A431, 'Customer Information'!$A$1:$A$1001, 'Customer Information'!$C$1:$C$1001)</f>
        <v>Seniors</v>
      </c>
      <c r="G431" t="str">
        <f>_xlfn.XLOOKUP('Customer Information'!A431, 'Customer Information'!$A$1:$A$1001, 'Customer Information'!$D$1:$D$1001)</f>
        <v>Yes</v>
      </c>
      <c r="H431" t="str">
        <f>INDEX('Additional Product Info.'!$A$1:$C$1001, MATCH('Product Positioning'!$A431, 'Additional Product Info.'!$A$1:$A$1001, 0), MATCH('Product Positioning'!H$1, 'Additional Product Info.'!$A$1:$C$1, 0))</f>
        <v>End-cap</v>
      </c>
      <c r="I431" t="str">
        <f>INDEX('Additional Product Info.'!$A$1:$C$1001, MATCH('Product Positioning'!$A431, 'Additional Product Info.'!$A$1:$A$1001, 0), MATCH('Product Positioning'!I$1, 'Additional Product Info.'!$A$1:$C$1, 0))</f>
        <v>Food</v>
      </c>
      <c r="J431" t="str">
        <f>_xlfn.XLOOKUP(A431, $A$1:$A$1001, 'Additional Product Info.'!$D$1:$D$1001)</f>
        <v>Yes</v>
      </c>
      <c r="K431" s="1">
        <f t="shared" si="12"/>
        <v>38442.69</v>
      </c>
      <c r="L431" s="1">
        <f t="shared" si="13"/>
        <v>4.2300000000000004</v>
      </c>
      <c r="M431" t="str">
        <f>IF(L431&lt;=Statistics!$E$6,"Low Difference",IF('Product Positioning'!L431&gt;=Statistics!$E$4,"High Difference","Moderate Difference"))</f>
        <v>High Difference</v>
      </c>
    </row>
    <row r="432" spans="1:13" x14ac:dyDescent="0.2">
      <c r="A432">
        <v>162665</v>
      </c>
      <c r="B432" s="1">
        <v>27.54</v>
      </c>
      <c r="C432" s="1">
        <v>27.44</v>
      </c>
      <c r="D432">
        <v>1946</v>
      </c>
      <c r="E432" t="str">
        <f>_xlfn.XLOOKUP(A432, 'Customer Information'!$A$1:$A$1001, 'Customer Information'!$B$1:$B$1001)</f>
        <v>Medium</v>
      </c>
      <c r="F432" t="str">
        <f>_xlfn.XLOOKUP(A432, 'Customer Information'!$A$1:$A$1001, 'Customer Information'!$C$1:$C$1001)</f>
        <v>Young adults</v>
      </c>
      <c r="G432" t="str">
        <f>_xlfn.XLOOKUP('Customer Information'!A432, 'Customer Information'!$A$1:$A$1001, 'Customer Information'!$D$1:$D$1001)</f>
        <v>Yes</v>
      </c>
      <c r="H432" t="str">
        <f>INDEX('Additional Product Info.'!$A$1:$C$1001, MATCH('Product Positioning'!$A432, 'Additional Product Info.'!$A$1:$A$1001, 0), MATCH('Product Positioning'!H$1, 'Additional Product Info.'!$A$1:$C$1, 0))</f>
        <v>Aisle</v>
      </c>
      <c r="I432" t="str">
        <f>INDEX('Additional Product Info.'!$A$1:$C$1001, MATCH('Product Positioning'!$A432, 'Additional Product Info.'!$A$1:$A$1001, 0), MATCH('Product Positioning'!I$1, 'Additional Product Info.'!$A$1:$C$1, 0))</f>
        <v>Electronics</v>
      </c>
      <c r="J432" t="str">
        <f>_xlfn.XLOOKUP(A432, $A$1:$A$1001, 'Additional Product Info.'!$D$1:$D$1001)</f>
        <v>Yes</v>
      </c>
      <c r="K432" s="1">
        <f t="shared" si="12"/>
        <v>53592.84</v>
      </c>
      <c r="L432" s="1">
        <f t="shared" si="13"/>
        <v>9.9999999999997868E-2</v>
      </c>
      <c r="M432" t="str">
        <f>IF(L432&lt;=Statistics!$E$6,"Low Difference",IF('Product Positioning'!L432&gt;=Statistics!$E$4,"High Difference","Moderate Difference"))</f>
        <v>Low Difference</v>
      </c>
    </row>
    <row r="433" spans="1:13" x14ac:dyDescent="0.2">
      <c r="A433">
        <v>135610</v>
      </c>
      <c r="B433" s="1">
        <v>6.2</v>
      </c>
      <c r="C433" s="1">
        <v>4.47</v>
      </c>
      <c r="D433">
        <v>1989</v>
      </c>
      <c r="E433" t="str">
        <f>_xlfn.XLOOKUP(A433, 'Customer Information'!$A$1:$A$1001, 'Customer Information'!$B$1:$B$1001)</f>
        <v>High</v>
      </c>
      <c r="F433" t="str">
        <f>_xlfn.XLOOKUP(A433, 'Customer Information'!$A$1:$A$1001, 'Customer Information'!$C$1:$C$1001)</f>
        <v>College students</v>
      </c>
      <c r="G433" t="str">
        <f>_xlfn.XLOOKUP('Customer Information'!A433, 'Customer Information'!$A$1:$A$1001, 'Customer Information'!$D$1:$D$1001)</f>
        <v>Yes</v>
      </c>
      <c r="H433" t="str">
        <f>INDEX('Additional Product Info.'!$A$1:$C$1001, MATCH('Product Positioning'!$A433, 'Additional Product Info.'!$A$1:$A$1001, 0), MATCH('Product Positioning'!H$1, 'Additional Product Info.'!$A$1:$C$1, 0))</f>
        <v>Aisle</v>
      </c>
      <c r="I433" t="str">
        <f>INDEX('Additional Product Info.'!$A$1:$C$1001, MATCH('Product Positioning'!$A433, 'Additional Product Info.'!$A$1:$A$1001, 0), MATCH('Product Positioning'!I$1, 'Additional Product Info.'!$A$1:$C$1, 0))</f>
        <v>Electronics</v>
      </c>
      <c r="J433" t="str">
        <f>_xlfn.XLOOKUP(A433, $A$1:$A$1001, 'Additional Product Info.'!$D$1:$D$1001)</f>
        <v>Yes</v>
      </c>
      <c r="K433" s="1">
        <f t="shared" si="12"/>
        <v>12331.800000000001</v>
      </c>
      <c r="L433" s="1">
        <f t="shared" si="13"/>
        <v>1.7300000000000004</v>
      </c>
      <c r="M433" t="str">
        <f>IF(L433&lt;=Statistics!$E$6,"Low Difference",IF('Product Positioning'!L433&gt;=Statistics!$E$4,"High Difference","Moderate Difference"))</f>
        <v>Moderate Difference</v>
      </c>
    </row>
    <row r="434" spans="1:13" x14ac:dyDescent="0.2">
      <c r="A434">
        <v>164361</v>
      </c>
      <c r="B434" s="1">
        <v>11.57</v>
      </c>
      <c r="C434" s="1">
        <v>8.19</v>
      </c>
      <c r="D434">
        <v>1557</v>
      </c>
      <c r="E434" t="str">
        <f>_xlfn.XLOOKUP(A434, 'Customer Information'!$A$1:$A$1001, 'Customer Information'!$B$1:$B$1001)</f>
        <v>High</v>
      </c>
      <c r="F434" t="str">
        <f>_xlfn.XLOOKUP(A434, 'Customer Information'!$A$1:$A$1001, 'Customer Information'!$C$1:$C$1001)</f>
        <v>Families</v>
      </c>
      <c r="G434" t="str">
        <f>_xlfn.XLOOKUP('Customer Information'!A434, 'Customer Information'!$A$1:$A$1001, 'Customer Information'!$D$1:$D$1001)</f>
        <v>Yes</v>
      </c>
      <c r="H434" t="str">
        <f>INDEX('Additional Product Info.'!$A$1:$C$1001, MATCH('Product Positioning'!$A434, 'Additional Product Info.'!$A$1:$A$1001, 0), MATCH('Product Positioning'!H$1, 'Additional Product Info.'!$A$1:$C$1, 0))</f>
        <v>Aisle</v>
      </c>
      <c r="I434" t="str">
        <f>INDEX('Additional Product Info.'!$A$1:$C$1001, MATCH('Product Positioning'!$A434, 'Additional Product Info.'!$A$1:$A$1001, 0), MATCH('Product Positioning'!I$1, 'Additional Product Info.'!$A$1:$C$1, 0))</f>
        <v>Clothing</v>
      </c>
      <c r="J434" t="str">
        <f>_xlfn.XLOOKUP(A434, $A$1:$A$1001, 'Additional Product Info.'!$D$1:$D$1001)</f>
        <v>Yes</v>
      </c>
      <c r="K434" s="1">
        <f t="shared" si="12"/>
        <v>18014.490000000002</v>
      </c>
      <c r="L434" s="1">
        <f t="shared" si="13"/>
        <v>3.3800000000000008</v>
      </c>
      <c r="M434" t="str">
        <f>IF(L434&lt;=Statistics!$E$6,"Low Difference",IF('Product Positioning'!L434&gt;=Statistics!$E$4,"High Difference","Moderate Difference"))</f>
        <v>Moderate Difference</v>
      </c>
    </row>
    <row r="435" spans="1:13" x14ac:dyDescent="0.2">
      <c r="A435">
        <v>112551</v>
      </c>
      <c r="B435" s="1">
        <v>12.44</v>
      </c>
      <c r="C435" s="1">
        <v>9.74</v>
      </c>
      <c r="D435">
        <v>1060</v>
      </c>
      <c r="E435" t="str">
        <f>_xlfn.XLOOKUP(A435, 'Customer Information'!$A$1:$A$1001, 'Customer Information'!$B$1:$B$1001)</f>
        <v>Low</v>
      </c>
      <c r="F435" t="str">
        <f>_xlfn.XLOOKUP(A435, 'Customer Information'!$A$1:$A$1001, 'Customer Information'!$C$1:$C$1001)</f>
        <v>Families</v>
      </c>
      <c r="G435" t="str">
        <f>_xlfn.XLOOKUP('Customer Information'!A435, 'Customer Information'!$A$1:$A$1001, 'Customer Information'!$D$1:$D$1001)</f>
        <v>No</v>
      </c>
      <c r="H435" t="str">
        <f>INDEX('Additional Product Info.'!$A$1:$C$1001, MATCH('Product Positioning'!$A435, 'Additional Product Info.'!$A$1:$A$1001, 0), MATCH('Product Positioning'!H$1, 'Additional Product Info.'!$A$1:$C$1, 0))</f>
        <v>Front of Store</v>
      </c>
      <c r="I435" t="str">
        <f>INDEX('Additional Product Info.'!$A$1:$C$1001, MATCH('Product Positioning'!$A435, 'Additional Product Info.'!$A$1:$A$1001, 0), MATCH('Product Positioning'!I$1, 'Additional Product Info.'!$A$1:$C$1, 0))</f>
        <v>Clothing</v>
      </c>
      <c r="J435" t="str">
        <f>_xlfn.XLOOKUP(A435, $A$1:$A$1001, 'Additional Product Info.'!$D$1:$D$1001)</f>
        <v>No</v>
      </c>
      <c r="K435" s="1">
        <f t="shared" si="12"/>
        <v>13186.4</v>
      </c>
      <c r="L435" s="1">
        <f t="shared" si="13"/>
        <v>2.6999999999999993</v>
      </c>
      <c r="M435" t="str">
        <f>IF(L435&lt;=Statistics!$E$6,"Low Difference",IF('Product Positioning'!L435&gt;=Statistics!$E$4,"High Difference","Moderate Difference"))</f>
        <v>Moderate Difference</v>
      </c>
    </row>
    <row r="436" spans="1:13" x14ac:dyDescent="0.2">
      <c r="A436">
        <v>184922</v>
      </c>
      <c r="B436" s="1">
        <v>49.7</v>
      </c>
      <c r="C436" s="1">
        <v>47.27</v>
      </c>
      <c r="D436">
        <v>2461</v>
      </c>
      <c r="E436" t="str">
        <f>_xlfn.XLOOKUP(A436, 'Customer Information'!$A$1:$A$1001, 'Customer Information'!$B$1:$B$1001)</f>
        <v>Medium</v>
      </c>
      <c r="F436" t="str">
        <f>_xlfn.XLOOKUP(A436, 'Customer Information'!$A$1:$A$1001, 'Customer Information'!$C$1:$C$1001)</f>
        <v>College students</v>
      </c>
      <c r="G436" t="str">
        <f>_xlfn.XLOOKUP('Customer Information'!A436, 'Customer Information'!$A$1:$A$1001, 'Customer Information'!$D$1:$D$1001)</f>
        <v>Yes</v>
      </c>
      <c r="H436" t="str">
        <f>INDEX('Additional Product Info.'!$A$1:$C$1001, MATCH('Product Positioning'!$A436, 'Additional Product Info.'!$A$1:$A$1001, 0), MATCH('Product Positioning'!H$1, 'Additional Product Info.'!$A$1:$C$1, 0))</f>
        <v>Aisle</v>
      </c>
      <c r="I436" t="str">
        <f>INDEX('Additional Product Info.'!$A$1:$C$1001, MATCH('Product Positioning'!$A436, 'Additional Product Info.'!$A$1:$A$1001, 0), MATCH('Product Positioning'!I$1, 'Additional Product Info.'!$A$1:$C$1, 0))</f>
        <v>Electronics</v>
      </c>
      <c r="J436" t="str">
        <f>_xlfn.XLOOKUP(A436, $A$1:$A$1001, 'Additional Product Info.'!$D$1:$D$1001)</f>
        <v>Yes</v>
      </c>
      <c r="K436" s="1">
        <f t="shared" si="12"/>
        <v>122311.70000000001</v>
      </c>
      <c r="L436" s="1">
        <f t="shared" si="13"/>
        <v>2.4299999999999997</v>
      </c>
      <c r="M436" t="str">
        <f>IF(L436&lt;=Statistics!$E$6,"Low Difference",IF('Product Positioning'!L436&gt;=Statistics!$E$4,"High Difference","Moderate Difference"))</f>
        <v>Moderate Difference</v>
      </c>
    </row>
    <row r="437" spans="1:13" x14ac:dyDescent="0.2">
      <c r="A437">
        <v>159197</v>
      </c>
      <c r="B437" s="1">
        <v>36.549999999999997</v>
      </c>
      <c r="C437" s="1">
        <v>31.66</v>
      </c>
      <c r="D437">
        <v>2745</v>
      </c>
      <c r="E437" t="str">
        <f>_xlfn.XLOOKUP(A437, 'Customer Information'!$A$1:$A$1001, 'Customer Information'!$B$1:$B$1001)</f>
        <v>High</v>
      </c>
      <c r="F437" t="str">
        <f>_xlfn.XLOOKUP(A437, 'Customer Information'!$A$1:$A$1001, 'Customer Information'!$C$1:$C$1001)</f>
        <v>Young adults</v>
      </c>
      <c r="G437" t="str">
        <f>_xlfn.XLOOKUP('Customer Information'!A437, 'Customer Information'!$A$1:$A$1001, 'Customer Information'!$D$1:$D$1001)</f>
        <v>Yes</v>
      </c>
      <c r="H437" t="str">
        <f>INDEX('Additional Product Info.'!$A$1:$C$1001, MATCH('Product Positioning'!$A437, 'Additional Product Info.'!$A$1:$A$1001, 0), MATCH('Product Positioning'!H$1, 'Additional Product Info.'!$A$1:$C$1, 0))</f>
        <v>Front of Store</v>
      </c>
      <c r="I437" t="str">
        <f>INDEX('Additional Product Info.'!$A$1:$C$1001, MATCH('Product Positioning'!$A437, 'Additional Product Info.'!$A$1:$A$1001, 0), MATCH('Product Positioning'!I$1, 'Additional Product Info.'!$A$1:$C$1, 0))</f>
        <v>Food</v>
      </c>
      <c r="J437" t="str">
        <f>_xlfn.XLOOKUP(A437, $A$1:$A$1001, 'Additional Product Info.'!$D$1:$D$1001)</f>
        <v>Yes</v>
      </c>
      <c r="K437" s="1">
        <f t="shared" si="12"/>
        <v>100329.74999999999</v>
      </c>
      <c r="L437" s="1">
        <f t="shared" si="13"/>
        <v>4.889999999999997</v>
      </c>
      <c r="M437" t="str">
        <f>IF(L437&lt;=Statistics!$E$6,"Low Difference",IF('Product Positioning'!L437&gt;=Statistics!$E$4,"High Difference","Moderate Difference"))</f>
        <v>High Difference</v>
      </c>
    </row>
    <row r="438" spans="1:13" x14ac:dyDescent="0.2">
      <c r="A438">
        <v>162972</v>
      </c>
      <c r="B438" s="1">
        <v>25.44</v>
      </c>
      <c r="C438" s="1">
        <v>21.24</v>
      </c>
      <c r="D438">
        <v>1802</v>
      </c>
      <c r="E438" t="str">
        <f>_xlfn.XLOOKUP(A438, 'Customer Information'!$A$1:$A$1001, 'Customer Information'!$B$1:$B$1001)</f>
        <v>Medium</v>
      </c>
      <c r="F438" t="str">
        <f>_xlfn.XLOOKUP(A438, 'Customer Information'!$A$1:$A$1001, 'Customer Information'!$C$1:$C$1001)</f>
        <v>Seniors</v>
      </c>
      <c r="G438" t="str">
        <f>_xlfn.XLOOKUP('Customer Information'!A438, 'Customer Information'!$A$1:$A$1001, 'Customer Information'!$D$1:$D$1001)</f>
        <v>Yes</v>
      </c>
      <c r="H438" t="str">
        <f>INDEX('Additional Product Info.'!$A$1:$C$1001, MATCH('Product Positioning'!$A438, 'Additional Product Info.'!$A$1:$A$1001, 0), MATCH('Product Positioning'!H$1, 'Additional Product Info.'!$A$1:$C$1, 0))</f>
        <v>Front of Store</v>
      </c>
      <c r="I438" t="str">
        <f>INDEX('Additional Product Info.'!$A$1:$C$1001, MATCH('Product Positioning'!$A438, 'Additional Product Info.'!$A$1:$A$1001, 0), MATCH('Product Positioning'!I$1, 'Additional Product Info.'!$A$1:$C$1, 0))</f>
        <v>Food</v>
      </c>
      <c r="J438" t="str">
        <f>_xlfn.XLOOKUP(A438, $A$1:$A$1001, 'Additional Product Info.'!$D$1:$D$1001)</f>
        <v>Yes</v>
      </c>
      <c r="K438" s="1">
        <f t="shared" si="12"/>
        <v>45842.880000000005</v>
      </c>
      <c r="L438" s="1">
        <f t="shared" si="13"/>
        <v>4.2000000000000028</v>
      </c>
      <c r="M438" t="str">
        <f>IF(L438&lt;=Statistics!$E$6,"Low Difference",IF('Product Positioning'!L438&gt;=Statistics!$E$4,"High Difference","Moderate Difference"))</f>
        <v>High Difference</v>
      </c>
    </row>
    <row r="439" spans="1:13" x14ac:dyDescent="0.2">
      <c r="A439">
        <v>194018</v>
      </c>
      <c r="B439" s="1">
        <v>27.67</v>
      </c>
      <c r="C439" s="1">
        <v>22.78</v>
      </c>
      <c r="D439">
        <v>1024</v>
      </c>
      <c r="E439" t="str">
        <f>_xlfn.XLOOKUP(A439, 'Customer Information'!$A$1:$A$1001, 'Customer Information'!$B$1:$B$1001)</f>
        <v>High</v>
      </c>
      <c r="F439" t="str">
        <f>_xlfn.XLOOKUP(A439, 'Customer Information'!$A$1:$A$1001, 'Customer Information'!$C$1:$C$1001)</f>
        <v>Seniors</v>
      </c>
      <c r="G439" t="str">
        <f>_xlfn.XLOOKUP('Customer Information'!A439, 'Customer Information'!$A$1:$A$1001, 'Customer Information'!$D$1:$D$1001)</f>
        <v>Yes</v>
      </c>
      <c r="H439" t="str">
        <f>INDEX('Additional Product Info.'!$A$1:$C$1001, MATCH('Product Positioning'!$A439, 'Additional Product Info.'!$A$1:$A$1001, 0), MATCH('Product Positioning'!H$1, 'Additional Product Info.'!$A$1:$C$1, 0))</f>
        <v>Front of Store</v>
      </c>
      <c r="I439" t="str">
        <f>INDEX('Additional Product Info.'!$A$1:$C$1001, MATCH('Product Positioning'!$A439, 'Additional Product Info.'!$A$1:$A$1001, 0), MATCH('Product Positioning'!I$1, 'Additional Product Info.'!$A$1:$C$1, 0))</f>
        <v>Electronics</v>
      </c>
      <c r="J439" t="str">
        <f>_xlfn.XLOOKUP(A439, $A$1:$A$1001, 'Additional Product Info.'!$D$1:$D$1001)</f>
        <v>No</v>
      </c>
      <c r="K439" s="1">
        <f t="shared" si="12"/>
        <v>28334.080000000002</v>
      </c>
      <c r="L439" s="1">
        <f t="shared" si="13"/>
        <v>4.8900000000000006</v>
      </c>
      <c r="M439" t="str">
        <f>IF(L439&lt;=Statistics!$E$6,"Low Difference",IF('Product Positioning'!L439&gt;=Statistics!$E$4,"High Difference","Moderate Difference"))</f>
        <v>High Difference</v>
      </c>
    </row>
    <row r="440" spans="1:13" x14ac:dyDescent="0.2">
      <c r="A440">
        <v>128043</v>
      </c>
      <c r="B440" s="1">
        <v>11</v>
      </c>
      <c r="C440" s="1">
        <v>6.91</v>
      </c>
      <c r="D440">
        <v>667</v>
      </c>
      <c r="E440" t="str">
        <f>_xlfn.XLOOKUP(A440, 'Customer Information'!$A$1:$A$1001, 'Customer Information'!$B$1:$B$1001)</f>
        <v>High</v>
      </c>
      <c r="F440" t="str">
        <f>_xlfn.XLOOKUP(A440, 'Customer Information'!$A$1:$A$1001, 'Customer Information'!$C$1:$C$1001)</f>
        <v>Young adults</v>
      </c>
      <c r="G440" t="str">
        <f>_xlfn.XLOOKUP('Customer Information'!A440, 'Customer Information'!$A$1:$A$1001, 'Customer Information'!$D$1:$D$1001)</f>
        <v>Yes</v>
      </c>
      <c r="H440" t="str">
        <f>INDEX('Additional Product Info.'!$A$1:$C$1001, MATCH('Product Positioning'!$A440, 'Additional Product Info.'!$A$1:$A$1001, 0), MATCH('Product Positioning'!H$1, 'Additional Product Info.'!$A$1:$C$1, 0))</f>
        <v>Aisle</v>
      </c>
      <c r="I440" t="str">
        <f>INDEX('Additional Product Info.'!$A$1:$C$1001, MATCH('Product Positioning'!$A440, 'Additional Product Info.'!$A$1:$A$1001, 0), MATCH('Product Positioning'!I$1, 'Additional Product Info.'!$A$1:$C$1, 0))</f>
        <v>Clothing</v>
      </c>
      <c r="J440" t="str">
        <f>_xlfn.XLOOKUP(A440, $A$1:$A$1001, 'Additional Product Info.'!$D$1:$D$1001)</f>
        <v>No</v>
      </c>
      <c r="K440" s="1">
        <f t="shared" si="12"/>
        <v>7337</v>
      </c>
      <c r="L440" s="1">
        <f t="shared" si="13"/>
        <v>4.09</v>
      </c>
      <c r="M440" t="str">
        <f>IF(L440&lt;=Statistics!$E$6,"Low Difference",IF('Product Positioning'!L440&gt;=Statistics!$E$4,"High Difference","Moderate Difference"))</f>
        <v>High Difference</v>
      </c>
    </row>
    <row r="441" spans="1:13" x14ac:dyDescent="0.2">
      <c r="A441">
        <v>194508</v>
      </c>
      <c r="B441" s="1">
        <v>11.03</v>
      </c>
      <c r="C441" s="1">
        <v>10.210000000000001</v>
      </c>
      <c r="D441">
        <v>2691</v>
      </c>
      <c r="E441" t="str">
        <f>_xlfn.XLOOKUP(A441, 'Customer Information'!$A$1:$A$1001, 'Customer Information'!$B$1:$B$1001)</f>
        <v>Medium</v>
      </c>
      <c r="F441" t="str">
        <f>_xlfn.XLOOKUP(A441, 'Customer Information'!$A$1:$A$1001, 'Customer Information'!$C$1:$C$1001)</f>
        <v>College students</v>
      </c>
      <c r="G441" t="str">
        <f>_xlfn.XLOOKUP('Customer Information'!A441, 'Customer Information'!$A$1:$A$1001, 'Customer Information'!$D$1:$D$1001)</f>
        <v>No</v>
      </c>
      <c r="H441" t="str">
        <f>INDEX('Additional Product Info.'!$A$1:$C$1001, MATCH('Product Positioning'!$A441, 'Additional Product Info.'!$A$1:$A$1001, 0), MATCH('Product Positioning'!H$1, 'Additional Product Info.'!$A$1:$C$1, 0))</f>
        <v>Front of Store</v>
      </c>
      <c r="I441" t="str">
        <f>INDEX('Additional Product Info.'!$A$1:$C$1001, MATCH('Product Positioning'!$A441, 'Additional Product Info.'!$A$1:$A$1001, 0), MATCH('Product Positioning'!I$1, 'Additional Product Info.'!$A$1:$C$1, 0))</f>
        <v>Clothing</v>
      </c>
      <c r="J441" t="str">
        <f>_xlfn.XLOOKUP(A441, $A$1:$A$1001, 'Additional Product Info.'!$D$1:$D$1001)</f>
        <v>Yes</v>
      </c>
      <c r="K441" s="1">
        <f t="shared" si="12"/>
        <v>29681.73</v>
      </c>
      <c r="L441" s="1">
        <f t="shared" si="13"/>
        <v>0.81999999999999851</v>
      </c>
      <c r="M441" t="str">
        <f>IF(L441&lt;=Statistics!$E$6,"Low Difference",IF('Product Positioning'!L441&gt;=Statistics!$E$4,"High Difference","Moderate Difference"))</f>
        <v>Low Difference</v>
      </c>
    </row>
    <row r="442" spans="1:13" x14ac:dyDescent="0.2">
      <c r="A442">
        <v>125010</v>
      </c>
      <c r="B442" s="1">
        <v>30.97</v>
      </c>
      <c r="C442" s="1">
        <v>26.4</v>
      </c>
      <c r="D442">
        <v>533</v>
      </c>
      <c r="E442" t="str">
        <f>_xlfn.XLOOKUP(A442, 'Customer Information'!$A$1:$A$1001, 'Customer Information'!$B$1:$B$1001)</f>
        <v>Low</v>
      </c>
      <c r="F442" t="str">
        <f>_xlfn.XLOOKUP(A442, 'Customer Information'!$A$1:$A$1001, 'Customer Information'!$C$1:$C$1001)</f>
        <v>College students</v>
      </c>
      <c r="G442" t="str">
        <f>_xlfn.XLOOKUP('Customer Information'!A442, 'Customer Information'!$A$1:$A$1001, 'Customer Information'!$D$1:$D$1001)</f>
        <v>Yes</v>
      </c>
      <c r="H442" t="str">
        <f>INDEX('Additional Product Info.'!$A$1:$C$1001, MATCH('Product Positioning'!$A442, 'Additional Product Info.'!$A$1:$A$1001, 0), MATCH('Product Positioning'!H$1, 'Additional Product Info.'!$A$1:$C$1, 0))</f>
        <v>Front of Store</v>
      </c>
      <c r="I442" t="str">
        <f>INDEX('Additional Product Info.'!$A$1:$C$1001, MATCH('Product Positioning'!$A442, 'Additional Product Info.'!$A$1:$A$1001, 0), MATCH('Product Positioning'!I$1, 'Additional Product Info.'!$A$1:$C$1, 0))</f>
        <v>Clothing</v>
      </c>
      <c r="J442" t="str">
        <f>_xlfn.XLOOKUP(A442, $A$1:$A$1001, 'Additional Product Info.'!$D$1:$D$1001)</f>
        <v>No</v>
      </c>
      <c r="K442" s="1">
        <f t="shared" si="12"/>
        <v>16507.009999999998</v>
      </c>
      <c r="L442" s="1">
        <f t="shared" si="13"/>
        <v>4.57</v>
      </c>
      <c r="M442" t="str">
        <f>IF(L442&lt;=Statistics!$E$6,"Low Difference",IF('Product Positioning'!L442&gt;=Statistics!$E$4,"High Difference","Moderate Difference"))</f>
        <v>High Difference</v>
      </c>
    </row>
    <row r="443" spans="1:13" x14ac:dyDescent="0.2">
      <c r="A443">
        <v>157494</v>
      </c>
      <c r="B443" s="1">
        <v>21.68</v>
      </c>
      <c r="C443" s="1">
        <v>19.100000000000001</v>
      </c>
      <c r="D443">
        <v>1410</v>
      </c>
      <c r="E443" t="str">
        <f>_xlfn.XLOOKUP(A443, 'Customer Information'!$A$1:$A$1001, 'Customer Information'!$B$1:$B$1001)</f>
        <v>Low</v>
      </c>
      <c r="F443" t="str">
        <f>_xlfn.XLOOKUP(A443, 'Customer Information'!$A$1:$A$1001, 'Customer Information'!$C$1:$C$1001)</f>
        <v>Seniors</v>
      </c>
      <c r="G443" t="str">
        <f>_xlfn.XLOOKUP('Customer Information'!A443, 'Customer Information'!$A$1:$A$1001, 'Customer Information'!$D$1:$D$1001)</f>
        <v>Yes</v>
      </c>
      <c r="H443" t="str">
        <f>INDEX('Additional Product Info.'!$A$1:$C$1001, MATCH('Product Positioning'!$A443, 'Additional Product Info.'!$A$1:$A$1001, 0), MATCH('Product Positioning'!H$1, 'Additional Product Info.'!$A$1:$C$1, 0))</f>
        <v>Aisle</v>
      </c>
      <c r="I443" t="str">
        <f>INDEX('Additional Product Info.'!$A$1:$C$1001, MATCH('Product Positioning'!$A443, 'Additional Product Info.'!$A$1:$A$1001, 0), MATCH('Product Positioning'!I$1, 'Additional Product Info.'!$A$1:$C$1, 0))</f>
        <v>Electronics</v>
      </c>
      <c r="J443" t="str">
        <f>_xlfn.XLOOKUP(A443, $A$1:$A$1001, 'Additional Product Info.'!$D$1:$D$1001)</f>
        <v>Yes</v>
      </c>
      <c r="K443" s="1">
        <f t="shared" si="12"/>
        <v>30568.799999999999</v>
      </c>
      <c r="L443" s="1">
        <f t="shared" si="13"/>
        <v>2.5799999999999983</v>
      </c>
      <c r="M443" t="str">
        <f>IF(L443&lt;=Statistics!$E$6,"Low Difference",IF('Product Positioning'!L443&gt;=Statistics!$E$4,"High Difference","Moderate Difference"))</f>
        <v>Moderate Difference</v>
      </c>
    </row>
    <row r="444" spans="1:13" x14ac:dyDescent="0.2">
      <c r="A444">
        <v>195774</v>
      </c>
      <c r="B444" s="1">
        <v>47.46</v>
      </c>
      <c r="C444" s="1">
        <v>42.76</v>
      </c>
      <c r="D444">
        <v>2905</v>
      </c>
      <c r="E444" t="str">
        <f>_xlfn.XLOOKUP(A444, 'Customer Information'!$A$1:$A$1001, 'Customer Information'!$B$1:$B$1001)</f>
        <v>Low</v>
      </c>
      <c r="F444" t="str">
        <f>_xlfn.XLOOKUP(A444, 'Customer Information'!$A$1:$A$1001, 'Customer Information'!$C$1:$C$1001)</f>
        <v>Young adults</v>
      </c>
      <c r="G444" t="str">
        <f>_xlfn.XLOOKUP('Customer Information'!A444, 'Customer Information'!$A$1:$A$1001, 'Customer Information'!$D$1:$D$1001)</f>
        <v>No</v>
      </c>
      <c r="H444" t="str">
        <f>INDEX('Additional Product Info.'!$A$1:$C$1001, MATCH('Product Positioning'!$A444, 'Additional Product Info.'!$A$1:$A$1001, 0), MATCH('Product Positioning'!H$1, 'Additional Product Info.'!$A$1:$C$1, 0))</f>
        <v>End-cap</v>
      </c>
      <c r="I444" t="str">
        <f>INDEX('Additional Product Info.'!$A$1:$C$1001, MATCH('Product Positioning'!$A444, 'Additional Product Info.'!$A$1:$A$1001, 0), MATCH('Product Positioning'!I$1, 'Additional Product Info.'!$A$1:$C$1, 0))</f>
        <v>Clothing</v>
      </c>
      <c r="J444" t="str">
        <f>_xlfn.XLOOKUP(A444, $A$1:$A$1001, 'Additional Product Info.'!$D$1:$D$1001)</f>
        <v>No</v>
      </c>
      <c r="K444" s="1">
        <f t="shared" si="12"/>
        <v>137871.29999999999</v>
      </c>
      <c r="L444" s="1">
        <f t="shared" si="13"/>
        <v>4.7000000000000028</v>
      </c>
      <c r="M444" t="str">
        <f>IF(L444&lt;=Statistics!$E$6,"Low Difference",IF('Product Positioning'!L444&gt;=Statistics!$E$4,"High Difference","Moderate Difference"))</f>
        <v>High Difference</v>
      </c>
    </row>
    <row r="445" spans="1:13" x14ac:dyDescent="0.2">
      <c r="A445">
        <v>133617</v>
      </c>
      <c r="B445" s="1">
        <v>34.49</v>
      </c>
      <c r="C445" s="1">
        <v>32.89</v>
      </c>
      <c r="D445">
        <v>2881</v>
      </c>
      <c r="E445" t="str">
        <f>_xlfn.XLOOKUP(A445, 'Customer Information'!$A$1:$A$1001, 'Customer Information'!$B$1:$B$1001)</f>
        <v>Low</v>
      </c>
      <c r="F445" t="str">
        <f>_xlfn.XLOOKUP(A445, 'Customer Information'!$A$1:$A$1001, 'Customer Information'!$C$1:$C$1001)</f>
        <v>Seniors</v>
      </c>
      <c r="G445" t="str">
        <f>_xlfn.XLOOKUP('Customer Information'!A445, 'Customer Information'!$A$1:$A$1001, 'Customer Information'!$D$1:$D$1001)</f>
        <v>No</v>
      </c>
      <c r="H445" t="str">
        <f>INDEX('Additional Product Info.'!$A$1:$C$1001, MATCH('Product Positioning'!$A445, 'Additional Product Info.'!$A$1:$A$1001, 0), MATCH('Product Positioning'!H$1, 'Additional Product Info.'!$A$1:$C$1, 0))</f>
        <v>End-cap</v>
      </c>
      <c r="I445" t="str">
        <f>INDEX('Additional Product Info.'!$A$1:$C$1001, MATCH('Product Positioning'!$A445, 'Additional Product Info.'!$A$1:$A$1001, 0), MATCH('Product Positioning'!I$1, 'Additional Product Info.'!$A$1:$C$1, 0))</f>
        <v>Clothing</v>
      </c>
      <c r="J445" t="str">
        <f>_xlfn.XLOOKUP(A445, $A$1:$A$1001, 'Additional Product Info.'!$D$1:$D$1001)</f>
        <v>Yes</v>
      </c>
      <c r="K445" s="1">
        <f t="shared" si="12"/>
        <v>99365.69</v>
      </c>
      <c r="L445" s="1">
        <f t="shared" si="13"/>
        <v>1.6000000000000014</v>
      </c>
      <c r="M445" t="str">
        <f>IF(L445&lt;=Statistics!$E$6,"Low Difference",IF('Product Positioning'!L445&gt;=Statistics!$E$4,"High Difference","Moderate Difference"))</f>
        <v>Moderate Difference</v>
      </c>
    </row>
    <row r="446" spans="1:13" x14ac:dyDescent="0.2">
      <c r="A446">
        <v>176459</v>
      </c>
      <c r="B446" s="1">
        <v>39.72</v>
      </c>
      <c r="C446" s="1">
        <v>36.86</v>
      </c>
      <c r="D446">
        <v>657</v>
      </c>
      <c r="E446" t="str">
        <f>_xlfn.XLOOKUP(A446, 'Customer Information'!$A$1:$A$1001, 'Customer Information'!$B$1:$B$1001)</f>
        <v>High</v>
      </c>
      <c r="F446" t="str">
        <f>_xlfn.XLOOKUP(A446, 'Customer Information'!$A$1:$A$1001, 'Customer Information'!$C$1:$C$1001)</f>
        <v>Families</v>
      </c>
      <c r="G446" t="str">
        <f>_xlfn.XLOOKUP('Customer Information'!A446, 'Customer Information'!$A$1:$A$1001, 'Customer Information'!$D$1:$D$1001)</f>
        <v>No</v>
      </c>
      <c r="H446" t="str">
        <f>INDEX('Additional Product Info.'!$A$1:$C$1001, MATCH('Product Positioning'!$A446, 'Additional Product Info.'!$A$1:$A$1001, 0), MATCH('Product Positioning'!H$1, 'Additional Product Info.'!$A$1:$C$1, 0))</f>
        <v>Front of Store</v>
      </c>
      <c r="I446" t="str">
        <f>INDEX('Additional Product Info.'!$A$1:$C$1001, MATCH('Product Positioning'!$A446, 'Additional Product Info.'!$A$1:$A$1001, 0), MATCH('Product Positioning'!I$1, 'Additional Product Info.'!$A$1:$C$1, 0))</f>
        <v>Electronics</v>
      </c>
      <c r="J446" t="str">
        <f>_xlfn.XLOOKUP(A446, $A$1:$A$1001, 'Additional Product Info.'!$D$1:$D$1001)</f>
        <v>No</v>
      </c>
      <c r="K446" s="1">
        <f t="shared" si="12"/>
        <v>26096.04</v>
      </c>
      <c r="L446" s="1">
        <f t="shared" si="13"/>
        <v>2.8599999999999994</v>
      </c>
      <c r="M446" t="str">
        <f>IF(L446&lt;=Statistics!$E$6,"Low Difference",IF('Product Positioning'!L446&gt;=Statistics!$E$4,"High Difference","Moderate Difference"))</f>
        <v>Moderate Difference</v>
      </c>
    </row>
    <row r="447" spans="1:13" x14ac:dyDescent="0.2">
      <c r="A447">
        <v>138820</v>
      </c>
      <c r="B447" s="1">
        <v>5.85</v>
      </c>
      <c r="C447" s="1">
        <v>2.0299999999999998</v>
      </c>
      <c r="D447">
        <v>2975</v>
      </c>
      <c r="E447" t="str">
        <f>_xlfn.XLOOKUP(A447, 'Customer Information'!$A$1:$A$1001, 'Customer Information'!$B$1:$B$1001)</f>
        <v>Low</v>
      </c>
      <c r="F447" t="str">
        <f>_xlfn.XLOOKUP(A447, 'Customer Information'!$A$1:$A$1001, 'Customer Information'!$C$1:$C$1001)</f>
        <v>Seniors</v>
      </c>
      <c r="G447" t="str">
        <f>_xlfn.XLOOKUP('Customer Information'!A447, 'Customer Information'!$A$1:$A$1001, 'Customer Information'!$D$1:$D$1001)</f>
        <v>Yes</v>
      </c>
      <c r="H447" t="str">
        <f>INDEX('Additional Product Info.'!$A$1:$C$1001, MATCH('Product Positioning'!$A447, 'Additional Product Info.'!$A$1:$A$1001, 0), MATCH('Product Positioning'!H$1, 'Additional Product Info.'!$A$1:$C$1, 0))</f>
        <v>Aisle</v>
      </c>
      <c r="I447" t="str">
        <f>INDEX('Additional Product Info.'!$A$1:$C$1001, MATCH('Product Positioning'!$A447, 'Additional Product Info.'!$A$1:$A$1001, 0), MATCH('Product Positioning'!I$1, 'Additional Product Info.'!$A$1:$C$1, 0))</f>
        <v>Clothing</v>
      </c>
      <c r="J447" t="str">
        <f>_xlfn.XLOOKUP(A447, $A$1:$A$1001, 'Additional Product Info.'!$D$1:$D$1001)</f>
        <v>Yes</v>
      </c>
      <c r="K447" s="1">
        <f t="shared" si="12"/>
        <v>17403.75</v>
      </c>
      <c r="L447" s="1">
        <f t="shared" si="13"/>
        <v>3.82</v>
      </c>
      <c r="M447" t="str">
        <f>IF(L447&lt;=Statistics!$E$6,"Low Difference",IF('Product Positioning'!L447&gt;=Statistics!$E$4,"High Difference","Moderate Difference"))</f>
        <v>High Difference</v>
      </c>
    </row>
    <row r="448" spans="1:13" x14ac:dyDescent="0.2">
      <c r="A448">
        <v>152123</v>
      </c>
      <c r="B448" s="1">
        <v>26.07</v>
      </c>
      <c r="C448" s="1">
        <v>25.02</v>
      </c>
      <c r="D448">
        <v>955</v>
      </c>
      <c r="E448" t="str">
        <f>_xlfn.XLOOKUP(A448, 'Customer Information'!$A$1:$A$1001, 'Customer Information'!$B$1:$B$1001)</f>
        <v>Low</v>
      </c>
      <c r="F448" t="str">
        <f>_xlfn.XLOOKUP(A448, 'Customer Information'!$A$1:$A$1001, 'Customer Information'!$C$1:$C$1001)</f>
        <v>Families</v>
      </c>
      <c r="G448" t="str">
        <f>_xlfn.XLOOKUP('Customer Information'!A448, 'Customer Information'!$A$1:$A$1001, 'Customer Information'!$D$1:$D$1001)</f>
        <v>Yes</v>
      </c>
      <c r="H448" t="str">
        <f>INDEX('Additional Product Info.'!$A$1:$C$1001, MATCH('Product Positioning'!$A448, 'Additional Product Info.'!$A$1:$A$1001, 0), MATCH('Product Positioning'!H$1, 'Additional Product Info.'!$A$1:$C$1, 0))</f>
        <v>Front of Store</v>
      </c>
      <c r="I448" t="str">
        <f>INDEX('Additional Product Info.'!$A$1:$C$1001, MATCH('Product Positioning'!$A448, 'Additional Product Info.'!$A$1:$A$1001, 0), MATCH('Product Positioning'!I$1, 'Additional Product Info.'!$A$1:$C$1, 0))</f>
        <v>Clothing</v>
      </c>
      <c r="J448" t="str">
        <f>_xlfn.XLOOKUP(A448, $A$1:$A$1001, 'Additional Product Info.'!$D$1:$D$1001)</f>
        <v>No</v>
      </c>
      <c r="K448" s="1">
        <f t="shared" si="12"/>
        <v>24896.85</v>
      </c>
      <c r="L448" s="1">
        <f t="shared" si="13"/>
        <v>1.0500000000000007</v>
      </c>
      <c r="M448" t="str">
        <f>IF(L448&lt;=Statistics!$E$6,"Low Difference",IF('Product Positioning'!L448&gt;=Statistics!$E$4,"High Difference","Moderate Difference"))</f>
        <v>Low Difference</v>
      </c>
    </row>
    <row r="449" spans="1:13" x14ac:dyDescent="0.2">
      <c r="A449">
        <v>165842</v>
      </c>
      <c r="B449" s="1">
        <v>40.619999999999997</v>
      </c>
      <c r="C449" s="1">
        <v>37.68</v>
      </c>
      <c r="D449">
        <v>633</v>
      </c>
      <c r="E449" t="str">
        <f>_xlfn.XLOOKUP(A449, 'Customer Information'!$A$1:$A$1001, 'Customer Information'!$B$1:$B$1001)</f>
        <v>High</v>
      </c>
      <c r="F449" t="str">
        <f>_xlfn.XLOOKUP(A449, 'Customer Information'!$A$1:$A$1001, 'Customer Information'!$C$1:$C$1001)</f>
        <v>Seniors</v>
      </c>
      <c r="G449" t="str">
        <f>_xlfn.XLOOKUP('Customer Information'!A449, 'Customer Information'!$A$1:$A$1001, 'Customer Information'!$D$1:$D$1001)</f>
        <v>No</v>
      </c>
      <c r="H449" t="str">
        <f>INDEX('Additional Product Info.'!$A$1:$C$1001, MATCH('Product Positioning'!$A449, 'Additional Product Info.'!$A$1:$A$1001, 0), MATCH('Product Positioning'!H$1, 'Additional Product Info.'!$A$1:$C$1, 0))</f>
        <v>Front of Store</v>
      </c>
      <c r="I449" t="str">
        <f>INDEX('Additional Product Info.'!$A$1:$C$1001, MATCH('Product Positioning'!$A449, 'Additional Product Info.'!$A$1:$A$1001, 0), MATCH('Product Positioning'!I$1, 'Additional Product Info.'!$A$1:$C$1, 0))</f>
        <v>Clothing</v>
      </c>
      <c r="J449" t="str">
        <f>_xlfn.XLOOKUP(A449, $A$1:$A$1001, 'Additional Product Info.'!$D$1:$D$1001)</f>
        <v>Yes</v>
      </c>
      <c r="K449" s="1">
        <f t="shared" si="12"/>
        <v>25712.46</v>
      </c>
      <c r="L449" s="1">
        <f t="shared" si="13"/>
        <v>2.9399999999999977</v>
      </c>
      <c r="M449" t="str">
        <f>IF(L449&lt;=Statistics!$E$6,"Low Difference",IF('Product Positioning'!L449&gt;=Statistics!$E$4,"High Difference","Moderate Difference"))</f>
        <v>Moderate Difference</v>
      </c>
    </row>
    <row r="450" spans="1:13" x14ac:dyDescent="0.2">
      <c r="A450">
        <v>160474</v>
      </c>
      <c r="B450" s="1">
        <v>10.3</v>
      </c>
      <c r="C450" s="1">
        <v>6.83</v>
      </c>
      <c r="D450">
        <v>1430</v>
      </c>
      <c r="E450" t="str">
        <f>_xlfn.XLOOKUP(A450, 'Customer Information'!$A$1:$A$1001, 'Customer Information'!$B$1:$B$1001)</f>
        <v>Medium</v>
      </c>
      <c r="F450" t="str">
        <f>_xlfn.XLOOKUP(A450, 'Customer Information'!$A$1:$A$1001, 'Customer Information'!$C$1:$C$1001)</f>
        <v>College students</v>
      </c>
      <c r="G450" t="str">
        <f>_xlfn.XLOOKUP('Customer Information'!A450, 'Customer Information'!$A$1:$A$1001, 'Customer Information'!$D$1:$D$1001)</f>
        <v>Yes</v>
      </c>
      <c r="H450" t="str">
        <f>INDEX('Additional Product Info.'!$A$1:$C$1001, MATCH('Product Positioning'!$A450, 'Additional Product Info.'!$A$1:$A$1001, 0), MATCH('Product Positioning'!H$1, 'Additional Product Info.'!$A$1:$C$1, 0))</f>
        <v>Front of Store</v>
      </c>
      <c r="I450" t="str">
        <f>INDEX('Additional Product Info.'!$A$1:$C$1001, MATCH('Product Positioning'!$A450, 'Additional Product Info.'!$A$1:$A$1001, 0), MATCH('Product Positioning'!I$1, 'Additional Product Info.'!$A$1:$C$1, 0))</f>
        <v>Electronics</v>
      </c>
      <c r="J450" t="str">
        <f>_xlfn.XLOOKUP(A450, $A$1:$A$1001, 'Additional Product Info.'!$D$1:$D$1001)</f>
        <v>Yes</v>
      </c>
      <c r="K450" s="1">
        <f t="shared" ref="K450:K513" si="14">B450*D450</f>
        <v>14729.000000000002</v>
      </c>
      <c r="L450" s="1">
        <f t="shared" ref="L450:L513" si="15">ABS(B450-C450)</f>
        <v>3.4700000000000006</v>
      </c>
      <c r="M450" t="str">
        <f>IF(L450&lt;=Statistics!$E$6,"Low Difference",IF('Product Positioning'!L450&gt;=Statistics!$E$4,"High Difference","Moderate Difference"))</f>
        <v>Moderate Difference</v>
      </c>
    </row>
    <row r="451" spans="1:13" x14ac:dyDescent="0.2">
      <c r="A451">
        <v>198462</v>
      </c>
      <c r="B451" s="1">
        <v>31.39</v>
      </c>
      <c r="C451" s="1">
        <v>26.78</v>
      </c>
      <c r="D451">
        <v>1779</v>
      </c>
      <c r="E451" t="str">
        <f>_xlfn.XLOOKUP(A451, 'Customer Information'!$A$1:$A$1001, 'Customer Information'!$B$1:$B$1001)</f>
        <v>Medium</v>
      </c>
      <c r="F451" t="str">
        <f>_xlfn.XLOOKUP(A451, 'Customer Information'!$A$1:$A$1001, 'Customer Information'!$C$1:$C$1001)</f>
        <v>Seniors</v>
      </c>
      <c r="G451" t="str">
        <f>_xlfn.XLOOKUP('Customer Information'!A451, 'Customer Information'!$A$1:$A$1001, 'Customer Information'!$D$1:$D$1001)</f>
        <v>No</v>
      </c>
      <c r="H451" t="str">
        <f>INDEX('Additional Product Info.'!$A$1:$C$1001, MATCH('Product Positioning'!$A451, 'Additional Product Info.'!$A$1:$A$1001, 0), MATCH('Product Positioning'!H$1, 'Additional Product Info.'!$A$1:$C$1, 0))</f>
        <v>End-cap</v>
      </c>
      <c r="I451" t="str">
        <f>INDEX('Additional Product Info.'!$A$1:$C$1001, MATCH('Product Positioning'!$A451, 'Additional Product Info.'!$A$1:$A$1001, 0), MATCH('Product Positioning'!I$1, 'Additional Product Info.'!$A$1:$C$1, 0))</f>
        <v>Electronics</v>
      </c>
      <c r="J451" t="str">
        <f>_xlfn.XLOOKUP(A451, $A$1:$A$1001, 'Additional Product Info.'!$D$1:$D$1001)</f>
        <v>No</v>
      </c>
      <c r="K451" s="1">
        <f t="shared" si="14"/>
        <v>55842.81</v>
      </c>
      <c r="L451" s="1">
        <f t="shared" si="15"/>
        <v>4.6099999999999994</v>
      </c>
      <c r="M451" t="str">
        <f>IF(L451&lt;=Statistics!$E$6,"Low Difference",IF('Product Positioning'!L451&gt;=Statistics!$E$4,"High Difference","Moderate Difference"))</f>
        <v>High Difference</v>
      </c>
    </row>
    <row r="452" spans="1:13" x14ac:dyDescent="0.2">
      <c r="A452">
        <v>194843</v>
      </c>
      <c r="B452" s="1">
        <v>5.14</v>
      </c>
      <c r="C452" s="1">
        <v>3.62</v>
      </c>
      <c r="D452">
        <v>1324</v>
      </c>
      <c r="E452" t="str">
        <f>_xlfn.XLOOKUP(A452, 'Customer Information'!$A$1:$A$1001, 'Customer Information'!$B$1:$B$1001)</f>
        <v>Medium</v>
      </c>
      <c r="F452" t="str">
        <f>_xlfn.XLOOKUP(A452, 'Customer Information'!$A$1:$A$1001, 'Customer Information'!$C$1:$C$1001)</f>
        <v>College students</v>
      </c>
      <c r="G452" t="str">
        <f>_xlfn.XLOOKUP('Customer Information'!A452, 'Customer Information'!$A$1:$A$1001, 'Customer Information'!$D$1:$D$1001)</f>
        <v>Yes</v>
      </c>
      <c r="H452" t="str">
        <f>INDEX('Additional Product Info.'!$A$1:$C$1001, MATCH('Product Positioning'!$A452, 'Additional Product Info.'!$A$1:$A$1001, 0), MATCH('Product Positioning'!H$1, 'Additional Product Info.'!$A$1:$C$1, 0))</f>
        <v>Aisle</v>
      </c>
      <c r="I452" t="str">
        <f>INDEX('Additional Product Info.'!$A$1:$C$1001, MATCH('Product Positioning'!$A452, 'Additional Product Info.'!$A$1:$A$1001, 0), MATCH('Product Positioning'!I$1, 'Additional Product Info.'!$A$1:$C$1, 0))</f>
        <v>Clothing</v>
      </c>
      <c r="J452" t="str">
        <f>_xlfn.XLOOKUP(A452, $A$1:$A$1001, 'Additional Product Info.'!$D$1:$D$1001)</f>
        <v>No</v>
      </c>
      <c r="K452" s="1">
        <f t="shared" si="14"/>
        <v>6805.36</v>
      </c>
      <c r="L452" s="1">
        <f t="shared" si="15"/>
        <v>1.5199999999999996</v>
      </c>
      <c r="M452" t="str">
        <f>IF(L452&lt;=Statistics!$E$6,"Low Difference",IF('Product Positioning'!L452&gt;=Statistics!$E$4,"High Difference","Moderate Difference"))</f>
        <v>Moderate Difference</v>
      </c>
    </row>
    <row r="453" spans="1:13" x14ac:dyDescent="0.2">
      <c r="A453">
        <v>150604</v>
      </c>
      <c r="B453" s="1">
        <v>25.89</v>
      </c>
      <c r="C453" s="1">
        <v>22.26</v>
      </c>
      <c r="D453">
        <v>2694</v>
      </c>
      <c r="E453" t="str">
        <f>_xlfn.XLOOKUP(A453, 'Customer Information'!$A$1:$A$1001, 'Customer Information'!$B$1:$B$1001)</f>
        <v>Low</v>
      </c>
      <c r="F453" t="str">
        <f>_xlfn.XLOOKUP(A453, 'Customer Information'!$A$1:$A$1001, 'Customer Information'!$C$1:$C$1001)</f>
        <v>Families</v>
      </c>
      <c r="G453" t="str">
        <f>_xlfn.XLOOKUP('Customer Information'!A453, 'Customer Information'!$A$1:$A$1001, 'Customer Information'!$D$1:$D$1001)</f>
        <v>Yes</v>
      </c>
      <c r="H453" t="str">
        <f>INDEX('Additional Product Info.'!$A$1:$C$1001, MATCH('Product Positioning'!$A453, 'Additional Product Info.'!$A$1:$A$1001, 0), MATCH('Product Positioning'!H$1, 'Additional Product Info.'!$A$1:$C$1, 0))</f>
        <v>Aisle</v>
      </c>
      <c r="I453" t="str">
        <f>INDEX('Additional Product Info.'!$A$1:$C$1001, MATCH('Product Positioning'!$A453, 'Additional Product Info.'!$A$1:$A$1001, 0), MATCH('Product Positioning'!I$1, 'Additional Product Info.'!$A$1:$C$1, 0))</f>
        <v>Food</v>
      </c>
      <c r="J453" t="str">
        <f>_xlfn.XLOOKUP(A453, $A$1:$A$1001, 'Additional Product Info.'!$D$1:$D$1001)</f>
        <v>Yes</v>
      </c>
      <c r="K453" s="1">
        <f t="shared" si="14"/>
        <v>69747.66</v>
      </c>
      <c r="L453" s="1">
        <f t="shared" si="15"/>
        <v>3.629999999999999</v>
      </c>
      <c r="M453" t="str">
        <f>IF(L453&lt;=Statistics!$E$6,"Low Difference",IF('Product Positioning'!L453&gt;=Statistics!$E$4,"High Difference","Moderate Difference"))</f>
        <v>Moderate Difference</v>
      </c>
    </row>
    <row r="454" spans="1:13" x14ac:dyDescent="0.2">
      <c r="A454">
        <v>190418</v>
      </c>
      <c r="B454" s="1">
        <v>43.29</v>
      </c>
      <c r="C454" s="1">
        <v>42.64</v>
      </c>
      <c r="D454">
        <v>1341</v>
      </c>
      <c r="E454" t="str">
        <f>_xlfn.XLOOKUP(A454, 'Customer Information'!$A$1:$A$1001, 'Customer Information'!$B$1:$B$1001)</f>
        <v>Medium</v>
      </c>
      <c r="F454" t="str">
        <f>_xlfn.XLOOKUP(A454, 'Customer Information'!$A$1:$A$1001, 'Customer Information'!$C$1:$C$1001)</f>
        <v>Young adults</v>
      </c>
      <c r="G454" t="str">
        <f>_xlfn.XLOOKUP('Customer Information'!A454, 'Customer Information'!$A$1:$A$1001, 'Customer Information'!$D$1:$D$1001)</f>
        <v>No</v>
      </c>
      <c r="H454" t="str">
        <f>INDEX('Additional Product Info.'!$A$1:$C$1001, MATCH('Product Positioning'!$A454, 'Additional Product Info.'!$A$1:$A$1001, 0), MATCH('Product Positioning'!H$1, 'Additional Product Info.'!$A$1:$C$1, 0))</f>
        <v>End-cap</v>
      </c>
      <c r="I454" t="str">
        <f>INDEX('Additional Product Info.'!$A$1:$C$1001, MATCH('Product Positioning'!$A454, 'Additional Product Info.'!$A$1:$A$1001, 0), MATCH('Product Positioning'!I$1, 'Additional Product Info.'!$A$1:$C$1, 0))</f>
        <v>Electronics</v>
      </c>
      <c r="J454" t="str">
        <f>_xlfn.XLOOKUP(A454, $A$1:$A$1001, 'Additional Product Info.'!$D$1:$D$1001)</f>
        <v>No</v>
      </c>
      <c r="K454" s="1">
        <f t="shared" si="14"/>
        <v>58051.89</v>
      </c>
      <c r="L454" s="1">
        <f t="shared" si="15"/>
        <v>0.64999999999999858</v>
      </c>
      <c r="M454" t="str">
        <f>IF(L454&lt;=Statistics!$E$6,"Low Difference",IF('Product Positioning'!L454&gt;=Statistics!$E$4,"High Difference","Moderate Difference"))</f>
        <v>Low Difference</v>
      </c>
    </row>
    <row r="455" spans="1:13" x14ac:dyDescent="0.2">
      <c r="A455">
        <v>133094</v>
      </c>
      <c r="B455" s="1">
        <v>29.18</v>
      </c>
      <c r="C455" s="1">
        <v>28.36</v>
      </c>
      <c r="D455">
        <v>2643</v>
      </c>
      <c r="E455" t="str">
        <f>_xlfn.XLOOKUP(A455, 'Customer Information'!$A$1:$A$1001, 'Customer Information'!$B$1:$B$1001)</f>
        <v>Medium</v>
      </c>
      <c r="F455" t="str">
        <f>_xlfn.XLOOKUP(A455, 'Customer Information'!$A$1:$A$1001, 'Customer Information'!$C$1:$C$1001)</f>
        <v>College students</v>
      </c>
      <c r="G455" t="str">
        <f>_xlfn.XLOOKUP('Customer Information'!A455, 'Customer Information'!$A$1:$A$1001, 'Customer Information'!$D$1:$D$1001)</f>
        <v>Yes</v>
      </c>
      <c r="H455" t="str">
        <f>INDEX('Additional Product Info.'!$A$1:$C$1001, MATCH('Product Positioning'!$A455, 'Additional Product Info.'!$A$1:$A$1001, 0), MATCH('Product Positioning'!H$1, 'Additional Product Info.'!$A$1:$C$1, 0))</f>
        <v>Front of Store</v>
      </c>
      <c r="I455" t="str">
        <f>INDEX('Additional Product Info.'!$A$1:$C$1001, MATCH('Product Positioning'!$A455, 'Additional Product Info.'!$A$1:$A$1001, 0), MATCH('Product Positioning'!I$1, 'Additional Product Info.'!$A$1:$C$1, 0))</f>
        <v>Food</v>
      </c>
      <c r="J455" t="str">
        <f>_xlfn.XLOOKUP(A455, $A$1:$A$1001, 'Additional Product Info.'!$D$1:$D$1001)</f>
        <v>Yes</v>
      </c>
      <c r="K455" s="1">
        <f t="shared" si="14"/>
        <v>77122.740000000005</v>
      </c>
      <c r="L455" s="1">
        <f t="shared" si="15"/>
        <v>0.82000000000000028</v>
      </c>
      <c r="M455" t="str">
        <f>IF(L455&lt;=Statistics!$E$6,"Low Difference",IF('Product Positioning'!L455&gt;=Statistics!$E$4,"High Difference","Moderate Difference"))</f>
        <v>Low Difference</v>
      </c>
    </row>
    <row r="456" spans="1:13" x14ac:dyDescent="0.2">
      <c r="A456">
        <v>189074</v>
      </c>
      <c r="B456" s="1">
        <v>5.9</v>
      </c>
      <c r="C456" s="1">
        <v>1.5</v>
      </c>
      <c r="D456">
        <v>1353</v>
      </c>
      <c r="E456" t="str">
        <f>_xlfn.XLOOKUP(A456, 'Customer Information'!$A$1:$A$1001, 'Customer Information'!$B$1:$B$1001)</f>
        <v>Medium</v>
      </c>
      <c r="F456" t="str">
        <f>_xlfn.XLOOKUP(A456, 'Customer Information'!$A$1:$A$1001, 'Customer Information'!$C$1:$C$1001)</f>
        <v>College students</v>
      </c>
      <c r="G456" t="str">
        <f>_xlfn.XLOOKUP('Customer Information'!A456, 'Customer Information'!$A$1:$A$1001, 'Customer Information'!$D$1:$D$1001)</f>
        <v>Yes</v>
      </c>
      <c r="H456" t="str">
        <f>INDEX('Additional Product Info.'!$A$1:$C$1001, MATCH('Product Positioning'!$A456, 'Additional Product Info.'!$A$1:$A$1001, 0), MATCH('Product Positioning'!H$1, 'Additional Product Info.'!$A$1:$C$1, 0))</f>
        <v>End-cap</v>
      </c>
      <c r="I456" t="str">
        <f>INDEX('Additional Product Info.'!$A$1:$C$1001, MATCH('Product Positioning'!$A456, 'Additional Product Info.'!$A$1:$A$1001, 0), MATCH('Product Positioning'!I$1, 'Additional Product Info.'!$A$1:$C$1, 0))</f>
        <v>Food</v>
      </c>
      <c r="J456" t="str">
        <f>_xlfn.XLOOKUP(A456, $A$1:$A$1001, 'Additional Product Info.'!$D$1:$D$1001)</f>
        <v>Yes</v>
      </c>
      <c r="K456" s="1">
        <f t="shared" si="14"/>
        <v>7982.7000000000007</v>
      </c>
      <c r="L456" s="1">
        <f t="shared" si="15"/>
        <v>4.4000000000000004</v>
      </c>
      <c r="M456" t="str">
        <f>IF(L456&lt;=Statistics!$E$6,"Low Difference",IF('Product Positioning'!L456&gt;=Statistics!$E$4,"High Difference","Moderate Difference"))</f>
        <v>High Difference</v>
      </c>
    </row>
    <row r="457" spans="1:13" x14ac:dyDescent="0.2">
      <c r="A457">
        <v>152783</v>
      </c>
      <c r="B457" s="1">
        <v>44.43</v>
      </c>
      <c r="C457" s="1">
        <v>43.93</v>
      </c>
      <c r="D457">
        <v>2839</v>
      </c>
      <c r="E457" t="str">
        <f>_xlfn.XLOOKUP(A457, 'Customer Information'!$A$1:$A$1001, 'Customer Information'!$B$1:$B$1001)</f>
        <v>Low</v>
      </c>
      <c r="F457" t="str">
        <f>_xlfn.XLOOKUP(A457, 'Customer Information'!$A$1:$A$1001, 'Customer Information'!$C$1:$C$1001)</f>
        <v>Young adults</v>
      </c>
      <c r="G457" t="str">
        <f>_xlfn.XLOOKUP('Customer Information'!A457, 'Customer Information'!$A$1:$A$1001, 'Customer Information'!$D$1:$D$1001)</f>
        <v>Yes</v>
      </c>
      <c r="H457" t="str">
        <f>INDEX('Additional Product Info.'!$A$1:$C$1001, MATCH('Product Positioning'!$A457, 'Additional Product Info.'!$A$1:$A$1001, 0), MATCH('Product Positioning'!H$1, 'Additional Product Info.'!$A$1:$C$1, 0))</f>
        <v>Front of Store</v>
      </c>
      <c r="I457" t="str">
        <f>INDEX('Additional Product Info.'!$A$1:$C$1001, MATCH('Product Positioning'!$A457, 'Additional Product Info.'!$A$1:$A$1001, 0), MATCH('Product Positioning'!I$1, 'Additional Product Info.'!$A$1:$C$1, 0))</f>
        <v>Electronics</v>
      </c>
      <c r="J457" t="str">
        <f>_xlfn.XLOOKUP(A457, $A$1:$A$1001, 'Additional Product Info.'!$D$1:$D$1001)</f>
        <v>Yes</v>
      </c>
      <c r="K457" s="1">
        <f t="shared" si="14"/>
        <v>126136.77</v>
      </c>
      <c r="L457" s="1">
        <f t="shared" si="15"/>
        <v>0.5</v>
      </c>
      <c r="M457" t="str">
        <f>IF(L457&lt;=Statistics!$E$6,"Low Difference",IF('Product Positioning'!L457&gt;=Statistics!$E$4,"High Difference","Moderate Difference"))</f>
        <v>Low Difference</v>
      </c>
    </row>
    <row r="458" spans="1:13" x14ac:dyDescent="0.2">
      <c r="A458">
        <v>152215</v>
      </c>
      <c r="B458" s="1">
        <v>22.4</v>
      </c>
      <c r="C458" s="1">
        <v>19.66</v>
      </c>
      <c r="D458">
        <v>954</v>
      </c>
      <c r="E458" t="str">
        <f>_xlfn.XLOOKUP(A458, 'Customer Information'!$A$1:$A$1001, 'Customer Information'!$B$1:$B$1001)</f>
        <v>Low</v>
      </c>
      <c r="F458" t="str">
        <f>_xlfn.XLOOKUP(A458, 'Customer Information'!$A$1:$A$1001, 'Customer Information'!$C$1:$C$1001)</f>
        <v>Young adults</v>
      </c>
      <c r="G458" t="str">
        <f>_xlfn.XLOOKUP('Customer Information'!A458, 'Customer Information'!$A$1:$A$1001, 'Customer Information'!$D$1:$D$1001)</f>
        <v>No</v>
      </c>
      <c r="H458" t="str">
        <f>INDEX('Additional Product Info.'!$A$1:$C$1001, MATCH('Product Positioning'!$A458, 'Additional Product Info.'!$A$1:$A$1001, 0), MATCH('Product Positioning'!H$1, 'Additional Product Info.'!$A$1:$C$1, 0))</f>
        <v>Front of Store</v>
      </c>
      <c r="I458" t="str">
        <f>INDEX('Additional Product Info.'!$A$1:$C$1001, MATCH('Product Positioning'!$A458, 'Additional Product Info.'!$A$1:$A$1001, 0), MATCH('Product Positioning'!I$1, 'Additional Product Info.'!$A$1:$C$1, 0))</f>
        <v>Electronics</v>
      </c>
      <c r="J458" t="str">
        <f>_xlfn.XLOOKUP(A458, $A$1:$A$1001, 'Additional Product Info.'!$D$1:$D$1001)</f>
        <v>No</v>
      </c>
      <c r="K458" s="1">
        <f t="shared" si="14"/>
        <v>21369.599999999999</v>
      </c>
      <c r="L458" s="1">
        <f t="shared" si="15"/>
        <v>2.7399999999999984</v>
      </c>
      <c r="M458" t="str">
        <f>IF(L458&lt;=Statistics!$E$6,"Low Difference",IF('Product Positioning'!L458&gt;=Statistics!$E$4,"High Difference","Moderate Difference"))</f>
        <v>Moderate Difference</v>
      </c>
    </row>
    <row r="459" spans="1:13" x14ac:dyDescent="0.2">
      <c r="A459">
        <v>174676</v>
      </c>
      <c r="B459" s="1">
        <v>16.36</v>
      </c>
      <c r="C459" s="1">
        <v>15.03</v>
      </c>
      <c r="D459">
        <v>1509</v>
      </c>
      <c r="E459" t="str">
        <f>_xlfn.XLOOKUP(A459, 'Customer Information'!$A$1:$A$1001, 'Customer Information'!$B$1:$B$1001)</f>
        <v>Medium</v>
      </c>
      <c r="F459" t="str">
        <f>_xlfn.XLOOKUP(A459, 'Customer Information'!$A$1:$A$1001, 'Customer Information'!$C$1:$C$1001)</f>
        <v>Families</v>
      </c>
      <c r="G459" t="str">
        <f>_xlfn.XLOOKUP('Customer Information'!A459, 'Customer Information'!$A$1:$A$1001, 'Customer Information'!$D$1:$D$1001)</f>
        <v>Yes</v>
      </c>
      <c r="H459" t="str">
        <f>INDEX('Additional Product Info.'!$A$1:$C$1001, MATCH('Product Positioning'!$A459, 'Additional Product Info.'!$A$1:$A$1001, 0), MATCH('Product Positioning'!H$1, 'Additional Product Info.'!$A$1:$C$1, 0))</f>
        <v>Aisle</v>
      </c>
      <c r="I459" t="str">
        <f>INDEX('Additional Product Info.'!$A$1:$C$1001, MATCH('Product Positioning'!$A459, 'Additional Product Info.'!$A$1:$A$1001, 0), MATCH('Product Positioning'!I$1, 'Additional Product Info.'!$A$1:$C$1, 0))</f>
        <v>Clothing</v>
      </c>
      <c r="J459" t="str">
        <f>_xlfn.XLOOKUP(A459, $A$1:$A$1001, 'Additional Product Info.'!$D$1:$D$1001)</f>
        <v>Yes</v>
      </c>
      <c r="K459" s="1">
        <f t="shared" si="14"/>
        <v>24687.239999999998</v>
      </c>
      <c r="L459" s="1">
        <f t="shared" si="15"/>
        <v>1.33</v>
      </c>
      <c r="M459" t="str">
        <f>IF(L459&lt;=Statistics!$E$6,"Low Difference",IF('Product Positioning'!L459&gt;=Statistics!$E$4,"High Difference","Moderate Difference"))</f>
        <v>Moderate Difference</v>
      </c>
    </row>
    <row r="460" spans="1:13" x14ac:dyDescent="0.2">
      <c r="A460">
        <v>147821</v>
      </c>
      <c r="B460" s="1">
        <v>26.3</v>
      </c>
      <c r="C460" s="1">
        <v>24.58</v>
      </c>
      <c r="D460">
        <v>2420</v>
      </c>
      <c r="E460" t="str">
        <f>_xlfn.XLOOKUP(A460, 'Customer Information'!$A$1:$A$1001, 'Customer Information'!$B$1:$B$1001)</f>
        <v>Low</v>
      </c>
      <c r="F460" t="str">
        <f>_xlfn.XLOOKUP(A460, 'Customer Information'!$A$1:$A$1001, 'Customer Information'!$C$1:$C$1001)</f>
        <v>College students</v>
      </c>
      <c r="G460" t="str">
        <f>_xlfn.XLOOKUP('Customer Information'!A460, 'Customer Information'!$A$1:$A$1001, 'Customer Information'!$D$1:$D$1001)</f>
        <v>No</v>
      </c>
      <c r="H460" t="str">
        <f>INDEX('Additional Product Info.'!$A$1:$C$1001, MATCH('Product Positioning'!$A460, 'Additional Product Info.'!$A$1:$A$1001, 0), MATCH('Product Positioning'!H$1, 'Additional Product Info.'!$A$1:$C$1, 0))</f>
        <v>Front of Store</v>
      </c>
      <c r="I460" t="str">
        <f>INDEX('Additional Product Info.'!$A$1:$C$1001, MATCH('Product Positioning'!$A460, 'Additional Product Info.'!$A$1:$A$1001, 0), MATCH('Product Positioning'!I$1, 'Additional Product Info.'!$A$1:$C$1, 0))</f>
        <v>Clothing</v>
      </c>
      <c r="J460" t="str">
        <f>_xlfn.XLOOKUP(A460, $A$1:$A$1001, 'Additional Product Info.'!$D$1:$D$1001)</f>
        <v>No</v>
      </c>
      <c r="K460" s="1">
        <f t="shared" si="14"/>
        <v>63646</v>
      </c>
      <c r="L460" s="1">
        <f t="shared" si="15"/>
        <v>1.7200000000000024</v>
      </c>
      <c r="M460" t="str">
        <f>IF(L460&lt;=Statistics!$E$6,"Low Difference",IF('Product Positioning'!L460&gt;=Statistics!$E$4,"High Difference","Moderate Difference"))</f>
        <v>Moderate Difference</v>
      </c>
    </row>
    <row r="461" spans="1:13" x14ac:dyDescent="0.2">
      <c r="A461">
        <v>113180</v>
      </c>
      <c r="B461" s="1">
        <v>47.71</v>
      </c>
      <c r="C461" s="1">
        <v>46.97</v>
      </c>
      <c r="D461">
        <v>2305</v>
      </c>
      <c r="E461" t="str">
        <f>_xlfn.XLOOKUP(A461, 'Customer Information'!$A$1:$A$1001, 'Customer Information'!$B$1:$B$1001)</f>
        <v>Medium</v>
      </c>
      <c r="F461" t="str">
        <f>_xlfn.XLOOKUP(A461, 'Customer Information'!$A$1:$A$1001, 'Customer Information'!$C$1:$C$1001)</f>
        <v>Families</v>
      </c>
      <c r="G461" t="str">
        <f>_xlfn.XLOOKUP('Customer Information'!A461, 'Customer Information'!$A$1:$A$1001, 'Customer Information'!$D$1:$D$1001)</f>
        <v>Yes</v>
      </c>
      <c r="H461" t="str">
        <f>INDEX('Additional Product Info.'!$A$1:$C$1001, MATCH('Product Positioning'!$A461, 'Additional Product Info.'!$A$1:$A$1001, 0), MATCH('Product Positioning'!H$1, 'Additional Product Info.'!$A$1:$C$1, 0))</f>
        <v>Aisle</v>
      </c>
      <c r="I461" t="str">
        <f>INDEX('Additional Product Info.'!$A$1:$C$1001, MATCH('Product Positioning'!$A461, 'Additional Product Info.'!$A$1:$A$1001, 0), MATCH('Product Positioning'!I$1, 'Additional Product Info.'!$A$1:$C$1, 0))</f>
        <v>Electronics</v>
      </c>
      <c r="J461" t="str">
        <f>_xlfn.XLOOKUP(A461, $A$1:$A$1001, 'Additional Product Info.'!$D$1:$D$1001)</f>
        <v>No</v>
      </c>
      <c r="K461" s="1">
        <f t="shared" si="14"/>
        <v>109971.55</v>
      </c>
      <c r="L461" s="1">
        <f t="shared" si="15"/>
        <v>0.74000000000000199</v>
      </c>
      <c r="M461" t="str">
        <f>IF(L461&lt;=Statistics!$E$6,"Low Difference",IF('Product Positioning'!L461&gt;=Statistics!$E$4,"High Difference","Moderate Difference"))</f>
        <v>Low Difference</v>
      </c>
    </row>
    <row r="462" spans="1:13" x14ac:dyDescent="0.2">
      <c r="A462">
        <v>147684</v>
      </c>
      <c r="B462" s="1">
        <v>32.67</v>
      </c>
      <c r="C462" s="1">
        <v>30.34</v>
      </c>
      <c r="D462">
        <v>914</v>
      </c>
      <c r="E462" t="str">
        <f>_xlfn.XLOOKUP(A462, 'Customer Information'!$A$1:$A$1001, 'Customer Information'!$B$1:$B$1001)</f>
        <v>Medium</v>
      </c>
      <c r="F462" t="str">
        <f>_xlfn.XLOOKUP(A462, 'Customer Information'!$A$1:$A$1001, 'Customer Information'!$C$1:$C$1001)</f>
        <v>College students</v>
      </c>
      <c r="G462" t="str">
        <f>_xlfn.XLOOKUP('Customer Information'!A462, 'Customer Information'!$A$1:$A$1001, 'Customer Information'!$D$1:$D$1001)</f>
        <v>No</v>
      </c>
      <c r="H462" t="str">
        <f>INDEX('Additional Product Info.'!$A$1:$C$1001, MATCH('Product Positioning'!$A462, 'Additional Product Info.'!$A$1:$A$1001, 0), MATCH('Product Positioning'!H$1, 'Additional Product Info.'!$A$1:$C$1, 0))</f>
        <v>Aisle</v>
      </c>
      <c r="I462" t="str">
        <f>INDEX('Additional Product Info.'!$A$1:$C$1001, MATCH('Product Positioning'!$A462, 'Additional Product Info.'!$A$1:$A$1001, 0), MATCH('Product Positioning'!I$1, 'Additional Product Info.'!$A$1:$C$1, 0))</f>
        <v>Clothing</v>
      </c>
      <c r="J462" t="str">
        <f>_xlfn.XLOOKUP(A462, $A$1:$A$1001, 'Additional Product Info.'!$D$1:$D$1001)</f>
        <v>No</v>
      </c>
      <c r="K462" s="1">
        <f t="shared" si="14"/>
        <v>29860.38</v>
      </c>
      <c r="L462" s="1">
        <f t="shared" si="15"/>
        <v>2.3300000000000018</v>
      </c>
      <c r="M462" t="str">
        <f>IF(L462&lt;=Statistics!$E$6,"Low Difference",IF('Product Positioning'!L462&gt;=Statistics!$E$4,"High Difference","Moderate Difference"))</f>
        <v>Moderate Difference</v>
      </c>
    </row>
    <row r="463" spans="1:13" x14ac:dyDescent="0.2">
      <c r="A463">
        <v>110276</v>
      </c>
      <c r="B463" s="1">
        <v>34.75</v>
      </c>
      <c r="C463" s="1">
        <v>30.57</v>
      </c>
      <c r="D463">
        <v>893</v>
      </c>
      <c r="E463" t="str">
        <f>_xlfn.XLOOKUP(A463, 'Customer Information'!$A$1:$A$1001, 'Customer Information'!$B$1:$B$1001)</f>
        <v>Medium</v>
      </c>
      <c r="F463" t="str">
        <f>_xlfn.XLOOKUP(A463, 'Customer Information'!$A$1:$A$1001, 'Customer Information'!$C$1:$C$1001)</f>
        <v>Young adults</v>
      </c>
      <c r="G463" t="str">
        <f>_xlfn.XLOOKUP('Customer Information'!A463, 'Customer Information'!$A$1:$A$1001, 'Customer Information'!$D$1:$D$1001)</f>
        <v>Yes</v>
      </c>
      <c r="H463" t="str">
        <f>INDEX('Additional Product Info.'!$A$1:$C$1001, MATCH('Product Positioning'!$A463, 'Additional Product Info.'!$A$1:$A$1001, 0), MATCH('Product Positioning'!H$1, 'Additional Product Info.'!$A$1:$C$1, 0))</f>
        <v>Aisle</v>
      </c>
      <c r="I463" t="str">
        <f>INDEX('Additional Product Info.'!$A$1:$C$1001, MATCH('Product Positioning'!$A463, 'Additional Product Info.'!$A$1:$A$1001, 0), MATCH('Product Positioning'!I$1, 'Additional Product Info.'!$A$1:$C$1, 0))</f>
        <v>Food</v>
      </c>
      <c r="J463" t="str">
        <f>_xlfn.XLOOKUP(A463, $A$1:$A$1001, 'Additional Product Info.'!$D$1:$D$1001)</f>
        <v>Yes</v>
      </c>
      <c r="K463" s="1">
        <f t="shared" si="14"/>
        <v>31031.75</v>
      </c>
      <c r="L463" s="1">
        <f t="shared" si="15"/>
        <v>4.18</v>
      </c>
      <c r="M463" t="str">
        <f>IF(L463&lt;=Statistics!$E$6,"Low Difference",IF('Product Positioning'!L463&gt;=Statistics!$E$4,"High Difference","Moderate Difference"))</f>
        <v>High Difference</v>
      </c>
    </row>
    <row r="464" spans="1:13" x14ac:dyDescent="0.2">
      <c r="A464">
        <v>119373</v>
      </c>
      <c r="B464" s="1">
        <v>8.7200000000000006</v>
      </c>
      <c r="C464" s="1">
        <v>5.39</v>
      </c>
      <c r="D464">
        <v>2757</v>
      </c>
      <c r="E464" t="str">
        <f>_xlfn.XLOOKUP(A464, 'Customer Information'!$A$1:$A$1001, 'Customer Information'!$B$1:$B$1001)</f>
        <v>Low</v>
      </c>
      <c r="F464" t="str">
        <f>_xlfn.XLOOKUP(A464, 'Customer Information'!$A$1:$A$1001, 'Customer Information'!$C$1:$C$1001)</f>
        <v>College students</v>
      </c>
      <c r="G464" t="str">
        <f>_xlfn.XLOOKUP('Customer Information'!A464, 'Customer Information'!$A$1:$A$1001, 'Customer Information'!$D$1:$D$1001)</f>
        <v>Yes</v>
      </c>
      <c r="H464" t="str">
        <f>INDEX('Additional Product Info.'!$A$1:$C$1001, MATCH('Product Positioning'!$A464, 'Additional Product Info.'!$A$1:$A$1001, 0), MATCH('Product Positioning'!H$1, 'Additional Product Info.'!$A$1:$C$1, 0))</f>
        <v>Aisle</v>
      </c>
      <c r="I464" t="str">
        <f>INDEX('Additional Product Info.'!$A$1:$C$1001, MATCH('Product Positioning'!$A464, 'Additional Product Info.'!$A$1:$A$1001, 0), MATCH('Product Positioning'!I$1, 'Additional Product Info.'!$A$1:$C$1, 0))</f>
        <v>Electronics</v>
      </c>
      <c r="J464" t="str">
        <f>_xlfn.XLOOKUP(A464, $A$1:$A$1001, 'Additional Product Info.'!$D$1:$D$1001)</f>
        <v>No</v>
      </c>
      <c r="K464" s="1">
        <f t="shared" si="14"/>
        <v>24041.040000000001</v>
      </c>
      <c r="L464" s="1">
        <f t="shared" si="15"/>
        <v>3.330000000000001</v>
      </c>
      <c r="M464" t="str">
        <f>IF(L464&lt;=Statistics!$E$6,"Low Difference",IF('Product Positioning'!L464&gt;=Statistics!$E$4,"High Difference","Moderate Difference"))</f>
        <v>Moderate Difference</v>
      </c>
    </row>
    <row r="465" spans="1:13" x14ac:dyDescent="0.2">
      <c r="A465">
        <v>130090</v>
      </c>
      <c r="B465" s="1">
        <v>13.15</v>
      </c>
      <c r="C465" s="1">
        <v>12.98</v>
      </c>
      <c r="D465">
        <v>905</v>
      </c>
      <c r="E465" t="str">
        <f>_xlfn.XLOOKUP(A465, 'Customer Information'!$A$1:$A$1001, 'Customer Information'!$B$1:$B$1001)</f>
        <v>Medium</v>
      </c>
      <c r="F465" t="str">
        <f>_xlfn.XLOOKUP(A465, 'Customer Information'!$A$1:$A$1001, 'Customer Information'!$C$1:$C$1001)</f>
        <v>Seniors</v>
      </c>
      <c r="G465" t="str">
        <f>_xlfn.XLOOKUP('Customer Information'!A465, 'Customer Information'!$A$1:$A$1001, 'Customer Information'!$D$1:$D$1001)</f>
        <v>Yes</v>
      </c>
      <c r="H465" t="str">
        <f>INDEX('Additional Product Info.'!$A$1:$C$1001, MATCH('Product Positioning'!$A465, 'Additional Product Info.'!$A$1:$A$1001, 0), MATCH('Product Positioning'!H$1, 'Additional Product Info.'!$A$1:$C$1, 0))</f>
        <v>Aisle</v>
      </c>
      <c r="I465" t="str">
        <f>INDEX('Additional Product Info.'!$A$1:$C$1001, MATCH('Product Positioning'!$A465, 'Additional Product Info.'!$A$1:$A$1001, 0), MATCH('Product Positioning'!I$1, 'Additional Product Info.'!$A$1:$C$1, 0))</f>
        <v>Electronics</v>
      </c>
      <c r="J465" t="str">
        <f>_xlfn.XLOOKUP(A465, $A$1:$A$1001, 'Additional Product Info.'!$D$1:$D$1001)</f>
        <v>No</v>
      </c>
      <c r="K465" s="1">
        <f t="shared" si="14"/>
        <v>11900.75</v>
      </c>
      <c r="L465" s="1">
        <f t="shared" si="15"/>
        <v>0.16999999999999993</v>
      </c>
      <c r="M465" t="str">
        <f>IF(L465&lt;=Statistics!$E$6,"Low Difference",IF('Product Positioning'!L465&gt;=Statistics!$E$4,"High Difference","Moderate Difference"))</f>
        <v>Low Difference</v>
      </c>
    </row>
    <row r="466" spans="1:13" x14ac:dyDescent="0.2">
      <c r="A466">
        <v>168451</v>
      </c>
      <c r="B466" s="1">
        <v>10.27</v>
      </c>
      <c r="C466" s="1">
        <v>7.41</v>
      </c>
      <c r="D466">
        <v>1050</v>
      </c>
      <c r="E466" t="str">
        <f>_xlfn.XLOOKUP(A466, 'Customer Information'!$A$1:$A$1001, 'Customer Information'!$B$1:$B$1001)</f>
        <v>High</v>
      </c>
      <c r="F466" t="str">
        <f>_xlfn.XLOOKUP(A466, 'Customer Information'!$A$1:$A$1001, 'Customer Information'!$C$1:$C$1001)</f>
        <v>College students</v>
      </c>
      <c r="G466" t="str">
        <f>_xlfn.XLOOKUP('Customer Information'!A466, 'Customer Information'!$A$1:$A$1001, 'Customer Information'!$D$1:$D$1001)</f>
        <v>No</v>
      </c>
      <c r="H466" t="str">
        <f>INDEX('Additional Product Info.'!$A$1:$C$1001, MATCH('Product Positioning'!$A466, 'Additional Product Info.'!$A$1:$A$1001, 0), MATCH('Product Positioning'!H$1, 'Additional Product Info.'!$A$1:$C$1, 0))</f>
        <v>Front of Store</v>
      </c>
      <c r="I466" t="str">
        <f>INDEX('Additional Product Info.'!$A$1:$C$1001, MATCH('Product Positioning'!$A466, 'Additional Product Info.'!$A$1:$A$1001, 0), MATCH('Product Positioning'!I$1, 'Additional Product Info.'!$A$1:$C$1, 0))</f>
        <v>Electronics</v>
      </c>
      <c r="J466" t="str">
        <f>_xlfn.XLOOKUP(A466, $A$1:$A$1001, 'Additional Product Info.'!$D$1:$D$1001)</f>
        <v>No</v>
      </c>
      <c r="K466" s="1">
        <f t="shared" si="14"/>
        <v>10783.5</v>
      </c>
      <c r="L466" s="1">
        <f t="shared" si="15"/>
        <v>2.8599999999999994</v>
      </c>
      <c r="M466" t="str">
        <f>IF(L466&lt;=Statistics!$E$6,"Low Difference",IF('Product Positioning'!L466&gt;=Statistics!$E$4,"High Difference","Moderate Difference"))</f>
        <v>Moderate Difference</v>
      </c>
    </row>
    <row r="467" spans="1:13" x14ac:dyDescent="0.2">
      <c r="A467">
        <v>196907</v>
      </c>
      <c r="B467" s="1">
        <v>17.350000000000001</v>
      </c>
      <c r="C467" s="1">
        <v>17.170000000000002</v>
      </c>
      <c r="D467">
        <v>2911</v>
      </c>
      <c r="E467" t="str">
        <f>_xlfn.XLOOKUP(A467, 'Customer Information'!$A$1:$A$1001, 'Customer Information'!$B$1:$B$1001)</f>
        <v>Medium</v>
      </c>
      <c r="F467" t="str">
        <f>_xlfn.XLOOKUP(A467, 'Customer Information'!$A$1:$A$1001, 'Customer Information'!$C$1:$C$1001)</f>
        <v>Seniors</v>
      </c>
      <c r="G467" t="str">
        <f>_xlfn.XLOOKUP('Customer Information'!A467, 'Customer Information'!$A$1:$A$1001, 'Customer Information'!$D$1:$D$1001)</f>
        <v>Yes</v>
      </c>
      <c r="H467" t="str">
        <f>INDEX('Additional Product Info.'!$A$1:$C$1001, MATCH('Product Positioning'!$A467, 'Additional Product Info.'!$A$1:$A$1001, 0), MATCH('Product Positioning'!H$1, 'Additional Product Info.'!$A$1:$C$1, 0))</f>
        <v>Aisle</v>
      </c>
      <c r="I467" t="str">
        <f>INDEX('Additional Product Info.'!$A$1:$C$1001, MATCH('Product Positioning'!$A467, 'Additional Product Info.'!$A$1:$A$1001, 0), MATCH('Product Positioning'!I$1, 'Additional Product Info.'!$A$1:$C$1, 0))</f>
        <v>Clothing</v>
      </c>
      <c r="J467" t="str">
        <f>_xlfn.XLOOKUP(A467, $A$1:$A$1001, 'Additional Product Info.'!$D$1:$D$1001)</f>
        <v>Yes</v>
      </c>
      <c r="K467" s="1">
        <f t="shared" si="14"/>
        <v>50505.850000000006</v>
      </c>
      <c r="L467" s="1">
        <f t="shared" si="15"/>
        <v>0.17999999999999972</v>
      </c>
      <c r="M467" t="str">
        <f>IF(L467&lt;=Statistics!$E$6,"Low Difference",IF('Product Positioning'!L467&gt;=Statistics!$E$4,"High Difference","Moderate Difference"))</f>
        <v>Low Difference</v>
      </c>
    </row>
    <row r="468" spans="1:13" x14ac:dyDescent="0.2">
      <c r="A468">
        <v>153708</v>
      </c>
      <c r="B468" s="1">
        <v>12.05</v>
      </c>
      <c r="C468" s="1">
        <v>9.59</v>
      </c>
      <c r="D468">
        <v>541</v>
      </c>
      <c r="E468" t="str">
        <f>_xlfn.XLOOKUP(A468, 'Customer Information'!$A$1:$A$1001, 'Customer Information'!$B$1:$B$1001)</f>
        <v>High</v>
      </c>
      <c r="F468" t="str">
        <f>_xlfn.XLOOKUP(A468, 'Customer Information'!$A$1:$A$1001, 'Customer Information'!$C$1:$C$1001)</f>
        <v>Seniors</v>
      </c>
      <c r="G468" t="str">
        <f>_xlfn.XLOOKUP('Customer Information'!A468, 'Customer Information'!$A$1:$A$1001, 'Customer Information'!$D$1:$D$1001)</f>
        <v>Yes</v>
      </c>
      <c r="H468" t="str">
        <f>INDEX('Additional Product Info.'!$A$1:$C$1001, MATCH('Product Positioning'!$A468, 'Additional Product Info.'!$A$1:$A$1001, 0), MATCH('Product Positioning'!H$1, 'Additional Product Info.'!$A$1:$C$1, 0))</f>
        <v>Aisle</v>
      </c>
      <c r="I468" t="str">
        <f>INDEX('Additional Product Info.'!$A$1:$C$1001, MATCH('Product Positioning'!$A468, 'Additional Product Info.'!$A$1:$A$1001, 0), MATCH('Product Positioning'!I$1, 'Additional Product Info.'!$A$1:$C$1, 0))</f>
        <v>Clothing</v>
      </c>
      <c r="J468" t="str">
        <f>_xlfn.XLOOKUP(A468, $A$1:$A$1001, 'Additional Product Info.'!$D$1:$D$1001)</f>
        <v>No</v>
      </c>
      <c r="K468" s="1">
        <f t="shared" si="14"/>
        <v>6519.05</v>
      </c>
      <c r="L468" s="1">
        <f t="shared" si="15"/>
        <v>2.4600000000000009</v>
      </c>
      <c r="M468" t="str">
        <f>IF(L468&lt;=Statistics!$E$6,"Low Difference",IF('Product Positioning'!L468&gt;=Statistics!$E$4,"High Difference","Moderate Difference"))</f>
        <v>Moderate Difference</v>
      </c>
    </row>
    <row r="469" spans="1:13" x14ac:dyDescent="0.2">
      <c r="A469">
        <v>116949</v>
      </c>
      <c r="B469" s="1">
        <v>7.01</v>
      </c>
      <c r="C469" s="1">
        <v>4.71</v>
      </c>
      <c r="D469">
        <v>926</v>
      </c>
      <c r="E469" t="str">
        <f>_xlfn.XLOOKUP(A469, 'Customer Information'!$A$1:$A$1001, 'Customer Information'!$B$1:$B$1001)</f>
        <v>Low</v>
      </c>
      <c r="F469" t="str">
        <f>_xlfn.XLOOKUP(A469, 'Customer Information'!$A$1:$A$1001, 'Customer Information'!$C$1:$C$1001)</f>
        <v>College students</v>
      </c>
      <c r="G469" t="str">
        <f>_xlfn.XLOOKUP('Customer Information'!A469, 'Customer Information'!$A$1:$A$1001, 'Customer Information'!$D$1:$D$1001)</f>
        <v>Yes</v>
      </c>
      <c r="H469" t="str">
        <f>INDEX('Additional Product Info.'!$A$1:$C$1001, MATCH('Product Positioning'!$A469, 'Additional Product Info.'!$A$1:$A$1001, 0), MATCH('Product Positioning'!H$1, 'Additional Product Info.'!$A$1:$C$1, 0))</f>
        <v>End-cap</v>
      </c>
      <c r="I469" t="str">
        <f>INDEX('Additional Product Info.'!$A$1:$C$1001, MATCH('Product Positioning'!$A469, 'Additional Product Info.'!$A$1:$A$1001, 0), MATCH('Product Positioning'!I$1, 'Additional Product Info.'!$A$1:$C$1, 0))</f>
        <v>Food</v>
      </c>
      <c r="J469" t="str">
        <f>_xlfn.XLOOKUP(A469, $A$1:$A$1001, 'Additional Product Info.'!$D$1:$D$1001)</f>
        <v>No</v>
      </c>
      <c r="K469" s="1">
        <f t="shared" si="14"/>
        <v>6491.26</v>
      </c>
      <c r="L469" s="1">
        <f t="shared" si="15"/>
        <v>2.2999999999999998</v>
      </c>
      <c r="M469" t="str">
        <f>IF(L469&lt;=Statistics!$E$6,"Low Difference",IF('Product Positioning'!L469&gt;=Statistics!$E$4,"High Difference","Moderate Difference"))</f>
        <v>Moderate Difference</v>
      </c>
    </row>
    <row r="470" spans="1:13" x14ac:dyDescent="0.2">
      <c r="A470">
        <v>128184</v>
      </c>
      <c r="B470" s="1">
        <v>26.69</v>
      </c>
      <c r="C470" s="1">
        <v>22.29</v>
      </c>
      <c r="D470">
        <v>527</v>
      </c>
      <c r="E470" t="str">
        <f>_xlfn.XLOOKUP(A470, 'Customer Information'!$A$1:$A$1001, 'Customer Information'!$B$1:$B$1001)</f>
        <v>Low</v>
      </c>
      <c r="F470" t="str">
        <f>_xlfn.XLOOKUP(A470, 'Customer Information'!$A$1:$A$1001, 'Customer Information'!$C$1:$C$1001)</f>
        <v>Families</v>
      </c>
      <c r="G470" t="str">
        <f>_xlfn.XLOOKUP('Customer Information'!A470, 'Customer Information'!$A$1:$A$1001, 'Customer Information'!$D$1:$D$1001)</f>
        <v>Yes</v>
      </c>
      <c r="H470" t="str">
        <f>INDEX('Additional Product Info.'!$A$1:$C$1001, MATCH('Product Positioning'!$A470, 'Additional Product Info.'!$A$1:$A$1001, 0), MATCH('Product Positioning'!H$1, 'Additional Product Info.'!$A$1:$C$1, 0))</f>
        <v>Aisle</v>
      </c>
      <c r="I470" t="str">
        <f>INDEX('Additional Product Info.'!$A$1:$C$1001, MATCH('Product Positioning'!$A470, 'Additional Product Info.'!$A$1:$A$1001, 0), MATCH('Product Positioning'!I$1, 'Additional Product Info.'!$A$1:$C$1, 0))</f>
        <v>Food</v>
      </c>
      <c r="J470" t="str">
        <f>_xlfn.XLOOKUP(A470, $A$1:$A$1001, 'Additional Product Info.'!$D$1:$D$1001)</f>
        <v>No</v>
      </c>
      <c r="K470" s="1">
        <f t="shared" si="14"/>
        <v>14065.630000000001</v>
      </c>
      <c r="L470" s="1">
        <f t="shared" si="15"/>
        <v>4.4000000000000021</v>
      </c>
      <c r="M470" t="str">
        <f>IF(L470&lt;=Statistics!$E$6,"Low Difference",IF('Product Positioning'!L470&gt;=Statistics!$E$4,"High Difference","Moderate Difference"))</f>
        <v>High Difference</v>
      </c>
    </row>
    <row r="471" spans="1:13" x14ac:dyDescent="0.2">
      <c r="A471">
        <v>190312</v>
      </c>
      <c r="B471" s="1">
        <v>41.92</v>
      </c>
      <c r="C471" s="1">
        <v>37.020000000000003</v>
      </c>
      <c r="D471">
        <v>2252</v>
      </c>
      <c r="E471" t="str">
        <f>_xlfn.XLOOKUP(A471, 'Customer Information'!$A$1:$A$1001, 'Customer Information'!$B$1:$B$1001)</f>
        <v>Medium</v>
      </c>
      <c r="F471" t="str">
        <f>_xlfn.XLOOKUP(A471, 'Customer Information'!$A$1:$A$1001, 'Customer Information'!$C$1:$C$1001)</f>
        <v>Seniors</v>
      </c>
      <c r="G471" t="str">
        <f>_xlfn.XLOOKUP('Customer Information'!A471, 'Customer Information'!$A$1:$A$1001, 'Customer Information'!$D$1:$D$1001)</f>
        <v>Yes</v>
      </c>
      <c r="H471" t="str">
        <f>INDEX('Additional Product Info.'!$A$1:$C$1001, MATCH('Product Positioning'!$A471, 'Additional Product Info.'!$A$1:$A$1001, 0), MATCH('Product Positioning'!H$1, 'Additional Product Info.'!$A$1:$C$1, 0))</f>
        <v>End-cap</v>
      </c>
      <c r="I471" t="str">
        <f>INDEX('Additional Product Info.'!$A$1:$C$1001, MATCH('Product Positioning'!$A471, 'Additional Product Info.'!$A$1:$A$1001, 0), MATCH('Product Positioning'!I$1, 'Additional Product Info.'!$A$1:$C$1, 0))</f>
        <v>Electronics</v>
      </c>
      <c r="J471" t="str">
        <f>_xlfn.XLOOKUP(A471, $A$1:$A$1001, 'Additional Product Info.'!$D$1:$D$1001)</f>
        <v>Yes</v>
      </c>
      <c r="K471" s="1">
        <f t="shared" si="14"/>
        <v>94403.840000000011</v>
      </c>
      <c r="L471" s="1">
        <f t="shared" si="15"/>
        <v>4.8999999999999986</v>
      </c>
      <c r="M471" t="str">
        <f>IF(L471&lt;=Statistics!$E$6,"Low Difference",IF('Product Positioning'!L471&gt;=Statistics!$E$4,"High Difference","Moderate Difference"))</f>
        <v>High Difference</v>
      </c>
    </row>
    <row r="472" spans="1:13" x14ac:dyDescent="0.2">
      <c r="A472">
        <v>195839</v>
      </c>
      <c r="B472" s="1">
        <v>43.89</v>
      </c>
      <c r="C472" s="1">
        <v>39.28</v>
      </c>
      <c r="D472">
        <v>769</v>
      </c>
      <c r="E472" t="str">
        <f>_xlfn.XLOOKUP(A472, 'Customer Information'!$A$1:$A$1001, 'Customer Information'!$B$1:$B$1001)</f>
        <v>Low</v>
      </c>
      <c r="F472" t="str">
        <f>_xlfn.XLOOKUP(A472, 'Customer Information'!$A$1:$A$1001, 'Customer Information'!$C$1:$C$1001)</f>
        <v>Families</v>
      </c>
      <c r="G472" t="str">
        <f>_xlfn.XLOOKUP('Customer Information'!A472, 'Customer Information'!$A$1:$A$1001, 'Customer Information'!$D$1:$D$1001)</f>
        <v>Yes</v>
      </c>
      <c r="H472" t="str">
        <f>INDEX('Additional Product Info.'!$A$1:$C$1001, MATCH('Product Positioning'!$A472, 'Additional Product Info.'!$A$1:$A$1001, 0), MATCH('Product Positioning'!H$1, 'Additional Product Info.'!$A$1:$C$1, 0))</f>
        <v>Aisle</v>
      </c>
      <c r="I472" t="str">
        <f>INDEX('Additional Product Info.'!$A$1:$C$1001, MATCH('Product Positioning'!$A472, 'Additional Product Info.'!$A$1:$A$1001, 0), MATCH('Product Positioning'!I$1, 'Additional Product Info.'!$A$1:$C$1, 0))</f>
        <v>Food</v>
      </c>
      <c r="J472" t="str">
        <f>_xlfn.XLOOKUP(A472, $A$1:$A$1001, 'Additional Product Info.'!$D$1:$D$1001)</f>
        <v>Yes</v>
      </c>
      <c r="K472" s="1">
        <f t="shared" si="14"/>
        <v>33751.410000000003</v>
      </c>
      <c r="L472" s="1">
        <f t="shared" si="15"/>
        <v>4.6099999999999994</v>
      </c>
      <c r="M472" t="str">
        <f>IF(L472&lt;=Statistics!$E$6,"Low Difference",IF('Product Positioning'!L472&gt;=Statistics!$E$4,"High Difference","Moderate Difference"))</f>
        <v>High Difference</v>
      </c>
    </row>
    <row r="473" spans="1:13" x14ac:dyDescent="0.2">
      <c r="A473">
        <v>197080</v>
      </c>
      <c r="B473" s="1">
        <v>40.24</v>
      </c>
      <c r="C473" s="1">
        <v>37.9</v>
      </c>
      <c r="D473">
        <v>2798</v>
      </c>
      <c r="E473" t="str">
        <f>_xlfn.XLOOKUP(A473, 'Customer Information'!$A$1:$A$1001, 'Customer Information'!$B$1:$B$1001)</f>
        <v>Medium</v>
      </c>
      <c r="F473" t="str">
        <f>_xlfn.XLOOKUP(A473, 'Customer Information'!$A$1:$A$1001, 'Customer Information'!$C$1:$C$1001)</f>
        <v>Seniors</v>
      </c>
      <c r="G473" t="str">
        <f>_xlfn.XLOOKUP('Customer Information'!A473, 'Customer Information'!$A$1:$A$1001, 'Customer Information'!$D$1:$D$1001)</f>
        <v>Yes</v>
      </c>
      <c r="H473" t="str">
        <f>INDEX('Additional Product Info.'!$A$1:$C$1001, MATCH('Product Positioning'!$A473, 'Additional Product Info.'!$A$1:$A$1001, 0), MATCH('Product Positioning'!H$1, 'Additional Product Info.'!$A$1:$C$1, 0))</f>
        <v>Front of Store</v>
      </c>
      <c r="I473" t="str">
        <f>INDEX('Additional Product Info.'!$A$1:$C$1001, MATCH('Product Positioning'!$A473, 'Additional Product Info.'!$A$1:$A$1001, 0), MATCH('Product Positioning'!I$1, 'Additional Product Info.'!$A$1:$C$1, 0))</f>
        <v>Clothing</v>
      </c>
      <c r="J473" t="str">
        <f>_xlfn.XLOOKUP(A473, $A$1:$A$1001, 'Additional Product Info.'!$D$1:$D$1001)</f>
        <v>Yes</v>
      </c>
      <c r="K473" s="1">
        <f t="shared" si="14"/>
        <v>112591.52</v>
      </c>
      <c r="L473" s="1">
        <f t="shared" si="15"/>
        <v>2.3400000000000034</v>
      </c>
      <c r="M473" t="str">
        <f>IF(L473&lt;=Statistics!$E$6,"Low Difference",IF('Product Positioning'!L473&gt;=Statistics!$E$4,"High Difference","Moderate Difference"))</f>
        <v>Moderate Difference</v>
      </c>
    </row>
    <row r="474" spans="1:13" x14ac:dyDescent="0.2">
      <c r="A474">
        <v>126882</v>
      </c>
      <c r="B474" s="1">
        <v>8.7100000000000009</v>
      </c>
      <c r="C474" s="1">
        <v>6.89</v>
      </c>
      <c r="D474">
        <v>2166</v>
      </c>
      <c r="E474" t="str">
        <f>_xlfn.XLOOKUP(A474, 'Customer Information'!$A$1:$A$1001, 'Customer Information'!$B$1:$B$1001)</f>
        <v>Medium</v>
      </c>
      <c r="F474" t="str">
        <f>_xlfn.XLOOKUP(A474, 'Customer Information'!$A$1:$A$1001, 'Customer Information'!$C$1:$C$1001)</f>
        <v>College students</v>
      </c>
      <c r="G474" t="str">
        <f>_xlfn.XLOOKUP('Customer Information'!A474, 'Customer Information'!$A$1:$A$1001, 'Customer Information'!$D$1:$D$1001)</f>
        <v>No</v>
      </c>
      <c r="H474" t="str">
        <f>INDEX('Additional Product Info.'!$A$1:$C$1001, MATCH('Product Positioning'!$A474, 'Additional Product Info.'!$A$1:$A$1001, 0), MATCH('Product Positioning'!H$1, 'Additional Product Info.'!$A$1:$C$1, 0))</f>
        <v>Aisle</v>
      </c>
      <c r="I474" t="str">
        <f>INDEX('Additional Product Info.'!$A$1:$C$1001, MATCH('Product Positioning'!$A474, 'Additional Product Info.'!$A$1:$A$1001, 0), MATCH('Product Positioning'!I$1, 'Additional Product Info.'!$A$1:$C$1, 0))</f>
        <v>Clothing</v>
      </c>
      <c r="J474" t="str">
        <f>_xlfn.XLOOKUP(A474, $A$1:$A$1001, 'Additional Product Info.'!$D$1:$D$1001)</f>
        <v>Yes</v>
      </c>
      <c r="K474" s="1">
        <f t="shared" si="14"/>
        <v>18865.86</v>
      </c>
      <c r="L474" s="1">
        <f t="shared" si="15"/>
        <v>1.8200000000000012</v>
      </c>
      <c r="M474" t="str">
        <f>IF(L474&lt;=Statistics!$E$6,"Low Difference",IF('Product Positioning'!L474&gt;=Statistics!$E$4,"High Difference","Moderate Difference"))</f>
        <v>Moderate Difference</v>
      </c>
    </row>
    <row r="475" spans="1:13" x14ac:dyDescent="0.2">
      <c r="A475">
        <v>121683</v>
      </c>
      <c r="B475" s="1">
        <v>14.48</v>
      </c>
      <c r="C475" s="1">
        <v>11.5</v>
      </c>
      <c r="D475">
        <v>1669</v>
      </c>
      <c r="E475" t="str">
        <f>_xlfn.XLOOKUP(A475, 'Customer Information'!$A$1:$A$1001, 'Customer Information'!$B$1:$B$1001)</f>
        <v>Low</v>
      </c>
      <c r="F475" t="str">
        <f>_xlfn.XLOOKUP(A475, 'Customer Information'!$A$1:$A$1001, 'Customer Information'!$C$1:$C$1001)</f>
        <v>College students</v>
      </c>
      <c r="G475" t="str">
        <f>_xlfn.XLOOKUP('Customer Information'!A475, 'Customer Information'!$A$1:$A$1001, 'Customer Information'!$D$1:$D$1001)</f>
        <v>No</v>
      </c>
      <c r="H475" t="str">
        <f>INDEX('Additional Product Info.'!$A$1:$C$1001, MATCH('Product Positioning'!$A475, 'Additional Product Info.'!$A$1:$A$1001, 0), MATCH('Product Positioning'!H$1, 'Additional Product Info.'!$A$1:$C$1, 0))</f>
        <v>End-cap</v>
      </c>
      <c r="I475" t="str">
        <f>INDEX('Additional Product Info.'!$A$1:$C$1001, MATCH('Product Positioning'!$A475, 'Additional Product Info.'!$A$1:$A$1001, 0), MATCH('Product Positioning'!I$1, 'Additional Product Info.'!$A$1:$C$1, 0))</f>
        <v>Clothing</v>
      </c>
      <c r="J475" t="str">
        <f>_xlfn.XLOOKUP(A475, $A$1:$A$1001, 'Additional Product Info.'!$D$1:$D$1001)</f>
        <v>Yes</v>
      </c>
      <c r="K475" s="1">
        <f t="shared" si="14"/>
        <v>24167.119999999999</v>
      </c>
      <c r="L475" s="1">
        <f t="shared" si="15"/>
        <v>2.9800000000000004</v>
      </c>
      <c r="M475" t="str">
        <f>IF(L475&lt;=Statistics!$E$6,"Low Difference",IF('Product Positioning'!L475&gt;=Statistics!$E$4,"High Difference","Moderate Difference"))</f>
        <v>Moderate Difference</v>
      </c>
    </row>
    <row r="476" spans="1:13" x14ac:dyDescent="0.2">
      <c r="A476">
        <v>114466</v>
      </c>
      <c r="B476" s="1">
        <v>19.239999999999998</v>
      </c>
      <c r="C476" s="1">
        <v>16.55</v>
      </c>
      <c r="D476">
        <v>1056</v>
      </c>
      <c r="E476" t="str">
        <f>_xlfn.XLOOKUP(A476, 'Customer Information'!$A$1:$A$1001, 'Customer Information'!$B$1:$B$1001)</f>
        <v>High</v>
      </c>
      <c r="F476" t="str">
        <f>_xlfn.XLOOKUP(A476, 'Customer Information'!$A$1:$A$1001, 'Customer Information'!$C$1:$C$1001)</f>
        <v>Young adults</v>
      </c>
      <c r="G476" t="str">
        <f>_xlfn.XLOOKUP('Customer Information'!A476, 'Customer Information'!$A$1:$A$1001, 'Customer Information'!$D$1:$D$1001)</f>
        <v>No</v>
      </c>
      <c r="H476" t="str">
        <f>INDEX('Additional Product Info.'!$A$1:$C$1001, MATCH('Product Positioning'!$A476, 'Additional Product Info.'!$A$1:$A$1001, 0), MATCH('Product Positioning'!H$1, 'Additional Product Info.'!$A$1:$C$1, 0))</f>
        <v>Aisle</v>
      </c>
      <c r="I476" t="str">
        <f>INDEX('Additional Product Info.'!$A$1:$C$1001, MATCH('Product Positioning'!$A476, 'Additional Product Info.'!$A$1:$A$1001, 0), MATCH('Product Positioning'!I$1, 'Additional Product Info.'!$A$1:$C$1, 0))</f>
        <v>Clothing</v>
      </c>
      <c r="J476" t="str">
        <f>_xlfn.XLOOKUP(A476, $A$1:$A$1001, 'Additional Product Info.'!$D$1:$D$1001)</f>
        <v>Yes</v>
      </c>
      <c r="K476" s="1">
        <f t="shared" si="14"/>
        <v>20317.439999999999</v>
      </c>
      <c r="L476" s="1">
        <f t="shared" si="15"/>
        <v>2.6899999999999977</v>
      </c>
      <c r="M476" t="str">
        <f>IF(L476&lt;=Statistics!$E$6,"Low Difference",IF('Product Positioning'!L476&gt;=Statistics!$E$4,"High Difference","Moderate Difference"))</f>
        <v>Moderate Difference</v>
      </c>
    </row>
    <row r="477" spans="1:13" x14ac:dyDescent="0.2">
      <c r="A477">
        <v>133423</v>
      </c>
      <c r="B477" s="1">
        <v>43.91</v>
      </c>
      <c r="C477" s="1">
        <v>42.82</v>
      </c>
      <c r="D477">
        <v>768</v>
      </c>
      <c r="E477" t="str">
        <f>_xlfn.XLOOKUP(A477, 'Customer Information'!$A$1:$A$1001, 'Customer Information'!$B$1:$B$1001)</f>
        <v>Low</v>
      </c>
      <c r="F477" t="str">
        <f>_xlfn.XLOOKUP(A477, 'Customer Information'!$A$1:$A$1001, 'Customer Information'!$C$1:$C$1001)</f>
        <v>Seniors</v>
      </c>
      <c r="G477" t="str">
        <f>_xlfn.XLOOKUP('Customer Information'!A477, 'Customer Information'!$A$1:$A$1001, 'Customer Information'!$D$1:$D$1001)</f>
        <v>Yes</v>
      </c>
      <c r="H477" t="str">
        <f>INDEX('Additional Product Info.'!$A$1:$C$1001, MATCH('Product Positioning'!$A477, 'Additional Product Info.'!$A$1:$A$1001, 0), MATCH('Product Positioning'!H$1, 'Additional Product Info.'!$A$1:$C$1, 0))</f>
        <v>Front of Store</v>
      </c>
      <c r="I477" t="str">
        <f>INDEX('Additional Product Info.'!$A$1:$C$1001, MATCH('Product Positioning'!$A477, 'Additional Product Info.'!$A$1:$A$1001, 0), MATCH('Product Positioning'!I$1, 'Additional Product Info.'!$A$1:$C$1, 0))</f>
        <v>Food</v>
      </c>
      <c r="J477" t="str">
        <f>_xlfn.XLOOKUP(A477, $A$1:$A$1001, 'Additional Product Info.'!$D$1:$D$1001)</f>
        <v>No</v>
      </c>
      <c r="K477" s="1">
        <f t="shared" si="14"/>
        <v>33722.879999999997</v>
      </c>
      <c r="L477" s="1">
        <f t="shared" si="15"/>
        <v>1.0899999999999963</v>
      </c>
      <c r="M477" t="str">
        <f>IF(L477&lt;=Statistics!$E$6,"Low Difference",IF('Product Positioning'!L477&gt;=Statistics!$E$4,"High Difference","Moderate Difference"))</f>
        <v>Low Difference</v>
      </c>
    </row>
    <row r="478" spans="1:13" x14ac:dyDescent="0.2">
      <c r="A478">
        <v>129345</v>
      </c>
      <c r="B478" s="1">
        <v>39.19</v>
      </c>
      <c r="C478" s="1">
        <v>35.94</v>
      </c>
      <c r="D478">
        <v>1227</v>
      </c>
      <c r="E478" t="str">
        <f>_xlfn.XLOOKUP(A478, 'Customer Information'!$A$1:$A$1001, 'Customer Information'!$B$1:$B$1001)</f>
        <v>High</v>
      </c>
      <c r="F478" t="str">
        <f>_xlfn.XLOOKUP(A478, 'Customer Information'!$A$1:$A$1001, 'Customer Information'!$C$1:$C$1001)</f>
        <v>Families</v>
      </c>
      <c r="G478" t="str">
        <f>_xlfn.XLOOKUP('Customer Information'!A478, 'Customer Information'!$A$1:$A$1001, 'Customer Information'!$D$1:$D$1001)</f>
        <v>No</v>
      </c>
      <c r="H478" t="str">
        <f>INDEX('Additional Product Info.'!$A$1:$C$1001, MATCH('Product Positioning'!$A478, 'Additional Product Info.'!$A$1:$A$1001, 0), MATCH('Product Positioning'!H$1, 'Additional Product Info.'!$A$1:$C$1, 0))</f>
        <v>Aisle</v>
      </c>
      <c r="I478" t="str">
        <f>INDEX('Additional Product Info.'!$A$1:$C$1001, MATCH('Product Positioning'!$A478, 'Additional Product Info.'!$A$1:$A$1001, 0), MATCH('Product Positioning'!I$1, 'Additional Product Info.'!$A$1:$C$1, 0))</f>
        <v>Electronics</v>
      </c>
      <c r="J478" t="str">
        <f>_xlfn.XLOOKUP(A478, $A$1:$A$1001, 'Additional Product Info.'!$D$1:$D$1001)</f>
        <v>No</v>
      </c>
      <c r="K478" s="1">
        <f t="shared" si="14"/>
        <v>48086.13</v>
      </c>
      <c r="L478" s="1">
        <f t="shared" si="15"/>
        <v>3.25</v>
      </c>
      <c r="M478" t="str">
        <f>IF(L478&lt;=Statistics!$E$6,"Low Difference",IF('Product Positioning'!L478&gt;=Statistics!$E$4,"High Difference","Moderate Difference"))</f>
        <v>Moderate Difference</v>
      </c>
    </row>
    <row r="479" spans="1:13" x14ac:dyDescent="0.2">
      <c r="A479">
        <v>182298</v>
      </c>
      <c r="B479" s="1">
        <v>5.45</v>
      </c>
      <c r="C479" s="1">
        <v>4.8899999999999997</v>
      </c>
      <c r="D479">
        <v>2205</v>
      </c>
      <c r="E479" t="str">
        <f>_xlfn.XLOOKUP(A479, 'Customer Information'!$A$1:$A$1001, 'Customer Information'!$B$1:$B$1001)</f>
        <v>Low</v>
      </c>
      <c r="F479" t="str">
        <f>_xlfn.XLOOKUP(A479, 'Customer Information'!$A$1:$A$1001, 'Customer Information'!$C$1:$C$1001)</f>
        <v>Young adults</v>
      </c>
      <c r="G479" t="str">
        <f>_xlfn.XLOOKUP('Customer Information'!A479, 'Customer Information'!$A$1:$A$1001, 'Customer Information'!$D$1:$D$1001)</f>
        <v>No</v>
      </c>
      <c r="H479" t="str">
        <f>INDEX('Additional Product Info.'!$A$1:$C$1001, MATCH('Product Positioning'!$A479, 'Additional Product Info.'!$A$1:$A$1001, 0), MATCH('Product Positioning'!H$1, 'Additional Product Info.'!$A$1:$C$1, 0))</f>
        <v>Aisle</v>
      </c>
      <c r="I479" t="str">
        <f>INDEX('Additional Product Info.'!$A$1:$C$1001, MATCH('Product Positioning'!$A479, 'Additional Product Info.'!$A$1:$A$1001, 0), MATCH('Product Positioning'!I$1, 'Additional Product Info.'!$A$1:$C$1, 0))</f>
        <v>Clothing</v>
      </c>
      <c r="J479" t="str">
        <f>_xlfn.XLOOKUP(A479, $A$1:$A$1001, 'Additional Product Info.'!$D$1:$D$1001)</f>
        <v>No</v>
      </c>
      <c r="K479" s="1">
        <f t="shared" si="14"/>
        <v>12017.25</v>
      </c>
      <c r="L479" s="1">
        <f t="shared" si="15"/>
        <v>0.5600000000000005</v>
      </c>
      <c r="M479" t="str">
        <f>IF(L479&lt;=Statistics!$E$6,"Low Difference",IF('Product Positioning'!L479&gt;=Statistics!$E$4,"High Difference","Moderate Difference"))</f>
        <v>Low Difference</v>
      </c>
    </row>
    <row r="480" spans="1:13" x14ac:dyDescent="0.2">
      <c r="A480">
        <v>115099</v>
      </c>
      <c r="B480" s="1">
        <v>44.39</v>
      </c>
      <c r="C480" s="1">
        <v>43.57</v>
      </c>
      <c r="D480">
        <v>2749</v>
      </c>
      <c r="E480" t="str">
        <f>_xlfn.XLOOKUP(A480, 'Customer Information'!$A$1:$A$1001, 'Customer Information'!$B$1:$B$1001)</f>
        <v>High</v>
      </c>
      <c r="F480" t="str">
        <f>_xlfn.XLOOKUP(A480, 'Customer Information'!$A$1:$A$1001, 'Customer Information'!$C$1:$C$1001)</f>
        <v>Families</v>
      </c>
      <c r="G480" t="str">
        <f>_xlfn.XLOOKUP('Customer Information'!A480, 'Customer Information'!$A$1:$A$1001, 'Customer Information'!$D$1:$D$1001)</f>
        <v>No</v>
      </c>
      <c r="H480" t="str">
        <f>INDEX('Additional Product Info.'!$A$1:$C$1001, MATCH('Product Positioning'!$A480, 'Additional Product Info.'!$A$1:$A$1001, 0), MATCH('Product Positioning'!H$1, 'Additional Product Info.'!$A$1:$C$1, 0))</f>
        <v>End-cap</v>
      </c>
      <c r="I480" t="str">
        <f>INDEX('Additional Product Info.'!$A$1:$C$1001, MATCH('Product Positioning'!$A480, 'Additional Product Info.'!$A$1:$A$1001, 0), MATCH('Product Positioning'!I$1, 'Additional Product Info.'!$A$1:$C$1, 0))</f>
        <v>Food</v>
      </c>
      <c r="J480" t="str">
        <f>_xlfn.XLOOKUP(A480, $A$1:$A$1001, 'Additional Product Info.'!$D$1:$D$1001)</f>
        <v>No</v>
      </c>
      <c r="K480" s="1">
        <f t="shared" si="14"/>
        <v>122028.11</v>
      </c>
      <c r="L480" s="1">
        <f t="shared" si="15"/>
        <v>0.82000000000000028</v>
      </c>
      <c r="M480" t="str">
        <f>IF(L480&lt;=Statistics!$E$6,"Low Difference",IF('Product Positioning'!L480&gt;=Statistics!$E$4,"High Difference","Moderate Difference"))</f>
        <v>Low Difference</v>
      </c>
    </row>
    <row r="481" spans="1:13" x14ac:dyDescent="0.2">
      <c r="A481">
        <v>123677</v>
      </c>
      <c r="B481" s="1">
        <v>23.14</v>
      </c>
      <c r="C481" s="1">
        <v>18.420000000000002</v>
      </c>
      <c r="D481">
        <v>1331</v>
      </c>
      <c r="E481" t="str">
        <f>_xlfn.XLOOKUP(A481, 'Customer Information'!$A$1:$A$1001, 'Customer Information'!$B$1:$B$1001)</f>
        <v>Low</v>
      </c>
      <c r="F481" t="str">
        <f>_xlfn.XLOOKUP(A481, 'Customer Information'!$A$1:$A$1001, 'Customer Information'!$C$1:$C$1001)</f>
        <v>College students</v>
      </c>
      <c r="G481" t="str">
        <f>_xlfn.XLOOKUP('Customer Information'!A481, 'Customer Information'!$A$1:$A$1001, 'Customer Information'!$D$1:$D$1001)</f>
        <v>No</v>
      </c>
      <c r="H481" t="str">
        <f>INDEX('Additional Product Info.'!$A$1:$C$1001, MATCH('Product Positioning'!$A481, 'Additional Product Info.'!$A$1:$A$1001, 0), MATCH('Product Positioning'!H$1, 'Additional Product Info.'!$A$1:$C$1, 0))</f>
        <v>End-cap</v>
      </c>
      <c r="I481" t="str">
        <f>INDEX('Additional Product Info.'!$A$1:$C$1001, MATCH('Product Positioning'!$A481, 'Additional Product Info.'!$A$1:$A$1001, 0), MATCH('Product Positioning'!I$1, 'Additional Product Info.'!$A$1:$C$1, 0))</f>
        <v>Clothing</v>
      </c>
      <c r="J481" t="str">
        <f>_xlfn.XLOOKUP(A481, $A$1:$A$1001, 'Additional Product Info.'!$D$1:$D$1001)</f>
        <v>Yes</v>
      </c>
      <c r="K481" s="1">
        <f t="shared" si="14"/>
        <v>30799.34</v>
      </c>
      <c r="L481" s="1">
        <f t="shared" si="15"/>
        <v>4.7199999999999989</v>
      </c>
      <c r="M481" t="str">
        <f>IF(L481&lt;=Statistics!$E$6,"Low Difference",IF('Product Positioning'!L481&gt;=Statistics!$E$4,"High Difference","Moderate Difference"))</f>
        <v>High Difference</v>
      </c>
    </row>
    <row r="482" spans="1:13" x14ac:dyDescent="0.2">
      <c r="A482">
        <v>156228</v>
      </c>
      <c r="B482" s="1">
        <v>32.1</v>
      </c>
      <c r="C482" s="1">
        <v>27.11</v>
      </c>
      <c r="D482">
        <v>1972</v>
      </c>
      <c r="E482" t="str">
        <f>_xlfn.XLOOKUP(A482, 'Customer Information'!$A$1:$A$1001, 'Customer Information'!$B$1:$B$1001)</f>
        <v>Medium</v>
      </c>
      <c r="F482" t="str">
        <f>_xlfn.XLOOKUP(A482, 'Customer Information'!$A$1:$A$1001, 'Customer Information'!$C$1:$C$1001)</f>
        <v>Young adults</v>
      </c>
      <c r="G482" t="str">
        <f>_xlfn.XLOOKUP('Customer Information'!A482, 'Customer Information'!$A$1:$A$1001, 'Customer Information'!$D$1:$D$1001)</f>
        <v>Yes</v>
      </c>
      <c r="H482" t="str">
        <f>INDEX('Additional Product Info.'!$A$1:$C$1001, MATCH('Product Positioning'!$A482, 'Additional Product Info.'!$A$1:$A$1001, 0), MATCH('Product Positioning'!H$1, 'Additional Product Info.'!$A$1:$C$1, 0))</f>
        <v>Front of Store</v>
      </c>
      <c r="I482" t="str">
        <f>INDEX('Additional Product Info.'!$A$1:$C$1001, MATCH('Product Positioning'!$A482, 'Additional Product Info.'!$A$1:$A$1001, 0), MATCH('Product Positioning'!I$1, 'Additional Product Info.'!$A$1:$C$1, 0))</f>
        <v>Food</v>
      </c>
      <c r="J482" t="str">
        <f>_xlfn.XLOOKUP(A482, $A$1:$A$1001, 'Additional Product Info.'!$D$1:$D$1001)</f>
        <v>Yes</v>
      </c>
      <c r="K482" s="1">
        <f t="shared" si="14"/>
        <v>63301.200000000004</v>
      </c>
      <c r="L482" s="1">
        <f t="shared" si="15"/>
        <v>4.990000000000002</v>
      </c>
      <c r="M482" t="str">
        <f>IF(L482&lt;=Statistics!$E$6,"Low Difference",IF('Product Positioning'!L482&gt;=Statistics!$E$4,"High Difference","Moderate Difference"))</f>
        <v>High Difference</v>
      </c>
    </row>
    <row r="483" spans="1:13" x14ac:dyDescent="0.2">
      <c r="A483">
        <v>130446</v>
      </c>
      <c r="B483" s="1">
        <v>32.33</v>
      </c>
      <c r="C483" s="1">
        <v>29.9</v>
      </c>
      <c r="D483">
        <v>2827</v>
      </c>
      <c r="E483" t="str">
        <f>_xlfn.XLOOKUP(A483, 'Customer Information'!$A$1:$A$1001, 'Customer Information'!$B$1:$B$1001)</f>
        <v>Medium</v>
      </c>
      <c r="F483" t="str">
        <f>_xlfn.XLOOKUP(A483, 'Customer Information'!$A$1:$A$1001, 'Customer Information'!$C$1:$C$1001)</f>
        <v>College students</v>
      </c>
      <c r="G483" t="str">
        <f>_xlfn.XLOOKUP('Customer Information'!A483, 'Customer Information'!$A$1:$A$1001, 'Customer Information'!$D$1:$D$1001)</f>
        <v>No</v>
      </c>
      <c r="H483" t="str">
        <f>INDEX('Additional Product Info.'!$A$1:$C$1001, MATCH('Product Positioning'!$A483, 'Additional Product Info.'!$A$1:$A$1001, 0), MATCH('Product Positioning'!H$1, 'Additional Product Info.'!$A$1:$C$1, 0))</f>
        <v>End-cap</v>
      </c>
      <c r="I483" t="str">
        <f>INDEX('Additional Product Info.'!$A$1:$C$1001, MATCH('Product Positioning'!$A483, 'Additional Product Info.'!$A$1:$A$1001, 0), MATCH('Product Positioning'!I$1, 'Additional Product Info.'!$A$1:$C$1, 0))</f>
        <v>Food</v>
      </c>
      <c r="J483" t="str">
        <f>_xlfn.XLOOKUP(A483, $A$1:$A$1001, 'Additional Product Info.'!$D$1:$D$1001)</f>
        <v>Yes</v>
      </c>
      <c r="K483" s="1">
        <f t="shared" si="14"/>
        <v>91396.909999999989</v>
      </c>
      <c r="L483" s="1">
        <f t="shared" si="15"/>
        <v>2.4299999999999997</v>
      </c>
      <c r="M483" t="str">
        <f>IF(L483&lt;=Statistics!$E$6,"Low Difference",IF('Product Positioning'!L483&gt;=Statistics!$E$4,"High Difference","Moderate Difference"))</f>
        <v>Moderate Difference</v>
      </c>
    </row>
    <row r="484" spans="1:13" x14ac:dyDescent="0.2">
      <c r="A484">
        <v>139743</v>
      </c>
      <c r="B484" s="1">
        <v>43.33</v>
      </c>
      <c r="C484" s="1">
        <v>38.659999999999997</v>
      </c>
      <c r="D484">
        <v>1861</v>
      </c>
      <c r="E484" t="str">
        <f>_xlfn.XLOOKUP(A484, 'Customer Information'!$A$1:$A$1001, 'Customer Information'!$B$1:$B$1001)</f>
        <v>High</v>
      </c>
      <c r="F484" t="str">
        <f>_xlfn.XLOOKUP(A484, 'Customer Information'!$A$1:$A$1001, 'Customer Information'!$C$1:$C$1001)</f>
        <v>College students</v>
      </c>
      <c r="G484" t="str">
        <f>_xlfn.XLOOKUP('Customer Information'!A484, 'Customer Information'!$A$1:$A$1001, 'Customer Information'!$D$1:$D$1001)</f>
        <v>No</v>
      </c>
      <c r="H484" t="str">
        <f>INDEX('Additional Product Info.'!$A$1:$C$1001, MATCH('Product Positioning'!$A484, 'Additional Product Info.'!$A$1:$A$1001, 0), MATCH('Product Positioning'!H$1, 'Additional Product Info.'!$A$1:$C$1, 0))</f>
        <v>Front of Store</v>
      </c>
      <c r="I484" t="str">
        <f>INDEX('Additional Product Info.'!$A$1:$C$1001, MATCH('Product Positioning'!$A484, 'Additional Product Info.'!$A$1:$A$1001, 0), MATCH('Product Positioning'!I$1, 'Additional Product Info.'!$A$1:$C$1, 0))</f>
        <v>Food</v>
      </c>
      <c r="J484" t="str">
        <f>_xlfn.XLOOKUP(A484, $A$1:$A$1001, 'Additional Product Info.'!$D$1:$D$1001)</f>
        <v>Yes</v>
      </c>
      <c r="K484" s="1">
        <f t="shared" si="14"/>
        <v>80637.12999999999</v>
      </c>
      <c r="L484" s="1">
        <f t="shared" si="15"/>
        <v>4.6700000000000017</v>
      </c>
      <c r="M484" t="str">
        <f>IF(L484&lt;=Statistics!$E$6,"Low Difference",IF('Product Positioning'!L484&gt;=Statistics!$E$4,"High Difference","Moderate Difference"))</f>
        <v>High Difference</v>
      </c>
    </row>
    <row r="485" spans="1:13" x14ac:dyDescent="0.2">
      <c r="A485">
        <v>137462</v>
      </c>
      <c r="B485" s="1">
        <v>40.36</v>
      </c>
      <c r="C485" s="1">
        <v>39.26</v>
      </c>
      <c r="D485">
        <v>2714</v>
      </c>
      <c r="E485" t="str">
        <f>_xlfn.XLOOKUP(A485, 'Customer Information'!$A$1:$A$1001, 'Customer Information'!$B$1:$B$1001)</f>
        <v>Low</v>
      </c>
      <c r="F485" t="str">
        <f>_xlfn.XLOOKUP(A485, 'Customer Information'!$A$1:$A$1001, 'Customer Information'!$C$1:$C$1001)</f>
        <v>Families</v>
      </c>
      <c r="G485" t="str">
        <f>_xlfn.XLOOKUP('Customer Information'!A485, 'Customer Information'!$A$1:$A$1001, 'Customer Information'!$D$1:$D$1001)</f>
        <v>Yes</v>
      </c>
      <c r="H485" t="str">
        <f>INDEX('Additional Product Info.'!$A$1:$C$1001, MATCH('Product Positioning'!$A485, 'Additional Product Info.'!$A$1:$A$1001, 0), MATCH('Product Positioning'!H$1, 'Additional Product Info.'!$A$1:$C$1, 0))</f>
        <v>Front of Store</v>
      </c>
      <c r="I485" t="str">
        <f>INDEX('Additional Product Info.'!$A$1:$C$1001, MATCH('Product Positioning'!$A485, 'Additional Product Info.'!$A$1:$A$1001, 0), MATCH('Product Positioning'!I$1, 'Additional Product Info.'!$A$1:$C$1, 0))</f>
        <v>Electronics</v>
      </c>
      <c r="J485" t="str">
        <f>_xlfn.XLOOKUP(A485, $A$1:$A$1001, 'Additional Product Info.'!$D$1:$D$1001)</f>
        <v>Yes</v>
      </c>
      <c r="K485" s="1">
        <f t="shared" si="14"/>
        <v>109537.04</v>
      </c>
      <c r="L485" s="1">
        <f t="shared" si="15"/>
        <v>1.1000000000000014</v>
      </c>
      <c r="M485" t="str">
        <f>IF(L485&lt;=Statistics!$E$6,"Low Difference",IF('Product Positioning'!L485&gt;=Statistics!$E$4,"High Difference","Moderate Difference"))</f>
        <v>Low Difference</v>
      </c>
    </row>
    <row r="486" spans="1:13" x14ac:dyDescent="0.2">
      <c r="A486">
        <v>180388</v>
      </c>
      <c r="B486" s="1">
        <v>49.25</v>
      </c>
      <c r="C486" s="1">
        <v>44.43</v>
      </c>
      <c r="D486">
        <v>755</v>
      </c>
      <c r="E486" t="str">
        <f>_xlfn.XLOOKUP(A486, 'Customer Information'!$A$1:$A$1001, 'Customer Information'!$B$1:$B$1001)</f>
        <v>Medium</v>
      </c>
      <c r="F486" t="str">
        <f>_xlfn.XLOOKUP(A486, 'Customer Information'!$A$1:$A$1001, 'Customer Information'!$C$1:$C$1001)</f>
        <v>Seniors</v>
      </c>
      <c r="G486" t="str">
        <f>_xlfn.XLOOKUP('Customer Information'!A486, 'Customer Information'!$A$1:$A$1001, 'Customer Information'!$D$1:$D$1001)</f>
        <v>No</v>
      </c>
      <c r="H486" t="str">
        <f>INDEX('Additional Product Info.'!$A$1:$C$1001, MATCH('Product Positioning'!$A486, 'Additional Product Info.'!$A$1:$A$1001, 0), MATCH('Product Positioning'!H$1, 'Additional Product Info.'!$A$1:$C$1, 0))</f>
        <v>Aisle</v>
      </c>
      <c r="I486" t="str">
        <f>INDEX('Additional Product Info.'!$A$1:$C$1001, MATCH('Product Positioning'!$A486, 'Additional Product Info.'!$A$1:$A$1001, 0), MATCH('Product Positioning'!I$1, 'Additional Product Info.'!$A$1:$C$1, 0))</f>
        <v>Food</v>
      </c>
      <c r="J486" t="str">
        <f>_xlfn.XLOOKUP(A486, $A$1:$A$1001, 'Additional Product Info.'!$D$1:$D$1001)</f>
        <v>No</v>
      </c>
      <c r="K486" s="1">
        <f t="shared" si="14"/>
        <v>37183.75</v>
      </c>
      <c r="L486" s="1">
        <f t="shared" si="15"/>
        <v>4.82</v>
      </c>
      <c r="M486" t="str">
        <f>IF(L486&lt;=Statistics!$E$6,"Low Difference",IF('Product Positioning'!L486&gt;=Statistics!$E$4,"High Difference","Moderate Difference"))</f>
        <v>High Difference</v>
      </c>
    </row>
    <row r="487" spans="1:13" x14ac:dyDescent="0.2">
      <c r="A487">
        <v>193975</v>
      </c>
      <c r="B487" s="1">
        <v>43.94</v>
      </c>
      <c r="C487" s="1">
        <v>43.83</v>
      </c>
      <c r="D487">
        <v>1414</v>
      </c>
      <c r="E487" t="str">
        <f>_xlfn.XLOOKUP(A487, 'Customer Information'!$A$1:$A$1001, 'Customer Information'!$B$1:$B$1001)</f>
        <v>High</v>
      </c>
      <c r="F487" t="str">
        <f>_xlfn.XLOOKUP(A487, 'Customer Information'!$A$1:$A$1001, 'Customer Information'!$C$1:$C$1001)</f>
        <v>College students</v>
      </c>
      <c r="G487" t="str">
        <f>_xlfn.XLOOKUP('Customer Information'!A487, 'Customer Information'!$A$1:$A$1001, 'Customer Information'!$D$1:$D$1001)</f>
        <v>Yes</v>
      </c>
      <c r="H487" t="str">
        <f>INDEX('Additional Product Info.'!$A$1:$C$1001, MATCH('Product Positioning'!$A487, 'Additional Product Info.'!$A$1:$A$1001, 0), MATCH('Product Positioning'!H$1, 'Additional Product Info.'!$A$1:$C$1, 0))</f>
        <v>Front of Store</v>
      </c>
      <c r="I487" t="str">
        <f>INDEX('Additional Product Info.'!$A$1:$C$1001, MATCH('Product Positioning'!$A487, 'Additional Product Info.'!$A$1:$A$1001, 0), MATCH('Product Positioning'!I$1, 'Additional Product Info.'!$A$1:$C$1, 0))</f>
        <v>Clothing</v>
      </c>
      <c r="J487" t="str">
        <f>_xlfn.XLOOKUP(A487, $A$1:$A$1001, 'Additional Product Info.'!$D$1:$D$1001)</f>
        <v>Yes</v>
      </c>
      <c r="K487" s="1">
        <f t="shared" si="14"/>
        <v>62131.159999999996</v>
      </c>
      <c r="L487" s="1">
        <f t="shared" si="15"/>
        <v>0.10999999999999943</v>
      </c>
      <c r="M487" t="str">
        <f>IF(L487&lt;=Statistics!$E$6,"Low Difference",IF('Product Positioning'!L487&gt;=Statistics!$E$4,"High Difference","Moderate Difference"))</f>
        <v>Low Difference</v>
      </c>
    </row>
    <row r="488" spans="1:13" x14ac:dyDescent="0.2">
      <c r="A488">
        <v>126497</v>
      </c>
      <c r="B488" s="1">
        <v>34.130000000000003</v>
      </c>
      <c r="C488" s="1">
        <v>34.11</v>
      </c>
      <c r="D488">
        <v>2838</v>
      </c>
      <c r="E488" t="str">
        <f>_xlfn.XLOOKUP(A488, 'Customer Information'!$A$1:$A$1001, 'Customer Information'!$B$1:$B$1001)</f>
        <v>Low</v>
      </c>
      <c r="F488" t="str">
        <f>_xlfn.XLOOKUP(A488, 'Customer Information'!$A$1:$A$1001, 'Customer Information'!$C$1:$C$1001)</f>
        <v>Young adults</v>
      </c>
      <c r="G488" t="str">
        <f>_xlfn.XLOOKUP('Customer Information'!A488, 'Customer Information'!$A$1:$A$1001, 'Customer Information'!$D$1:$D$1001)</f>
        <v>No</v>
      </c>
      <c r="H488" t="str">
        <f>INDEX('Additional Product Info.'!$A$1:$C$1001, MATCH('Product Positioning'!$A488, 'Additional Product Info.'!$A$1:$A$1001, 0), MATCH('Product Positioning'!H$1, 'Additional Product Info.'!$A$1:$C$1, 0))</f>
        <v>End-cap</v>
      </c>
      <c r="I488" t="str">
        <f>INDEX('Additional Product Info.'!$A$1:$C$1001, MATCH('Product Positioning'!$A488, 'Additional Product Info.'!$A$1:$A$1001, 0), MATCH('Product Positioning'!I$1, 'Additional Product Info.'!$A$1:$C$1, 0))</f>
        <v>Electronics</v>
      </c>
      <c r="J488" t="str">
        <f>_xlfn.XLOOKUP(A488, $A$1:$A$1001, 'Additional Product Info.'!$D$1:$D$1001)</f>
        <v>No</v>
      </c>
      <c r="K488" s="1">
        <f t="shared" si="14"/>
        <v>96860.94</v>
      </c>
      <c r="L488" s="1">
        <f t="shared" si="15"/>
        <v>2.0000000000003126E-2</v>
      </c>
      <c r="M488" t="str">
        <f>IF(L488&lt;=Statistics!$E$6,"Low Difference",IF('Product Positioning'!L488&gt;=Statistics!$E$4,"High Difference","Moderate Difference"))</f>
        <v>Low Difference</v>
      </c>
    </row>
    <row r="489" spans="1:13" x14ac:dyDescent="0.2">
      <c r="A489">
        <v>165072</v>
      </c>
      <c r="B489" s="1">
        <v>37.020000000000003</v>
      </c>
      <c r="C489" s="1">
        <v>33.369999999999997</v>
      </c>
      <c r="D489">
        <v>2150</v>
      </c>
      <c r="E489" t="str">
        <f>_xlfn.XLOOKUP(A489, 'Customer Information'!$A$1:$A$1001, 'Customer Information'!$B$1:$B$1001)</f>
        <v>High</v>
      </c>
      <c r="F489" t="str">
        <f>_xlfn.XLOOKUP(A489, 'Customer Information'!$A$1:$A$1001, 'Customer Information'!$C$1:$C$1001)</f>
        <v>Seniors</v>
      </c>
      <c r="G489" t="str">
        <f>_xlfn.XLOOKUP('Customer Information'!A489, 'Customer Information'!$A$1:$A$1001, 'Customer Information'!$D$1:$D$1001)</f>
        <v>No</v>
      </c>
      <c r="H489" t="str">
        <f>INDEX('Additional Product Info.'!$A$1:$C$1001, MATCH('Product Positioning'!$A489, 'Additional Product Info.'!$A$1:$A$1001, 0), MATCH('Product Positioning'!H$1, 'Additional Product Info.'!$A$1:$C$1, 0))</f>
        <v>End-cap</v>
      </c>
      <c r="I489" t="str">
        <f>INDEX('Additional Product Info.'!$A$1:$C$1001, MATCH('Product Positioning'!$A489, 'Additional Product Info.'!$A$1:$A$1001, 0), MATCH('Product Positioning'!I$1, 'Additional Product Info.'!$A$1:$C$1, 0))</f>
        <v>Food</v>
      </c>
      <c r="J489" t="str">
        <f>_xlfn.XLOOKUP(A489, $A$1:$A$1001, 'Additional Product Info.'!$D$1:$D$1001)</f>
        <v>Yes</v>
      </c>
      <c r="K489" s="1">
        <f t="shared" si="14"/>
        <v>79593</v>
      </c>
      <c r="L489" s="1">
        <f t="shared" si="15"/>
        <v>3.6500000000000057</v>
      </c>
      <c r="M489" t="str">
        <f>IF(L489&lt;=Statistics!$E$6,"Low Difference",IF('Product Positioning'!L489&gt;=Statistics!$E$4,"High Difference","Moderate Difference"))</f>
        <v>Moderate Difference</v>
      </c>
    </row>
    <row r="490" spans="1:13" x14ac:dyDescent="0.2">
      <c r="A490">
        <v>146446</v>
      </c>
      <c r="B490" s="1">
        <v>35.56</v>
      </c>
      <c r="C490" s="1">
        <v>30.73</v>
      </c>
      <c r="D490">
        <v>2477</v>
      </c>
      <c r="E490" t="str">
        <f>_xlfn.XLOOKUP(A490, 'Customer Information'!$A$1:$A$1001, 'Customer Information'!$B$1:$B$1001)</f>
        <v>High</v>
      </c>
      <c r="F490" t="str">
        <f>_xlfn.XLOOKUP(A490, 'Customer Information'!$A$1:$A$1001, 'Customer Information'!$C$1:$C$1001)</f>
        <v>Families</v>
      </c>
      <c r="G490" t="str">
        <f>_xlfn.XLOOKUP('Customer Information'!A490, 'Customer Information'!$A$1:$A$1001, 'Customer Information'!$D$1:$D$1001)</f>
        <v>No</v>
      </c>
      <c r="H490" t="str">
        <f>INDEX('Additional Product Info.'!$A$1:$C$1001, MATCH('Product Positioning'!$A490, 'Additional Product Info.'!$A$1:$A$1001, 0), MATCH('Product Positioning'!H$1, 'Additional Product Info.'!$A$1:$C$1, 0))</f>
        <v>Front of Store</v>
      </c>
      <c r="I490" t="str">
        <f>INDEX('Additional Product Info.'!$A$1:$C$1001, MATCH('Product Positioning'!$A490, 'Additional Product Info.'!$A$1:$A$1001, 0), MATCH('Product Positioning'!I$1, 'Additional Product Info.'!$A$1:$C$1, 0))</f>
        <v>Electronics</v>
      </c>
      <c r="J490" t="str">
        <f>_xlfn.XLOOKUP(A490, $A$1:$A$1001, 'Additional Product Info.'!$D$1:$D$1001)</f>
        <v>No</v>
      </c>
      <c r="K490" s="1">
        <f t="shared" si="14"/>
        <v>88082.12000000001</v>
      </c>
      <c r="L490" s="1">
        <f t="shared" si="15"/>
        <v>4.8300000000000018</v>
      </c>
      <c r="M490" t="str">
        <f>IF(L490&lt;=Statistics!$E$6,"Low Difference",IF('Product Positioning'!L490&gt;=Statistics!$E$4,"High Difference","Moderate Difference"))</f>
        <v>High Difference</v>
      </c>
    </row>
    <row r="491" spans="1:13" x14ac:dyDescent="0.2">
      <c r="A491">
        <v>174450</v>
      </c>
      <c r="B491" s="1">
        <v>7.33</v>
      </c>
      <c r="C491" s="1">
        <v>6.04</v>
      </c>
      <c r="D491">
        <v>2651</v>
      </c>
      <c r="E491" t="str">
        <f>_xlfn.XLOOKUP(A491, 'Customer Information'!$A$1:$A$1001, 'Customer Information'!$B$1:$B$1001)</f>
        <v>Medium</v>
      </c>
      <c r="F491" t="str">
        <f>_xlfn.XLOOKUP(A491, 'Customer Information'!$A$1:$A$1001, 'Customer Information'!$C$1:$C$1001)</f>
        <v>Young adults</v>
      </c>
      <c r="G491" t="str">
        <f>_xlfn.XLOOKUP('Customer Information'!A491, 'Customer Information'!$A$1:$A$1001, 'Customer Information'!$D$1:$D$1001)</f>
        <v>No</v>
      </c>
      <c r="H491" t="str">
        <f>INDEX('Additional Product Info.'!$A$1:$C$1001, MATCH('Product Positioning'!$A491, 'Additional Product Info.'!$A$1:$A$1001, 0), MATCH('Product Positioning'!H$1, 'Additional Product Info.'!$A$1:$C$1, 0))</f>
        <v>Front of Store</v>
      </c>
      <c r="I491" t="str">
        <f>INDEX('Additional Product Info.'!$A$1:$C$1001, MATCH('Product Positioning'!$A491, 'Additional Product Info.'!$A$1:$A$1001, 0), MATCH('Product Positioning'!I$1, 'Additional Product Info.'!$A$1:$C$1, 0))</f>
        <v>Electronics</v>
      </c>
      <c r="J491" t="str">
        <f>_xlfn.XLOOKUP(A491, $A$1:$A$1001, 'Additional Product Info.'!$D$1:$D$1001)</f>
        <v>Yes</v>
      </c>
      <c r="K491" s="1">
        <f t="shared" si="14"/>
        <v>19431.830000000002</v>
      </c>
      <c r="L491" s="1">
        <f t="shared" si="15"/>
        <v>1.29</v>
      </c>
      <c r="M491" t="str">
        <f>IF(L491&lt;=Statistics!$E$6,"Low Difference",IF('Product Positioning'!L491&gt;=Statistics!$E$4,"High Difference","Moderate Difference"))</f>
        <v>Moderate Difference</v>
      </c>
    </row>
    <row r="492" spans="1:13" x14ac:dyDescent="0.2">
      <c r="A492">
        <v>130931</v>
      </c>
      <c r="B492" s="1">
        <v>42.63</v>
      </c>
      <c r="C492" s="1">
        <v>41.03</v>
      </c>
      <c r="D492">
        <v>2224</v>
      </c>
      <c r="E492" t="str">
        <f>_xlfn.XLOOKUP(A492, 'Customer Information'!$A$1:$A$1001, 'Customer Information'!$B$1:$B$1001)</f>
        <v>High</v>
      </c>
      <c r="F492" t="str">
        <f>_xlfn.XLOOKUP(A492, 'Customer Information'!$A$1:$A$1001, 'Customer Information'!$C$1:$C$1001)</f>
        <v>Families</v>
      </c>
      <c r="G492" t="str">
        <f>_xlfn.XLOOKUP('Customer Information'!A492, 'Customer Information'!$A$1:$A$1001, 'Customer Information'!$D$1:$D$1001)</f>
        <v>Yes</v>
      </c>
      <c r="H492" t="str">
        <f>INDEX('Additional Product Info.'!$A$1:$C$1001, MATCH('Product Positioning'!$A492, 'Additional Product Info.'!$A$1:$A$1001, 0), MATCH('Product Positioning'!H$1, 'Additional Product Info.'!$A$1:$C$1, 0))</f>
        <v>Aisle</v>
      </c>
      <c r="I492" t="str">
        <f>INDEX('Additional Product Info.'!$A$1:$C$1001, MATCH('Product Positioning'!$A492, 'Additional Product Info.'!$A$1:$A$1001, 0), MATCH('Product Positioning'!I$1, 'Additional Product Info.'!$A$1:$C$1, 0))</f>
        <v>Electronics</v>
      </c>
      <c r="J492" t="str">
        <f>_xlfn.XLOOKUP(A492, $A$1:$A$1001, 'Additional Product Info.'!$D$1:$D$1001)</f>
        <v>No</v>
      </c>
      <c r="K492" s="1">
        <f t="shared" si="14"/>
        <v>94809.12000000001</v>
      </c>
      <c r="L492" s="1">
        <f t="shared" si="15"/>
        <v>1.6000000000000014</v>
      </c>
      <c r="M492" t="str">
        <f>IF(L492&lt;=Statistics!$E$6,"Low Difference",IF('Product Positioning'!L492&gt;=Statistics!$E$4,"High Difference","Moderate Difference"))</f>
        <v>Moderate Difference</v>
      </c>
    </row>
    <row r="493" spans="1:13" x14ac:dyDescent="0.2">
      <c r="A493">
        <v>196440</v>
      </c>
      <c r="B493" s="1">
        <v>24.41</v>
      </c>
      <c r="C493" s="1">
        <v>21.22</v>
      </c>
      <c r="D493">
        <v>2300</v>
      </c>
      <c r="E493" t="str">
        <f>_xlfn.XLOOKUP(A493, 'Customer Information'!$A$1:$A$1001, 'Customer Information'!$B$1:$B$1001)</f>
        <v>High</v>
      </c>
      <c r="F493" t="str">
        <f>_xlfn.XLOOKUP(A493, 'Customer Information'!$A$1:$A$1001, 'Customer Information'!$C$1:$C$1001)</f>
        <v>Young adults</v>
      </c>
      <c r="G493" t="str">
        <f>_xlfn.XLOOKUP('Customer Information'!A493, 'Customer Information'!$A$1:$A$1001, 'Customer Information'!$D$1:$D$1001)</f>
        <v>No</v>
      </c>
      <c r="H493" t="str">
        <f>INDEX('Additional Product Info.'!$A$1:$C$1001, MATCH('Product Positioning'!$A493, 'Additional Product Info.'!$A$1:$A$1001, 0), MATCH('Product Positioning'!H$1, 'Additional Product Info.'!$A$1:$C$1, 0))</f>
        <v>Front of Store</v>
      </c>
      <c r="I493" t="str">
        <f>INDEX('Additional Product Info.'!$A$1:$C$1001, MATCH('Product Positioning'!$A493, 'Additional Product Info.'!$A$1:$A$1001, 0), MATCH('Product Positioning'!I$1, 'Additional Product Info.'!$A$1:$C$1, 0))</f>
        <v>Clothing</v>
      </c>
      <c r="J493" t="str">
        <f>_xlfn.XLOOKUP(A493, $A$1:$A$1001, 'Additional Product Info.'!$D$1:$D$1001)</f>
        <v>No</v>
      </c>
      <c r="K493" s="1">
        <f t="shared" si="14"/>
        <v>56143</v>
      </c>
      <c r="L493" s="1">
        <f t="shared" si="15"/>
        <v>3.1900000000000013</v>
      </c>
      <c r="M493" t="str">
        <f>IF(L493&lt;=Statistics!$E$6,"Low Difference",IF('Product Positioning'!L493&gt;=Statistics!$E$4,"High Difference","Moderate Difference"))</f>
        <v>Moderate Difference</v>
      </c>
    </row>
    <row r="494" spans="1:13" x14ac:dyDescent="0.2">
      <c r="A494">
        <v>113511</v>
      </c>
      <c r="B494" s="1">
        <v>21.22</v>
      </c>
      <c r="C494" s="1">
        <v>19.82</v>
      </c>
      <c r="D494">
        <v>2152</v>
      </c>
      <c r="E494" t="str">
        <f>_xlfn.XLOOKUP(A494, 'Customer Information'!$A$1:$A$1001, 'Customer Information'!$B$1:$B$1001)</f>
        <v>Medium</v>
      </c>
      <c r="F494" t="str">
        <f>_xlfn.XLOOKUP(A494, 'Customer Information'!$A$1:$A$1001, 'Customer Information'!$C$1:$C$1001)</f>
        <v>Families</v>
      </c>
      <c r="G494" t="str">
        <f>_xlfn.XLOOKUP('Customer Information'!A494, 'Customer Information'!$A$1:$A$1001, 'Customer Information'!$D$1:$D$1001)</f>
        <v>Yes</v>
      </c>
      <c r="H494" t="str">
        <f>INDEX('Additional Product Info.'!$A$1:$C$1001, MATCH('Product Positioning'!$A494, 'Additional Product Info.'!$A$1:$A$1001, 0), MATCH('Product Positioning'!H$1, 'Additional Product Info.'!$A$1:$C$1, 0))</f>
        <v>End-cap</v>
      </c>
      <c r="I494" t="str">
        <f>INDEX('Additional Product Info.'!$A$1:$C$1001, MATCH('Product Positioning'!$A494, 'Additional Product Info.'!$A$1:$A$1001, 0), MATCH('Product Positioning'!I$1, 'Additional Product Info.'!$A$1:$C$1, 0))</f>
        <v>Clothing</v>
      </c>
      <c r="J494" t="str">
        <f>_xlfn.XLOOKUP(A494, $A$1:$A$1001, 'Additional Product Info.'!$D$1:$D$1001)</f>
        <v>Yes</v>
      </c>
      <c r="K494" s="1">
        <f t="shared" si="14"/>
        <v>45665.439999999995</v>
      </c>
      <c r="L494" s="1">
        <f t="shared" si="15"/>
        <v>1.3999999999999986</v>
      </c>
      <c r="M494" t="str">
        <f>IF(L494&lt;=Statistics!$E$6,"Low Difference",IF('Product Positioning'!L494&gt;=Statistics!$E$4,"High Difference","Moderate Difference"))</f>
        <v>Moderate Difference</v>
      </c>
    </row>
    <row r="495" spans="1:13" x14ac:dyDescent="0.2">
      <c r="A495">
        <v>163155</v>
      </c>
      <c r="B495" s="1">
        <v>14.59</v>
      </c>
      <c r="C495" s="1">
        <v>13.38</v>
      </c>
      <c r="D495">
        <v>2689</v>
      </c>
      <c r="E495" t="str">
        <f>_xlfn.XLOOKUP(A495, 'Customer Information'!$A$1:$A$1001, 'Customer Information'!$B$1:$B$1001)</f>
        <v>Medium</v>
      </c>
      <c r="F495" t="str">
        <f>_xlfn.XLOOKUP(A495, 'Customer Information'!$A$1:$A$1001, 'Customer Information'!$C$1:$C$1001)</f>
        <v>Seniors</v>
      </c>
      <c r="G495" t="str">
        <f>_xlfn.XLOOKUP('Customer Information'!A495, 'Customer Information'!$A$1:$A$1001, 'Customer Information'!$D$1:$D$1001)</f>
        <v>No</v>
      </c>
      <c r="H495" t="str">
        <f>INDEX('Additional Product Info.'!$A$1:$C$1001, MATCH('Product Positioning'!$A495, 'Additional Product Info.'!$A$1:$A$1001, 0), MATCH('Product Positioning'!H$1, 'Additional Product Info.'!$A$1:$C$1, 0))</f>
        <v>Aisle</v>
      </c>
      <c r="I495" t="str">
        <f>INDEX('Additional Product Info.'!$A$1:$C$1001, MATCH('Product Positioning'!$A495, 'Additional Product Info.'!$A$1:$A$1001, 0), MATCH('Product Positioning'!I$1, 'Additional Product Info.'!$A$1:$C$1, 0))</f>
        <v>Electronics</v>
      </c>
      <c r="J495" t="str">
        <f>_xlfn.XLOOKUP(A495, $A$1:$A$1001, 'Additional Product Info.'!$D$1:$D$1001)</f>
        <v>No</v>
      </c>
      <c r="K495" s="1">
        <f t="shared" si="14"/>
        <v>39232.51</v>
      </c>
      <c r="L495" s="1">
        <f t="shared" si="15"/>
        <v>1.2099999999999991</v>
      </c>
      <c r="M495" t="str">
        <f>IF(L495&lt;=Statistics!$E$6,"Low Difference",IF('Product Positioning'!L495&gt;=Statistics!$E$4,"High Difference","Moderate Difference"))</f>
        <v>Moderate Difference</v>
      </c>
    </row>
    <row r="496" spans="1:13" x14ac:dyDescent="0.2">
      <c r="A496">
        <v>143152</v>
      </c>
      <c r="B496" s="1">
        <v>14.78</v>
      </c>
      <c r="C496" s="1">
        <v>10.6</v>
      </c>
      <c r="D496">
        <v>2046</v>
      </c>
      <c r="E496" t="str">
        <f>_xlfn.XLOOKUP(A496, 'Customer Information'!$A$1:$A$1001, 'Customer Information'!$B$1:$B$1001)</f>
        <v>Medium</v>
      </c>
      <c r="F496" t="str">
        <f>_xlfn.XLOOKUP(A496, 'Customer Information'!$A$1:$A$1001, 'Customer Information'!$C$1:$C$1001)</f>
        <v>Seniors</v>
      </c>
      <c r="G496" t="str">
        <f>_xlfn.XLOOKUP('Customer Information'!A496, 'Customer Information'!$A$1:$A$1001, 'Customer Information'!$D$1:$D$1001)</f>
        <v>Yes</v>
      </c>
      <c r="H496" t="str">
        <f>INDEX('Additional Product Info.'!$A$1:$C$1001, MATCH('Product Positioning'!$A496, 'Additional Product Info.'!$A$1:$A$1001, 0), MATCH('Product Positioning'!H$1, 'Additional Product Info.'!$A$1:$C$1, 0))</f>
        <v>Front of Store</v>
      </c>
      <c r="I496" t="str">
        <f>INDEX('Additional Product Info.'!$A$1:$C$1001, MATCH('Product Positioning'!$A496, 'Additional Product Info.'!$A$1:$A$1001, 0), MATCH('Product Positioning'!I$1, 'Additional Product Info.'!$A$1:$C$1, 0))</f>
        <v>Electronics</v>
      </c>
      <c r="J496" t="str">
        <f>_xlfn.XLOOKUP(A496, $A$1:$A$1001, 'Additional Product Info.'!$D$1:$D$1001)</f>
        <v>No</v>
      </c>
      <c r="K496" s="1">
        <f t="shared" si="14"/>
        <v>30239.879999999997</v>
      </c>
      <c r="L496" s="1">
        <f t="shared" si="15"/>
        <v>4.18</v>
      </c>
      <c r="M496" t="str">
        <f>IF(L496&lt;=Statistics!$E$6,"Low Difference",IF('Product Positioning'!L496&gt;=Statistics!$E$4,"High Difference","Moderate Difference"))</f>
        <v>High Difference</v>
      </c>
    </row>
    <row r="497" spans="1:13" x14ac:dyDescent="0.2">
      <c r="A497">
        <v>178198</v>
      </c>
      <c r="B497" s="1">
        <v>40.43</v>
      </c>
      <c r="C497" s="1">
        <v>35.86</v>
      </c>
      <c r="D497">
        <v>2288</v>
      </c>
      <c r="E497" t="str">
        <f>_xlfn.XLOOKUP(A497, 'Customer Information'!$A$1:$A$1001, 'Customer Information'!$B$1:$B$1001)</f>
        <v>Low</v>
      </c>
      <c r="F497" t="str">
        <f>_xlfn.XLOOKUP(A497, 'Customer Information'!$A$1:$A$1001, 'Customer Information'!$C$1:$C$1001)</f>
        <v>College students</v>
      </c>
      <c r="G497" t="str">
        <f>_xlfn.XLOOKUP('Customer Information'!A497, 'Customer Information'!$A$1:$A$1001, 'Customer Information'!$D$1:$D$1001)</f>
        <v>No</v>
      </c>
      <c r="H497" t="str">
        <f>INDEX('Additional Product Info.'!$A$1:$C$1001, MATCH('Product Positioning'!$A497, 'Additional Product Info.'!$A$1:$A$1001, 0), MATCH('Product Positioning'!H$1, 'Additional Product Info.'!$A$1:$C$1, 0))</f>
        <v>Front of Store</v>
      </c>
      <c r="I497" t="str">
        <f>INDEX('Additional Product Info.'!$A$1:$C$1001, MATCH('Product Positioning'!$A497, 'Additional Product Info.'!$A$1:$A$1001, 0), MATCH('Product Positioning'!I$1, 'Additional Product Info.'!$A$1:$C$1, 0))</f>
        <v>Food</v>
      </c>
      <c r="J497" t="str">
        <f>_xlfn.XLOOKUP(A497, $A$1:$A$1001, 'Additional Product Info.'!$D$1:$D$1001)</f>
        <v>No</v>
      </c>
      <c r="K497" s="1">
        <f t="shared" si="14"/>
        <v>92503.84</v>
      </c>
      <c r="L497" s="1">
        <f t="shared" si="15"/>
        <v>4.57</v>
      </c>
      <c r="M497" t="str">
        <f>IF(L497&lt;=Statistics!$E$6,"Low Difference",IF('Product Positioning'!L497&gt;=Statistics!$E$4,"High Difference","Moderate Difference"))</f>
        <v>High Difference</v>
      </c>
    </row>
    <row r="498" spans="1:13" x14ac:dyDescent="0.2">
      <c r="A498">
        <v>173253</v>
      </c>
      <c r="B498" s="1">
        <v>17.43</v>
      </c>
      <c r="C498" s="1">
        <v>16.25</v>
      </c>
      <c r="D498">
        <v>1979</v>
      </c>
      <c r="E498" t="str">
        <f>_xlfn.XLOOKUP(A498, 'Customer Information'!$A$1:$A$1001, 'Customer Information'!$B$1:$B$1001)</f>
        <v>Low</v>
      </c>
      <c r="F498" t="str">
        <f>_xlfn.XLOOKUP(A498, 'Customer Information'!$A$1:$A$1001, 'Customer Information'!$C$1:$C$1001)</f>
        <v>Young adults</v>
      </c>
      <c r="G498" t="str">
        <f>_xlfn.XLOOKUP('Customer Information'!A498, 'Customer Information'!$A$1:$A$1001, 'Customer Information'!$D$1:$D$1001)</f>
        <v>Yes</v>
      </c>
      <c r="H498" t="str">
        <f>INDEX('Additional Product Info.'!$A$1:$C$1001, MATCH('Product Positioning'!$A498, 'Additional Product Info.'!$A$1:$A$1001, 0), MATCH('Product Positioning'!H$1, 'Additional Product Info.'!$A$1:$C$1, 0))</f>
        <v>Front of Store</v>
      </c>
      <c r="I498" t="str">
        <f>INDEX('Additional Product Info.'!$A$1:$C$1001, MATCH('Product Positioning'!$A498, 'Additional Product Info.'!$A$1:$A$1001, 0), MATCH('Product Positioning'!I$1, 'Additional Product Info.'!$A$1:$C$1, 0))</f>
        <v>Electronics</v>
      </c>
      <c r="J498" t="str">
        <f>_xlfn.XLOOKUP(A498, $A$1:$A$1001, 'Additional Product Info.'!$D$1:$D$1001)</f>
        <v>No</v>
      </c>
      <c r="K498" s="1">
        <f t="shared" si="14"/>
        <v>34493.97</v>
      </c>
      <c r="L498" s="1">
        <f t="shared" si="15"/>
        <v>1.1799999999999997</v>
      </c>
      <c r="M498" t="str">
        <f>IF(L498&lt;=Statistics!$E$6,"Low Difference",IF('Product Positioning'!L498&gt;=Statistics!$E$4,"High Difference","Moderate Difference"))</f>
        <v>Moderate Difference</v>
      </c>
    </row>
    <row r="499" spans="1:13" x14ac:dyDescent="0.2">
      <c r="A499">
        <v>131726</v>
      </c>
      <c r="B499" s="1">
        <v>9.26</v>
      </c>
      <c r="C499" s="1">
        <v>6.45</v>
      </c>
      <c r="D499">
        <v>2488</v>
      </c>
      <c r="E499" t="str">
        <f>_xlfn.XLOOKUP(A499, 'Customer Information'!$A$1:$A$1001, 'Customer Information'!$B$1:$B$1001)</f>
        <v>Low</v>
      </c>
      <c r="F499" t="str">
        <f>_xlfn.XLOOKUP(A499, 'Customer Information'!$A$1:$A$1001, 'Customer Information'!$C$1:$C$1001)</f>
        <v>College students</v>
      </c>
      <c r="G499" t="str">
        <f>_xlfn.XLOOKUP('Customer Information'!A499, 'Customer Information'!$A$1:$A$1001, 'Customer Information'!$D$1:$D$1001)</f>
        <v>Yes</v>
      </c>
      <c r="H499" t="str">
        <f>INDEX('Additional Product Info.'!$A$1:$C$1001, MATCH('Product Positioning'!$A499, 'Additional Product Info.'!$A$1:$A$1001, 0), MATCH('Product Positioning'!H$1, 'Additional Product Info.'!$A$1:$C$1, 0))</f>
        <v>End-cap</v>
      </c>
      <c r="I499" t="str">
        <f>INDEX('Additional Product Info.'!$A$1:$C$1001, MATCH('Product Positioning'!$A499, 'Additional Product Info.'!$A$1:$A$1001, 0), MATCH('Product Positioning'!I$1, 'Additional Product Info.'!$A$1:$C$1, 0))</f>
        <v>Clothing</v>
      </c>
      <c r="J499" t="str">
        <f>_xlfn.XLOOKUP(A499, $A$1:$A$1001, 'Additional Product Info.'!$D$1:$D$1001)</f>
        <v>No</v>
      </c>
      <c r="K499" s="1">
        <f t="shared" si="14"/>
        <v>23038.880000000001</v>
      </c>
      <c r="L499" s="1">
        <f t="shared" si="15"/>
        <v>2.8099999999999996</v>
      </c>
      <c r="M499" t="str">
        <f>IF(L499&lt;=Statistics!$E$6,"Low Difference",IF('Product Positioning'!L499&gt;=Statistics!$E$4,"High Difference","Moderate Difference"))</f>
        <v>Moderate Difference</v>
      </c>
    </row>
    <row r="500" spans="1:13" x14ac:dyDescent="0.2">
      <c r="A500">
        <v>153970</v>
      </c>
      <c r="B500" s="1">
        <v>7.44</v>
      </c>
      <c r="C500" s="1">
        <v>5.4</v>
      </c>
      <c r="D500">
        <v>1851</v>
      </c>
      <c r="E500" t="str">
        <f>_xlfn.XLOOKUP(A500, 'Customer Information'!$A$1:$A$1001, 'Customer Information'!$B$1:$B$1001)</f>
        <v>High</v>
      </c>
      <c r="F500" t="str">
        <f>_xlfn.XLOOKUP(A500, 'Customer Information'!$A$1:$A$1001, 'Customer Information'!$C$1:$C$1001)</f>
        <v>Seniors</v>
      </c>
      <c r="G500" t="str">
        <f>_xlfn.XLOOKUP('Customer Information'!A500, 'Customer Information'!$A$1:$A$1001, 'Customer Information'!$D$1:$D$1001)</f>
        <v>Yes</v>
      </c>
      <c r="H500" t="str">
        <f>INDEX('Additional Product Info.'!$A$1:$C$1001, MATCH('Product Positioning'!$A500, 'Additional Product Info.'!$A$1:$A$1001, 0), MATCH('Product Positioning'!H$1, 'Additional Product Info.'!$A$1:$C$1, 0))</f>
        <v>Aisle</v>
      </c>
      <c r="I500" t="str">
        <f>INDEX('Additional Product Info.'!$A$1:$C$1001, MATCH('Product Positioning'!$A500, 'Additional Product Info.'!$A$1:$A$1001, 0), MATCH('Product Positioning'!I$1, 'Additional Product Info.'!$A$1:$C$1, 0))</f>
        <v>Food</v>
      </c>
      <c r="J500" t="str">
        <f>_xlfn.XLOOKUP(A500, $A$1:$A$1001, 'Additional Product Info.'!$D$1:$D$1001)</f>
        <v>Yes</v>
      </c>
      <c r="K500" s="1">
        <f t="shared" si="14"/>
        <v>13771.44</v>
      </c>
      <c r="L500" s="1">
        <f t="shared" si="15"/>
        <v>2.04</v>
      </c>
      <c r="M500" t="str">
        <f>IF(L500&lt;=Statistics!$E$6,"Low Difference",IF('Product Positioning'!L500&gt;=Statistics!$E$4,"High Difference","Moderate Difference"))</f>
        <v>Moderate Difference</v>
      </c>
    </row>
    <row r="501" spans="1:13" x14ac:dyDescent="0.2">
      <c r="A501">
        <v>150686</v>
      </c>
      <c r="B501" s="1">
        <v>44.09</v>
      </c>
      <c r="C501" s="1">
        <v>40.32</v>
      </c>
      <c r="D501">
        <v>2966</v>
      </c>
      <c r="E501" t="str">
        <f>_xlfn.XLOOKUP(A501, 'Customer Information'!$A$1:$A$1001, 'Customer Information'!$B$1:$B$1001)</f>
        <v>Low</v>
      </c>
      <c r="F501" t="str">
        <f>_xlfn.XLOOKUP(A501, 'Customer Information'!$A$1:$A$1001, 'Customer Information'!$C$1:$C$1001)</f>
        <v>College students</v>
      </c>
      <c r="G501" t="str">
        <f>_xlfn.XLOOKUP('Customer Information'!A501, 'Customer Information'!$A$1:$A$1001, 'Customer Information'!$D$1:$D$1001)</f>
        <v>No</v>
      </c>
      <c r="H501" t="str">
        <f>INDEX('Additional Product Info.'!$A$1:$C$1001, MATCH('Product Positioning'!$A501, 'Additional Product Info.'!$A$1:$A$1001, 0), MATCH('Product Positioning'!H$1, 'Additional Product Info.'!$A$1:$C$1, 0))</f>
        <v>Front of Store</v>
      </c>
      <c r="I501" t="str">
        <f>INDEX('Additional Product Info.'!$A$1:$C$1001, MATCH('Product Positioning'!$A501, 'Additional Product Info.'!$A$1:$A$1001, 0), MATCH('Product Positioning'!I$1, 'Additional Product Info.'!$A$1:$C$1, 0))</f>
        <v>Food</v>
      </c>
      <c r="J501" t="str">
        <f>_xlfn.XLOOKUP(A501, $A$1:$A$1001, 'Additional Product Info.'!$D$1:$D$1001)</f>
        <v>Yes</v>
      </c>
      <c r="K501" s="1">
        <f t="shared" si="14"/>
        <v>130770.94000000002</v>
      </c>
      <c r="L501" s="1">
        <f t="shared" si="15"/>
        <v>3.7700000000000031</v>
      </c>
      <c r="M501" t="str">
        <f>IF(L501&lt;=Statistics!$E$6,"Low Difference",IF('Product Positioning'!L501&gt;=Statistics!$E$4,"High Difference","Moderate Difference"))</f>
        <v>High Difference</v>
      </c>
    </row>
    <row r="502" spans="1:13" x14ac:dyDescent="0.2">
      <c r="A502">
        <v>175349</v>
      </c>
      <c r="B502" s="1">
        <v>37.75</v>
      </c>
      <c r="C502" s="1">
        <v>34.49</v>
      </c>
      <c r="D502">
        <v>1322</v>
      </c>
      <c r="E502" t="str">
        <f>_xlfn.XLOOKUP(A502, 'Customer Information'!$A$1:$A$1001, 'Customer Information'!$B$1:$B$1001)</f>
        <v>Medium</v>
      </c>
      <c r="F502" t="str">
        <f>_xlfn.XLOOKUP(A502, 'Customer Information'!$A$1:$A$1001, 'Customer Information'!$C$1:$C$1001)</f>
        <v>Young adults</v>
      </c>
      <c r="G502" t="str">
        <f>_xlfn.XLOOKUP('Customer Information'!A502, 'Customer Information'!$A$1:$A$1001, 'Customer Information'!$D$1:$D$1001)</f>
        <v>No</v>
      </c>
      <c r="H502" t="str">
        <f>INDEX('Additional Product Info.'!$A$1:$C$1001, MATCH('Product Positioning'!$A502, 'Additional Product Info.'!$A$1:$A$1001, 0), MATCH('Product Positioning'!H$1, 'Additional Product Info.'!$A$1:$C$1, 0))</f>
        <v>End-cap</v>
      </c>
      <c r="I502" t="str">
        <f>INDEX('Additional Product Info.'!$A$1:$C$1001, MATCH('Product Positioning'!$A502, 'Additional Product Info.'!$A$1:$A$1001, 0), MATCH('Product Positioning'!I$1, 'Additional Product Info.'!$A$1:$C$1, 0))</f>
        <v>Electronics</v>
      </c>
      <c r="J502" t="str">
        <f>_xlfn.XLOOKUP(A502, $A$1:$A$1001, 'Additional Product Info.'!$D$1:$D$1001)</f>
        <v>No</v>
      </c>
      <c r="K502" s="1">
        <f t="shared" si="14"/>
        <v>49905.5</v>
      </c>
      <c r="L502" s="1">
        <f t="shared" si="15"/>
        <v>3.259999999999998</v>
      </c>
      <c r="M502" t="str">
        <f>IF(L502&lt;=Statistics!$E$6,"Low Difference",IF('Product Positioning'!L502&gt;=Statistics!$E$4,"High Difference","Moderate Difference"))</f>
        <v>Moderate Difference</v>
      </c>
    </row>
    <row r="503" spans="1:13" x14ac:dyDescent="0.2">
      <c r="A503">
        <v>127292</v>
      </c>
      <c r="B503" s="1">
        <v>17.28</v>
      </c>
      <c r="C503" s="1">
        <v>14.4</v>
      </c>
      <c r="D503">
        <v>1070</v>
      </c>
      <c r="E503" t="str">
        <f>_xlfn.XLOOKUP(A503, 'Customer Information'!$A$1:$A$1001, 'Customer Information'!$B$1:$B$1001)</f>
        <v>Medium</v>
      </c>
      <c r="F503" t="str">
        <f>_xlfn.XLOOKUP(A503, 'Customer Information'!$A$1:$A$1001, 'Customer Information'!$C$1:$C$1001)</f>
        <v>Seniors</v>
      </c>
      <c r="G503" t="str">
        <f>_xlfn.XLOOKUP('Customer Information'!A503, 'Customer Information'!$A$1:$A$1001, 'Customer Information'!$D$1:$D$1001)</f>
        <v>No</v>
      </c>
      <c r="H503" t="str">
        <f>INDEX('Additional Product Info.'!$A$1:$C$1001, MATCH('Product Positioning'!$A503, 'Additional Product Info.'!$A$1:$A$1001, 0), MATCH('Product Positioning'!H$1, 'Additional Product Info.'!$A$1:$C$1, 0))</f>
        <v>Aisle</v>
      </c>
      <c r="I503" t="str">
        <f>INDEX('Additional Product Info.'!$A$1:$C$1001, MATCH('Product Positioning'!$A503, 'Additional Product Info.'!$A$1:$A$1001, 0), MATCH('Product Positioning'!I$1, 'Additional Product Info.'!$A$1:$C$1, 0))</f>
        <v>Electronics</v>
      </c>
      <c r="J503" t="str">
        <f>_xlfn.XLOOKUP(A503, $A$1:$A$1001, 'Additional Product Info.'!$D$1:$D$1001)</f>
        <v>No</v>
      </c>
      <c r="K503" s="1">
        <f t="shared" si="14"/>
        <v>18489.600000000002</v>
      </c>
      <c r="L503" s="1">
        <f t="shared" si="15"/>
        <v>2.8800000000000008</v>
      </c>
      <c r="M503" t="str">
        <f>IF(L503&lt;=Statistics!$E$6,"Low Difference",IF('Product Positioning'!L503&gt;=Statistics!$E$4,"High Difference","Moderate Difference"))</f>
        <v>Moderate Difference</v>
      </c>
    </row>
    <row r="504" spans="1:13" x14ac:dyDescent="0.2">
      <c r="A504">
        <v>152568</v>
      </c>
      <c r="B504" s="1">
        <v>6.81</v>
      </c>
      <c r="C504" s="1">
        <v>5.61</v>
      </c>
      <c r="D504">
        <v>2966</v>
      </c>
      <c r="E504" t="str">
        <f>_xlfn.XLOOKUP(A504, 'Customer Information'!$A$1:$A$1001, 'Customer Information'!$B$1:$B$1001)</f>
        <v>Low</v>
      </c>
      <c r="F504" t="str">
        <f>_xlfn.XLOOKUP(A504, 'Customer Information'!$A$1:$A$1001, 'Customer Information'!$C$1:$C$1001)</f>
        <v>Young adults</v>
      </c>
      <c r="G504" t="str">
        <f>_xlfn.XLOOKUP('Customer Information'!A504, 'Customer Information'!$A$1:$A$1001, 'Customer Information'!$D$1:$D$1001)</f>
        <v>Yes</v>
      </c>
      <c r="H504" t="str">
        <f>INDEX('Additional Product Info.'!$A$1:$C$1001, MATCH('Product Positioning'!$A504, 'Additional Product Info.'!$A$1:$A$1001, 0), MATCH('Product Positioning'!H$1, 'Additional Product Info.'!$A$1:$C$1, 0))</f>
        <v>Aisle</v>
      </c>
      <c r="I504" t="str">
        <f>INDEX('Additional Product Info.'!$A$1:$C$1001, MATCH('Product Positioning'!$A504, 'Additional Product Info.'!$A$1:$A$1001, 0), MATCH('Product Positioning'!I$1, 'Additional Product Info.'!$A$1:$C$1, 0))</f>
        <v>Clothing</v>
      </c>
      <c r="J504" t="str">
        <f>_xlfn.XLOOKUP(A504, $A$1:$A$1001, 'Additional Product Info.'!$D$1:$D$1001)</f>
        <v>Yes</v>
      </c>
      <c r="K504" s="1">
        <f t="shared" si="14"/>
        <v>20198.46</v>
      </c>
      <c r="L504" s="1">
        <f t="shared" si="15"/>
        <v>1.1999999999999993</v>
      </c>
      <c r="M504" t="str">
        <f>IF(L504&lt;=Statistics!$E$6,"Low Difference",IF('Product Positioning'!L504&gt;=Statistics!$E$4,"High Difference","Moderate Difference"))</f>
        <v>Moderate Difference</v>
      </c>
    </row>
    <row r="505" spans="1:13" x14ac:dyDescent="0.2">
      <c r="A505">
        <v>135414</v>
      </c>
      <c r="B505" s="1">
        <v>32.97</v>
      </c>
      <c r="C505" s="1">
        <v>30.24</v>
      </c>
      <c r="D505">
        <v>1403</v>
      </c>
      <c r="E505" t="str">
        <f>_xlfn.XLOOKUP(A505, 'Customer Information'!$A$1:$A$1001, 'Customer Information'!$B$1:$B$1001)</f>
        <v>Medium</v>
      </c>
      <c r="F505" t="str">
        <f>_xlfn.XLOOKUP(A505, 'Customer Information'!$A$1:$A$1001, 'Customer Information'!$C$1:$C$1001)</f>
        <v>Young adults</v>
      </c>
      <c r="G505" t="str">
        <f>_xlfn.XLOOKUP('Customer Information'!A505, 'Customer Information'!$A$1:$A$1001, 'Customer Information'!$D$1:$D$1001)</f>
        <v>Yes</v>
      </c>
      <c r="H505" t="str">
        <f>INDEX('Additional Product Info.'!$A$1:$C$1001, MATCH('Product Positioning'!$A505, 'Additional Product Info.'!$A$1:$A$1001, 0), MATCH('Product Positioning'!H$1, 'Additional Product Info.'!$A$1:$C$1, 0))</f>
        <v>End-cap</v>
      </c>
      <c r="I505" t="str">
        <f>INDEX('Additional Product Info.'!$A$1:$C$1001, MATCH('Product Positioning'!$A505, 'Additional Product Info.'!$A$1:$A$1001, 0), MATCH('Product Positioning'!I$1, 'Additional Product Info.'!$A$1:$C$1, 0))</f>
        <v>Electronics</v>
      </c>
      <c r="J505" t="str">
        <f>_xlfn.XLOOKUP(A505, $A$1:$A$1001, 'Additional Product Info.'!$D$1:$D$1001)</f>
        <v>Yes</v>
      </c>
      <c r="K505" s="1">
        <f t="shared" si="14"/>
        <v>46256.909999999996</v>
      </c>
      <c r="L505" s="1">
        <f t="shared" si="15"/>
        <v>2.7300000000000004</v>
      </c>
      <c r="M505" t="str">
        <f>IF(L505&lt;=Statistics!$E$6,"Low Difference",IF('Product Positioning'!L505&gt;=Statistics!$E$4,"High Difference","Moderate Difference"))</f>
        <v>Moderate Difference</v>
      </c>
    </row>
    <row r="506" spans="1:13" x14ac:dyDescent="0.2">
      <c r="A506">
        <v>110319</v>
      </c>
      <c r="B506" s="1">
        <v>6.05</v>
      </c>
      <c r="C506" s="1">
        <v>1.1100000000000001</v>
      </c>
      <c r="D506">
        <v>1775</v>
      </c>
      <c r="E506" t="str">
        <f>_xlfn.XLOOKUP(A506, 'Customer Information'!$A$1:$A$1001, 'Customer Information'!$B$1:$B$1001)</f>
        <v>High</v>
      </c>
      <c r="F506" t="str">
        <f>_xlfn.XLOOKUP(A506, 'Customer Information'!$A$1:$A$1001, 'Customer Information'!$C$1:$C$1001)</f>
        <v>Families</v>
      </c>
      <c r="G506" t="str">
        <f>_xlfn.XLOOKUP('Customer Information'!A506, 'Customer Information'!$A$1:$A$1001, 'Customer Information'!$D$1:$D$1001)</f>
        <v>No</v>
      </c>
      <c r="H506" t="str">
        <f>INDEX('Additional Product Info.'!$A$1:$C$1001, MATCH('Product Positioning'!$A506, 'Additional Product Info.'!$A$1:$A$1001, 0), MATCH('Product Positioning'!H$1, 'Additional Product Info.'!$A$1:$C$1, 0))</f>
        <v>Front of Store</v>
      </c>
      <c r="I506" t="str">
        <f>INDEX('Additional Product Info.'!$A$1:$C$1001, MATCH('Product Positioning'!$A506, 'Additional Product Info.'!$A$1:$A$1001, 0), MATCH('Product Positioning'!I$1, 'Additional Product Info.'!$A$1:$C$1, 0))</f>
        <v>Food</v>
      </c>
      <c r="J506" t="str">
        <f>_xlfn.XLOOKUP(A506, $A$1:$A$1001, 'Additional Product Info.'!$D$1:$D$1001)</f>
        <v>No</v>
      </c>
      <c r="K506" s="1">
        <f t="shared" si="14"/>
        <v>10738.75</v>
      </c>
      <c r="L506" s="1">
        <f t="shared" si="15"/>
        <v>4.9399999999999995</v>
      </c>
      <c r="M506" t="str">
        <f>IF(L506&lt;=Statistics!$E$6,"Low Difference",IF('Product Positioning'!L506&gt;=Statistics!$E$4,"High Difference","Moderate Difference"))</f>
        <v>High Difference</v>
      </c>
    </row>
    <row r="507" spans="1:13" x14ac:dyDescent="0.2">
      <c r="A507">
        <v>174321</v>
      </c>
      <c r="B507" s="1">
        <v>42.95</v>
      </c>
      <c r="C507" s="1">
        <v>42.62</v>
      </c>
      <c r="D507">
        <v>1662</v>
      </c>
      <c r="E507" t="str">
        <f>_xlfn.XLOOKUP(A507, 'Customer Information'!$A$1:$A$1001, 'Customer Information'!$B$1:$B$1001)</f>
        <v>Low</v>
      </c>
      <c r="F507" t="str">
        <f>_xlfn.XLOOKUP(A507, 'Customer Information'!$A$1:$A$1001, 'Customer Information'!$C$1:$C$1001)</f>
        <v>Seniors</v>
      </c>
      <c r="G507" t="str">
        <f>_xlfn.XLOOKUP('Customer Information'!A507, 'Customer Information'!$A$1:$A$1001, 'Customer Information'!$D$1:$D$1001)</f>
        <v>Yes</v>
      </c>
      <c r="H507" t="str">
        <f>INDEX('Additional Product Info.'!$A$1:$C$1001, MATCH('Product Positioning'!$A507, 'Additional Product Info.'!$A$1:$A$1001, 0), MATCH('Product Positioning'!H$1, 'Additional Product Info.'!$A$1:$C$1, 0))</f>
        <v>End-cap</v>
      </c>
      <c r="I507" t="str">
        <f>INDEX('Additional Product Info.'!$A$1:$C$1001, MATCH('Product Positioning'!$A507, 'Additional Product Info.'!$A$1:$A$1001, 0), MATCH('Product Positioning'!I$1, 'Additional Product Info.'!$A$1:$C$1, 0))</f>
        <v>Electronics</v>
      </c>
      <c r="J507" t="str">
        <f>_xlfn.XLOOKUP(A507, $A$1:$A$1001, 'Additional Product Info.'!$D$1:$D$1001)</f>
        <v>No</v>
      </c>
      <c r="K507" s="1">
        <f t="shared" si="14"/>
        <v>71382.900000000009</v>
      </c>
      <c r="L507" s="1">
        <f t="shared" si="15"/>
        <v>0.3300000000000054</v>
      </c>
      <c r="M507" t="str">
        <f>IF(L507&lt;=Statistics!$E$6,"Low Difference",IF('Product Positioning'!L507&gt;=Statistics!$E$4,"High Difference","Moderate Difference"))</f>
        <v>Low Difference</v>
      </c>
    </row>
    <row r="508" spans="1:13" x14ac:dyDescent="0.2">
      <c r="A508">
        <v>143069</v>
      </c>
      <c r="B508" s="1">
        <v>17.23</v>
      </c>
      <c r="C508" s="1">
        <v>13.46</v>
      </c>
      <c r="D508">
        <v>677</v>
      </c>
      <c r="E508" t="str">
        <f>_xlfn.XLOOKUP(A508, 'Customer Information'!$A$1:$A$1001, 'Customer Information'!$B$1:$B$1001)</f>
        <v>High</v>
      </c>
      <c r="F508" t="str">
        <f>_xlfn.XLOOKUP(A508, 'Customer Information'!$A$1:$A$1001, 'Customer Information'!$C$1:$C$1001)</f>
        <v>College students</v>
      </c>
      <c r="G508" t="str">
        <f>_xlfn.XLOOKUP('Customer Information'!A508, 'Customer Information'!$A$1:$A$1001, 'Customer Information'!$D$1:$D$1001)</f>
        <v>No</v>
      </c>
      <c r="H508" t="str">
        <f>INDEX('Additional Product Info.'!$A$1:$C$1001, MATCH('Product Positioning'!$A508, 'Additional Product Info.'!$A$1:$A$1001, 0), MATCH('Product Positioning'!H$1, 'Additional Product Info.'!$A$1:$C$1, 0))</f>
        <v>End-cap</v>
      </c>
      <c r="I508" t="str">
        <f>INDEX('Additional Product Info.'!$A$1:$C$1001, MATCH('Product Positioning'!$A508, 'Additional Product Info.'!$A$1:$A$1001, 0), MATCH('Product Positioning'!I$1, 'Additional Product Info.'!$A$1:$C$1, 0))</f>
        <v>Electronics</v>
      </c>
      <c r="J508" t="str">
        <f>_xlfn.XLOOKUP(A508, $A$1:$A$1001, 'Additional Product Info.'!$D$1:$D$1001)</f>
        <v>Yes</v>
      </c>
      <c r="K508" s="1">
        <f t="shared" si="14"/>
        <v>11664.710000000001</v>
      </c>
      <c r="L508" s="1">
        <f t="shared" si="15"/>
        <v>3.7699999999999996</v>
      </c>
      <c r="M508" t="str">
        <f>IF(L508&lt;=Statistics!$E$6,"Low Difference",IF('Product Positioning'!L508&gt;=Statistics!$E$4,"High Difference","Moderate Difference"))</f>
        <v>High Difference</v>
      </c>
    </row>
    <row r="509" spans="1:13" x14ac:dyDescent="0.2">
      <c r="A509">
        <v>155092</v>
      </c>
      <c r="B509" s="1">
        <v>39.659999999999997</v>
      </c>
      <c r="C509" s="1">
        <v>39.049999999999997</v>
      </c>
      <c r="D509">
        <v>876</v>
      </c>
      <c r="E509" t="str">
        <f>_xlfn.XLOOKUP(A509, 'Customer Information'!$A$1:$A$1001, 'Customer Information'!$B$1:$B$1001)</f>
        <v>High</v>
      </c>
      <c r="F509" t="str">
        <f>_xlfn.XLOOKUP(A509, 'Customer Information'!$A$1:$A$1001, 'Customer Information'!$C$1:$C$1001)</f>
        <v>College students</v>
      </c>
      <c r="G509" t="str">
        <f>_xlfn.XLOOKUP('Customer Information'!A509, 'Customer Information'!$A$1:$A$1001, 'Customer Information'!$D$1:$D$1001)</f>
        <v>Yes</v>
      </c>
      <c r="H509" t="str">
        <f>INDEX('Additional Product Info.'!$A$1:$C$1001, MATCH('Product Positioning'!$A509, 'Additional Product Info.'!$A$1:$A$1001, 0), MATCH('Product Positioning'!H$1, 'Additional Product Info.'!$A$1:$C$1, 0))</f>
        <v>End-cap</v>
      </c>
      <c r="I509" t="str">
        <f>INDEX('Additional Product Info.'!$A$1:$C$1001, MATCH('Product Positioning'!$A509, 'Additional Product Info.'!$A$1:$A$1001, 0), MATCH('Product Positioning'!I$1, 'Additional Product Info.'!$A$1:$C$1, 0))</f>
        <v>Clothing</v>
      </c>
      <c r="J509" t="str">
        <f>_xlfn.XLOOKUP(A509, $A$1:$A$1001, 'Additional Product Info.'!$D$1:$D$1001)</f>
        <v>Yes</v>
      </c>
      <c r="K509" s="1">
        <f t="shared" si="14"/>
        <v>34742.159999999996</v>
      </c>
      <c r="L509" s="1">
        <f t="shared" si="15"/>
        <v>0.60999999999999943</v>
      </c>
      <c r="M509" t="str">
        <f>IF(L509&lt;=Statistics!$E$6,"Low Difference",IF('Product Positioning'!L509&gt;=Statistics!$E$4,"High Difference","Moderate Difference"))</f>
        <v>Low Difference</v>
      </c>
    </row>
    <row r="510" spans="1:13" x14ac:dyDescent="0.2">
      <c r="A510">
        <v>114253</v>
      </c>
      <c r="B510" s="1">
        <v>35.630000000000003</v>
      </c>
      <c r="C510" s="1">
        <v>31.26</v>
      </c>
      <c r="D510">
        <v>1495</v>
      </c>
      <c r="E510" t="str">
        <f>_xlfn.XLOOKUP(A510, 'Customer Information'!$A$1:$A$1001, 'Customer Information'!$B$1:$B$1001)</f>
        <v>Low</v>
      </c>
      <c r="F510" t="str">
        <f>_xlfn.XLOOKUP(A510, 'Customer Information'!$A$1:$A$1001, 'Customer Information'!$C$1:$C$1001)</f>
        <v>College students</v>
      </c>
      <c r="G510" t="str">
        <f>_xlfn.XLOOKUP('Customer Information'!A510, 'Customer Information'!$A$1:$A$1001, 'Customer Information'!$D$1:$D$1001)</f>
        <v>No</v>
      </c>
      <c r="H510" t="str">
        <f>INDEX('Additional Product Info.'!$A$1:$C$1001, MATCH('Product Positioning'!$A510, 'Additional Product Info.'!$A$1:$A$1001, 0), MATCH('Product Positioning'!H$1, 'Additional Product Info.'!$A$1:$C$1, 0))</f>
        <v>Front of Store</v>
      </c>
      <c r="I510" t="str">
        <f>INDEX('Additional Product Info.'!$A$1:$C$1001, MATCH('Product Positioning'!$A510, 'Additional Product Info.'!$A$1:$A$1001, 0), MATCH('Product Positioning'!I$1, 'Additional Product Info.'!$A$1:$C$1, 0))</f>
        <v>Electronics</v>
      </c>
      <c r="J510" t="str">
        <f>_xlfn.XLOOKUP(A510, $A$1:$A$1001, 'Additional Product Info.'!$D$1:$D$1001)</f>
        <v>No</v>
      </c>
      <c r="K510" s="1">
        <f t="shared" si="14"/>
        <v>53266.850000000006</v>
      </c>
      <c r="L510" s="1">
        <f t="shared" si="15"/>
        <v>4.370000000000001</v>
      </c>
      <c r="M510" t="str">
        <f>IF(L510&lt;=Statistics!$E$6,"Low Difference",IF('Product Positioning'!L510&gt;=Statistics!$E$4,"High Difference","Moderate Difference"))</f>
        <v>High Difference</v>
      </c>
    </row>
    <row r="511" spans="1:13" x14ac:dyDescent="0.2">
      <c r="A511">
        <v>177321</v>
      </c>
      <c r="B511" s="1">
        <v>31.78</v>
      </c>
      <c r="C511" s="1">
        <v>31.35</v>
      </c>
      <c r="D511">
        <v>2286</v>
      </c>
      <c r="E511" t="str">
        <f>_xlfn.XLOOKUP(A511, 'Customer Information'!$A$1:$A$1001, 'Customer Information'!$B$1:$B$1001)</f>
        <v>Low</v>
      </c>
      <c r="F511" t="str">
        <f>_xlfn.XLOOKUP(A511, 'Customer Information'!$A$1:$A$1001, 'Customer Information'!$C$1:$C$1001)</f>
        <v>Families</v>
      </c>
      <c r="G511" t="str">
        <f>_xlfn.XLOOKUP('Customer Information'!A511, 'Customer Information'!$A$1:$A$1001, 'Customer Information'!$D$1:$D$1001)</f>
        <v>No</v>
      </c>
      <c r="H511" t="str">
        <f>INDEX('Additional Product Info.'!$A$1:$C$1001, MATCH('Product Positioning'!$A511, 'Additional Product Info.'!$A$1:$A$1001, 0), MATCH('Product Positioning'!H$1, 'Additional Product Info.'!$A$1:$C$1, 0))</f>
        <v>End-cap</v>
      </c>
      <c r="I511" t="str">
        <f>INDEX('Additional Product Info.'!$A$1:$C$1001, MATCH('Product Positioning'!$A511, 'Additional Product Info.'!$A$1:$A$1001, 0), MATCH('Product Positioning'!I$1, 'Additional Product Info.'!$A$1:$C$1, 0))</f>
        <v>Clothing</v>
      </c>
      <c r="J511" t="str">
        <f>_xlfn.XLOOKUP(A511, $A$1:$A$1001, 'Additional Product Info.'!$D$1:$D$1001)</f>
        <v>Yes</v>
      </c>
      <c r="K511" s="1">
        <f t="shared" si="14"/>
        <v>72649.08</v>
      </c>
      <c r="L511" s="1">
        <f t="shared" si="15"/>
        <v>0.42999999999999972</v>
      </c>
      <c r="M511" t="str">
        <f>IF(L511&lt;=Statistics!$E$6,"Low Difference",IF('Product Positioning'!L511&gt;=Statistics!$E$4,"High Difference","Moderate Difference"))</f>
        <v>Low Difference</v>
      </c>
    </row>
    <row r="512" spans="1:13" x14ac:dyDescent="0.2">
      <c r="A512">
        <v>130550</v>
      </c>
      <c r="B512" s="1">
        <v>6.61</v>
      </c>
      <c r="C512" s="1">
        <v>5.61</v>
      </c>
      <c r="D512">
        <v>1698</v>
      </c>
      <c r="E512" t="str">
        <f>_xlfn.XLOOKUP(A512, 'Customer Information'!$A$1:$A$1001, 'Customer Information'!$B$1:$B$1001)</f>
        <v>Medium</v>
      </c>
      <c r="F512" t="str">
        <f>_xlfn.XLOOKUP(A512, 'Customer Information'!$A$1:$A$1001, 'Customer Information'!$C$1:$C$1001)</f>
        <v>Young adults</v>
      </c>
      <c r="G512" t="str">
        <f>_xlfn.XLOOKUP('Customer Information'!A512, 'Customer Information'!$A$1:$A$1001, 'Customer Information'!$D$1:$D$1001)</f>
        <v>Yes</v>
      </c>
      <c r="H512" t="str">
        <f>INDEX('Additional Product Info.'!$A$1:$C$1001, MATCH('Product Positioning'!$A512, 'Additional Product Info.'!$A$1:$A$1001, 0), MATCH('Product Positioning'!H$1, 'Additional Product Info.'!$A$1:$C$1, 0))</f>
        <v>Aisle</v>
      </c>
      <c r="I512" t="str">
        <f>INDEX('Additional Product Info.'!$A$1:$C$1001, MATCH('Product Positioning'!$A512, 'Additional Product Info.'!$A$1:$A$1001, 0), MATCH('Product Positioning'!I$1, 'Additional Product Info.'!$A$1:$C$1, 0))</f>
        <v>Food</v>
      </c>
      <c r="J512" t="str">
        <f>_xlfn.XLOOKUP(A512, $A$1:$A$1001, 'Additional Product Info.'!$D$1:$D$1001)</f>
        <v>No</v>
      </c>
      <c r="K512" s="1">
        <f t="shared" si="14"/>
        <v>11223.78</v>
      </c>
      <c r="L512" s="1">
        <f t="shared" si="15"/>
        <v>1</v>
      </c>
      <c r="M512" t="str">
        <f>IF(L512&lt;=Statistics!$E$6,"Low Difference",IF('Product Positioning'!L512&gt;=Statistics!$E$4,"High Difference","Moderate Difference"))</f>
        <v>Low Difference</v>
      </c>
    </row>
    <row r="513" spans="1:13" x14ac:dyDescent="0.2">
      <c r="A513">
        <v>152773</v>
      </c>
      <c r="B513" s="1">
        <v>49.74</v>
      </c>
      <c r="C513" s="1">
        <v>46.3</v>
      </c>
      <c r="D513">
        <v>2148</v>
      </c>
      <c r="E513" t="str">
        <f>_xlfn.XLOOKUP(A513, 'Customer Information'!$A$1:$A$1001, 'Customer Information'!$B$1:$B$1001)</f>
        <v>Medium</v>
      </c>
      <c r="F513" t="str">
        <f>_xlfn.XLOOKUP(A513, 'Customer Information'!$A$1:$A$1001, 'Customer Information'!$C$1:$C$1001)</f>
        <v>College students</v>
      </c>
      <c r="G513" t="str">
        <f>_xlfn.XLOOKUP('Customer Information'!A513, 'Customer Information'!$A$1:$A$1001, 'Customer Information'!$D$1:$D$1001)</f>
        <v>No</v>
      </c>
      <c r="H513" t="str">
        <f>INDEX('Additional Product Info.'!$A$1:$C$1001, MATCH('Product Positioning'!$A513, 'Additional Product Info.'!$A$1:$A$1001, 0), MATCH('Product Positioning'!H$1, 'Additional Product Info.'!$A$1:$C$1, 0))</f>
        <v>Front of Store</v>
      </c>
      <c r="I513" t="str">
        <f>INDEX('Additional Product Info.'!$A$1:$C$1001, MATCH('Product Positioning'!$A513, 'Additional Product Info.'!$A$1:$A$1001, 0), MATCH('Product Positioning'!I$1, 'Additional Product Info.'!$A$1:$C$1, 0))</f>
        <v>Clothing</v>
      </c>
      <c r="J513" t="str">
        <f>_xlfn.XLOOKUP(A513, $A$1:$A$1001, 'Additional Product Info.'!$D$1:$D$1001)</f>
        <v>Yes</v>
      </c>
      <c r="K513" s="1">
        <f t="shared" si="14"/>
        <v>106841.52</v>
      </c>
      <c r="L513" s="1">
        <f t="shared" si="15"/>
        <v>3.4400000000000048</v>
      </c>
      <c r="M513" t="str">
        <f>IF(L513&lt;=Statistics!$E$6,"Low Difference",IF('Product Positioning'!L513&gt;=Statistics!$E$4,"High Difference","Moderate Difference"))</f>
        <v>Moderate Difference</v>
      </c>
    </row>
    <row r="514" spans="1:13" x14ac:dyDescent="0.2">
      <c r="A514">
        <v>175790</v>
      </c>
      <c r="B514" s="1">
        <v>21.18</v>
      </c>
      <c r="C514" s="1">
        <v>18.05</v>
      </c>
      <c r="D514">
        <v>1788</v>
      </c>
      <c r="E514" t="str">
        <f>_xlfn.XLOOKUP(A514, 'Customer Information'!$A$1:$A$1001, 'Customer Information'!$B$1:$B$1001)</f>
        <v>Medium</v>
      </c>
      <c r="F514" t="str">
        <f>_xlfn.XLOOKUP(A514, 'Customer Information'!$A$1:$A$1001, 'Customer Information'!$C$1:$C$1001)</f>
        <v>College students</v>
      </c>
      <c r="G514" t="str">
        <f>_xlfn.XLOOKUP('Customer Information'!A514, 'Customer Information'!$A$1:$A$1001, 'Customer Information'!$D$1:$D$1001)</f>
        <v>Yes</v>
      </c>
      <c r="H514" t="str">
        <f>INDEX('Additional Product Info.'!$A$1:$C$1001, MATCH('Product Positioning'!$A514, 'Additional Product Info.'!$A$1:$A$1001, 0), MATCH('Product Positioning'!H$1, 'Additional Product Info.'!$A$1:$C$1, 0))</f>
        <v>Aisle</v>
      </c>
      <c r="I514" t="str">
        <f>INDEX('Additional Product Info.'!$A$1:$C$1001, MATCH('Product Positioning'!$A514, 'Additional Product Info.'!$A$1:$A$1001, 0), MATCH('Product Positioning'!I$1, 'Additional Product Info.'!$A$1:$C$1, 0))</f>
        <v>Food</v>
      </c>
      <c r="J514" t="str">
        <f>_xlfn.XLOOKUP(A514, $A$1:$A$1001, 'Additional Product Info.'!$D$1:$D$1001)</f>
        <v>Yes</v>
      </c>
      <c r="K514" s="1">
        <f t="shared" ref="K514:K577" si="16">B514*D514</f>
        <v>37869.839999999997</v>
      </c>
      <c r="L514" s="1">
        <f t="shared" ref="L514:L577" si="17">ABS(B514-C514)</f>
        <v>3.129999999999999</v>
      </c>
      <c r="M514" t="str">
        <f>IF(L514&lt;=Statistics!$E$6,"Low Difference",IF('Product Positioning'!L514&gt;=Statistics!$E$4,"High Difference","Moderate Difference"))</f>
        <v>Moderate Difference</v>
      </c>
    </row>
    <row r="515" spans="1:13" x14ac:dyDescent="0.2">
      <c r="A515">
        <v>126957</v>
      </c>
      <c r="B515" s="1">
        <v>36.950000000000003</v>
      </c>
      <c r="C515" s="1">
        <v>34.299999999999997</v>
      </c>
      <c r="D515">
        <v>1809</v>
      </c>
      <c r="E515" t="str">
        <f>_xlfn.XLOOKUP(A515, 'Customer Information'!$A$1:$A$1001, 'Customer Information'!$B$1:$B$1001)</f>
        <v>High</v>
      </c>
      <c r="F515" t="str">
        <f>_xlfn.XLOOKUP(A515, 'Customer Information'!$A$1:$A$1001, 'Customer Information'!$C$1:$C$1001)</f>
        <v>Families</v>
      </c>
      <c r="G515" t="str">
        <f>_xlfn.XLOOKUP('Customer Information'!A515, 'Customer Information'!$A$1:$A$1001, 'Customer Information'!$D$1:$D$1001)</f>
        <v>No</v>
      </c>
      <c r="H515" t="str">
        <f>INDEX('Additional Product Info.'!$A$1:$C$1001, MATCH('Product Positioning'!$A515, 'Additional Product Info.'!$A$1:$A$1001, 0), MATCH('Product Positioning'!H$1, 'Additional Product Info.'!$A$1:$C$1, 0))</f>
        <v>Front of Store</v>
      </c>
      <c r="I515" t="str">
        <f>INDEX('Additional Product Info.'!$A$1:$C$1001, MATCH('Product Positioning'!$A515, 'Additional Product Info.'!$A$1:$A$1001, 0), MATCH('Product Positioning'!I$1, 'Additional Product Info.'!$A$1:$C$1, 0))</f>
        <v>Clothing</v>
      </c>
      <c r="J515" t="str">
        <f>_xlfn.XLOOKUP(A515, $A$1:$A$1001, 'Additional Product Info.'!$D$1:$D$1001)</f>
        <v>Yes</v>
      </c>
      <c r="K515" s="1">
        <f t="shared" si="16"/>
        <v>66842.55</v>
      </c>
      <c r="L515" s="1">
        <f t="shared" si="17"/>
        <v>2.6500000000000057</v>
      </c>
      <c r="M515" t="str">
        <f>IF(L515&lt;=Statistics!$E$6,"Low Difference",IF('Product Positioning'!L515&gt;=Statistics!$E$4,"High Difference","Moderate Difference"))</f>
        <v>Moderate Difference</v>
      </c>
    </row>
    <row r="516" spans="1:13" x14ac:dyDescent="0.2">
      <c r="A516">
        <v>178874</v>
      </c>
      <c r="B516" s="1">
        <v>34.22</v>
      </c>
      <c r="C516" s="1">
        <v>31.38</v>
      </c>
      <c r="D516">
        <v>952</v>
      </c>
      <c r="E516" t="str">
        <f>_xlfn.XLOOKUP(A516, 'Customer Information'!$A$1:$A$1001, 'Customer Information'!$B$1:$B$1001)</f>
        <v>High</v>
      </c>
      <c r="F516" t="str">
        <f>_xlfn.XLOOKUP(A516, 'Customer Information'!$A$1:$A$1001, 'Customer Information'!$C$1:$C$1001)</f>
        <v>Seniors</v>
      </c>
      <c r="G516" t="str">
        <f>_xlfn.XLOOKUP('Customer Information'!A516, 'Customer Information'!$A$1:$A$1001, 'Customer Information'!$D$1:$D$1001)</f>
        <v>No</v>
      </c>
      <c r="H516" t="str">
        <f>INDEX('Additional Product Info.'!$A$1:$C$1001, MATCH('Product Positioning'!$A516, 'Additional Product Info.'!$A$1:$A$1001, 0), MATCH('Product Positioning'!H$1, 'Additional Product Info.'!$A$1:$C$1, 0))</f>
        <v>Aisle</v>
      </c>
      <c r="I516" t="str">
        <f>INDEX('Additional Product Info.'!$A$1:$C$1001, MATCH('Product Positioning'!$A516, 'Additional Product Info.'!$A$1:$A$1001, 0), MATCH('Product Positioning'!I$1, 'Additional Product Info.'!$A$1:$C$1, 0))</f>
        <v>Clothing</v>
      </c>
      <c r="J516" t="str">
        <f>_xlfn.XLOOKUP(A516, $A$1:$A$1001, 'Additional Product Info.'!$D$1:$D$1001)</f>
        <v>Yes</v>
      </c>
      <c r="K516" s="1">
        <f t="shared" si="16"/>
        <v>32577.439999999999</v>
      </c>
      <c r="L516" s="1">
        <f t="shared" si="17"/>
        <v>2.84</v>
      </c>
      <c r="M516" t="str">
        <f>IF(L516&lt;=Statistics!$E$6,"Low Difference",IF('Product Positioning'!L516&gt;=Statistics!$E$4,"High Difference","Moderate Difference"))</f>
        <v>Moderate Difference</v>
      </c>
    </row>
    <row r="517" spans="1:13" x14ac:dyDescent="0.2">
      <c r="A517">
        <v>195207</v>
      </c>
      <c r="B517" s="1">
        <v>26.14</v>
      </c>
      <c r="C517" s="1">
        <v>24.73</v>
      </c>
      <c r="D517">
        <v>1716</v>
      </c>
      <c r="E517" t="str">
        <f>_xlfn.XLOOKUP(A517, 'Customer Information'!$A$1:$A$1001, 'Customer Information'!$B$1:$B$1001)</f>
        <v>High</v>
      </c>
      <c r="F517" t="str">
        <f>_xlfn.XLOOKUP(A517, 'Customer Information'!$A$1:$A$1001, 'Customer Information'!$C$1:$C$1001)</f>
        <v>Young adults</v>
      </c>
      <c r="G517" t="str">
        <f>_xlfn.XLOOKUP('Customer Information'!A517, 'Customer Information'!$A$1:$A$1001, 'Customer Information'!$D$1:$D$1001)</f>
        <v>Yes</v>
      </c>
      <c r="H517" t="str">
        <f>INDEX('Additional Product Info.'!$A$1:$C$1001, MATCH('Product Positioning'!$A517, 'Additional Product Info.'!$A$1:$A$1001, 0), MATCH('Product Positioning'!H$1, 'Additional Product Info.'!$A$1:$C$1, 0))</f>
        <v>Front of Store</v>
      </c>
      <c r="I517" t="str">
        <f>INDEX('Additional Product Info.'!$A$1:$C$1001, MATCH('Product Positioning'!$A517, 'Additional Product Info.'!$A$1:$A$1001, 0), MATCH('Product Positioning'!I$1, 'Additional Product Info.'!$A$1:$C$1, 0))</f>
        <v>Electronics</v>
      </c>
      <c r="J517" t="str">
        <f>_xlfn.XLOOKUP(A517, $A$1:$A$1001, 'Additional Product Info.'!$D$1:$D$1001)</f>
        <v>No</v>
      </c>
      <c r="K517" s="1">
        <f t="shared" si="16"/>
        <v>44856.24</v>
      </c>
      <c r="L517" s="1">
        <f t="shared" si="17"/>
        <v>1.4100000000000001</v>
      </c>
      <c r="M517" t="str">
        <f>IF(L517&lt;=Statistics!$E$6,"Low Difference",IF('Product Positioning'!L517&gt;=Statistics!$E$4,"High Difference","Moderate Difference"))</f>
        <v>Moderate Difference</v>
      </c>
    </row>
    <row r="518" spans="1:13" x14ac:dyDescent="0.2">
      <c r="A518">
        <v>157384</v>
      </c>
      <c r="B518" s="1">
        <v>24.53</v>
      </c>
      <c r="C518" s="1">
        <v>23.54</v>
      </c>
      <c r="D518">
        <v>2479</v>
      </c>
      <c r="E518" t="str">
        <f>_xlfn.XLOOKUP(A518, 'Customer Information'!$A$1:$A$1001, 'Customer Information'!$B$1:$B$1001)</f>
        <v>High</v>
      </c>
      <c r="F518" t="str">
        <f>_xlfn.XLOOKUP(A518, 'Customer Information'!$A$1:$A$1001, 'Customer Information'!$C$1:$C$1001)</f>
        <v>Seniors</v>
      </c>
      <c r="G518" t="str">
        <f>_xlfn.XLOOKUP('Customer Information'!A518, 'Customer Information'!$A$1:$A$1001, 'Customer Information'!$D$1:$D$1001)</f>
        <v>Yes</v>
      </c>
      <c r="H518" t="str">
        <f>INDEX('Additional Product Info.'!$A$1:$C$1001, MATCH('Product Positioning'!$A518, 'Additional Product Info.'!$A$1:$A$1001, 0), MATCH('Product Positioning'!H$1, 'Additional Product Info.'!$A$1:$C$1, 0))</f>
        <v>End-cap</v>
      </c>
      <c r="I518" t="str">
        <f>INDEX('Additional Product Info.'!$A$1:$C$1001, MATCH('Product Positioning'!$A518, 'Additional Product Info.'!$A$1:$A$1001, 0), MATCH('Product Positioning'!I$1, 'Additional Product Info.'!$A$1:$C$1, 0))</f>
        <v>Clothing</v>
      </c>
      <c r="J518" t="str">
        <f>_xlfn.XLOOKUP(A518, $A$1:$A$1001, 'Additional Product Info.'!$D$1:$D$1001)</f>
        <v>No</v>
      </c>
      <c r="K518" s="1">
        <f t="shared" si="16"/>
        <v>60809.87</v>
      </c>
      <c r="L518" s="1">
        <f t="shared" si="17"/>
        <v>0.99000000000000199</v>
      </c>
      <c r="M518" t="str">
        <f>IF(L518&lt;=Statistics!$E$6,"Low Difference",IF('Product Positioning'!L518&gt;=Statistics!$E$4,"High Difference","Moderate Difference"))</f>
        <v>Low Difference</v>
      </c>
    </row>
    <row r="519" spans="1:13" x14ac:dyDescent="0.2">
      <c r="A519">
        <v>110980</v>
      </c>
      <c r="B519" s="1">
        <v>11.77</v>
      </c>
      <c r="C519" s="1">
        <v>8.42</v>
      </c>
      <c r="D519">
        <v>1610</v>
      </c>
      <c r="E519" t="str">
        <f>_xlfn.XLOOKUP(A519, 'Customer Information'!$A$1:$A$1001, 'Customer Information'!$B$1:$B$1001)</f>
        <v>Medium</v>
      </c>
      <c r="F519" t="str">
        <f>_xlfn.XLOOKUP(A519, 'Customer Information'!$A$1:$A$1001, 'Customer Information'!$C$1:$C$1001)</f>
        <v>Young adults</v>
      </c>
      <c r="G519" t="str">
        <f>_xlfn.XLOOKUP('Customer Information'!A519, 'Customer Information'!$A$1:$A$1001, 'Customer Information'!$D$1:$D$1001)</f>
        <v>No</v>
      </c>
      <c r="H519" t="str">
        <f>INDEX('Additional Product Info.'!$A$1:$C$1001, MATCH('Product Positioning'!$A519, 'Additional Product Info.'!$A$1:$A$1001, 0), MATCH('Product Positioning'!H$1, 'Additional Product Info.'!$A$1:$C$1, 0))</f>
        <v>Aisle</v>
      </c>
      <c r="I519" t="str">
        <f>INDEX('Additional Product Info.'!$A$1:$C$1001, MATCH('Product Positioning'!$A519, 'Additional Product Info.'!$A$1:$A$1001, 0), MATCH('Product Positioning'!I$1, 'Additional Product Info.'!$A$1:$C$1, 0))</f>
        <v>Electronics</v>
      </c>
      <c r="J519" t="str">
        <f>_xlfn.XLOOKUP(A519, $A$1:$A$1001, 'Additional Product Info.'!$D$1:$D$1001)</f>
        <v>Yes</v>
      </c>
      <c r="K519" s="1">
        <f t="shared" si="16"/>
        <v>18949.7</v>
      </c>
      <c r="L519" s="1">
        <f t="shared" si="17"/>
        <v>3.3499999999999996</v>
      </c>
      <c r="M519" t="str">
        <f>IF(L519&lt;=Statistics!$E$6,"Low Difference",IF('Product Positioning'!L519&gt;=Statistics!$E$4,"High Difference","Moderate Difference"))</f>
        <v>Moderate Difference</v>
      </c>
    </row>
    <row r="520" spans="1:13" x14ac:dyDescent="0.2">
      <c r="A520">
        <v>144539</v>
      </c>
      <c r="B520" s="1">
        <v>28.83</v>
      </c>
      <c r="C520" s="1">
        <v>24.6</v>
      </c>
      <c r="D520">
        <v>2162</v>
      </c>
      <c r="E520" t="str">
        <f>_xlfn.XLOOKUP(A520, 'Customer Information'!$A$1:$A$1001, 'Customer Information'!$B$1:$B$1001)</f>
        <v>High</v>
      </c>
      <c r="F520" t="str">
        <f>_xlfn.XLOOKUP(A520, 'Customer Information'!$A$1:$A$1001, 'Customer Information'!$C$1:$C$1001)</f>
        <v>Families</v>
      </c>
      <c r="G520" t="str">
        <f>_xlfn.XLOOKUP('Customer Information'!A520, 'Customer Information'!$A$1:$A$1001, 'Customer Information'!$D$1:$D$1001)</f>
        <v>No</v>
      </c>
      <c r="H520" t="str">
        <f>INDEX('Additional Product Info.'!$A$1:$C$1001, MATCH('Product Positioning'!$A520, 'Additional Product Info.'!$A$1:$A$1001, 0), MATCH('Product Positioning'!H$1, 'Additional Product Info.'!$A$1:$C$1, 0))</f>
        <v>Front of Store</v>
      </c>
      <c r="I520" t="str">
        <f>INDEX('Additional Product Info.'!$A$1:$C$1001, MATCH('Product Positioning'!$A520, 'Additional Product Info.'!$A$1:$A$1001, 0), MATCH('Product Positioning'!I$1, 'Additional Product Info.'!$A$1:$C$1, 0))</f>
        <v>Food</v>
      </c>
      <c r="J520" t="str">
        <f>_xlfn.XLOOKUP(A520, $A$1:$A$1001, 'Additional Product Info.'!$D$1:$D$1001)</f>
        <v>Yes</v>
      </c>
      <c r="K520" s="1">
        <f t="shared" si="16"/>
        <v>62330.46</v>
      </c>
      <c r="L520" s="1">
        <f t="shared" si="17"/>
        <v>4.2299999999999969</v>
      </c>
      <c r="M520" t="str">
        <f>IF(L520&lt;=Statistics!$E$6,"Low Difference",IF('Product Positioning'!L520&gt;=Statistics!$E$4,"High Difference","Moderate Difference"))</f>
        <v>High Difference</v>
      </c>
    </row>
    <row r="521" spans="1:13" x14ac:dyDescent="0.2">
      <c r="A521">
        <v>156638</v>
      </c>
      <c r="B521" s="1">
        <v>42.21</v>
      </c>
      <c r="C521" s="1">
        <v>38.19</v>
      </c>
      <c r="D521">
        <v>1539</v>
      </c>
      <c r="E521" t="str">
        <f>_xlfn.XLOOKUP(A521, 'Customer Information'!$A$1:$A$1001, 'Customer Information'!$B$1:$B$1001)</f>
        <v>Medium</v>
      </c>
      <c r="F521" t="str">
        <f>_xlfn.XLOOKUP(A521, 'Customer Information'!$A$1:$A$1001, 'Customer Information'!$C$1:$C$1001)</f>
        <v>Seniors</v>
      </c>
      <c r="G521" t="str">
        <f>_xlfn.XLOOKUP('Customer Information'!A521, 'Customer Information'!$A$1:$A$1001, 'Customer Information'!$D$1:$D$1001)</f>
        <v>Yes</v>
      </c>
      <c r="H521" t="str">
        <f>INDEX('Additional Product Info.'!$A$1:$C$1001, MATCH('Product Positioning'!$A521, 'Additional Product Info.'!$A$1:$A$1001, 0), MATCH('Product Positioning'!H$1, 'Additional Product Info.'!$A$1:$C$1, 0))</f>
        <v>Front of Store</v>
      </c>
      <c r="I521" t="str">
        <f>INDEX('Additional Product Info.'!$A$1:$C$1001, MATCH('Product Positioning'!$A521, 'Additional Product Info.'!$A$1:$A$1001, 0), MATCH('Product Positioning'!I$1, 'Additional Product Info.'!$A$1:$C$1, 0))</f>
        <v>Food</v>
      </c>
      <c r="J521" t="str">
        <f>_xlfn.XLOOKUP(A521, $A$1:$A$1001, 'Additional Product Info.'!$D$1:$D$1001)</f>
        <v>Yes</v>
      </c>
      <c r="K521" s="1">
        <f t="shared" si="16"/>
        <v>64961.19</v>
      </c>
      <c r="L521" s="1">
        <f t="shared" si="17"/>
        <v>4.0200000000000031</v>
      </c>
      <c r="M521" t="str">
        <f>IF(L521&lt;=Statistics!$E$6,"Low Difference",IF('Product Positioning'!L521&gt;=Statistics!$E$4,"High Difference","Moderate Difference"))</f>
        <v>High Difference</v>
      </c>
    </row>
    <row r="522" spans="1:13" x14ac:dyDescent="0.2">
      <c r="A522">
        <v>135717</v>
      </c>
      <c r="B522" s="1">
        <v>31.74</v>
      </c>
      <c r="C522" s="1">
        <v>30.41</v>
      </c>
      <c r="D522">
        <v>743</v>
      </c>
      <c r="E522" t="str">
        <f>_xlfn.XLOOKUP(A522, 'Customer Information'!$A$1:$A$1001, 'Customer Information'!$B$1:$B$1001)</f>
        <v>Medium</v>
      </c>
      <c r="F522" t="str">
        <f>_xlfn.XLOOKUP(A522, 'Customer Information'!$A$1:$A$1001, 'Customer Information'!$C$1:$C$1001)</f>
        <v>Families</v>
      </c>
      <c r="G522" t="str">
        <f>_xlfn.XLOOKUP('Customer Information'!A522, 'Customer Information'!$A$1:$A$1001, 'Customer Information'!$D$1:$D$1001)</f>
        <v>No</v>
      </c>
      <c r="H522" t="str">
        <f>INDEX('Additional Product Info.'!$A$1:$C$1001, MATCH('Product Positioning'!$A522, 'Additional Product Info.'!$A$1:$A$1001, 0), MATCH('Product Positioning'!H$1, 'Additional Product Info.'!$A$1:$C$1, 0))</f>
        <v>Aisle</v>
      </c>
      <c r="I522" t="str">
        <f>INDEX('Additional Product Info.'!$A$1:$C$1001, MATCH('Product Positioning'!$A522, 'Additional Product Info.'!$A$1:$A$1001, 0), MATCH('Product Positioning'!I$1, 'Additional Product Info.'!$A$1:$C$1, 0))</f>
        <v>Clothing</v>
      </c>
      <c r="J522" t="str">
        <f>_xlfn.XLOOKUP(A522, $A$1:$A$1001, 'Additional Product Info.'!$D$1:$D$1001)</f>
        <v>No</v>
      </c>
      <c r="K522" s="1">
        <f t="shared" si="16"/>
        <v>23582.82</v>
      </c>
      <c r="L522" s="1">
        <f t="shared" si="17"/>
        <v>1.3299999999999983</v>
      </c>
      <c r="M522" t="str">
        <f>IF(L522&lt;=Statistics!$E$6,"Low Difference",IF('Product Positioning'!L522&gt;=Statistics!$E$4,"High Difference","Moderate Difference"))</f>
        <v>Moderate Difference</v>
      </c>
    </row>
    <row r="523" spans="1:13" x14ac:dyDescent="0.2">
      <c r="A523">
        <v>152395</v>
      </c>
      <c r="B523" s="1">
        <v>13.29</v>
      </c>
      <c r="C523" s="1">
        <v>10.199999999999999</v>
      </c>
      <c r="D523">
        <v>1802</v>
      </c>
      <c r="E523" t="str">
        <f>_xlfn.XLOOKUP(A523, 'Customer Information'!$A$1:$A$1001, 'Customer Information'!$B$1:$B$1001)</f>
        <v>High</v>
      </c>
      <c r="F523" t="str">
        <f>_xlfn.XLOOKUP(A523, 'Customer Information'!$A$1:$A$1001, 'Customer Information'!$C$1:$C$1001)</f>
        <v>College students</v>
      </c>
      <c r="G523" t="str">
        <f>_xlfn.XLOOKUP('Customer Information'!A523, 'Customer Information'!$A$1:$A$1001, 'Customer Information'!$D$1:$D$1001)</f>
        <v>No</v>
      </c>
      <c r="H523" t="str">
        <f>INDEX('Additional Product Info.'!$A$1:$C$1001, MATCH('Product Positioning'!$A523, 'Additional Product Info.'!$A$1:$A$1001, 0), MATCH('Product Positioning'!H$1, 'Additional Product Info.'!$A$1:$C$1, 0))</f>
        <v>End-cap</v>
      </c>
      <c r="I523" t="str">
        <f>INDEX('Additional Product Info.'!$A$1:$C$1001, MATCH('Product Positioning'!$A523, 'Additional Product Info.'!$A$1:$A$1001, 0), MATCH('Product Positioning'!I$1, 'Additional Product Info.'!$A$1:$C$1, 0))</f>
        <v>Electronics</v>
      </c>
      <c r="J523" t="str">
        <f>_xlfn.XLOOKUP(A523, $A$1:$A$1001, 'Additional Product Info.'!$D$1:$D$1001)</f>
        <v>No</v>
      </c>
      <c r="K523" s="1">
        <f t="shared" si="16"/>
        <v>23948.579999999998</v>
      </c>
      <c r="L523" s="1">
        <f t="shared" si="17"/>
        <v>3.09</v>
      </c>
      <c r="M523" t="str">
        <f>IF(L523&lt;=Statistics!$E$6,"Low Difference",IF('Product Positioning'!L523&gt;=Statistics!$E$4,"High Difference","Moderate Difference"))</f>
        <v>Moderate Difference</v>
      </c>
    </row>
    <row r="524" spans="1:13" x14ac:dyDescent="0.2">
      <c r="A524">
        <v>160346</v>
      </c>
      <c r="B524" s="1">
        <v>45.45</v>
      </c>
      <c r="C524" s="1">
        <v>42.33</v>
      </c>
      <c r="D524">
        <v>1416</v>
      </c>
      <c r="E524" t="str">
        <f>_xlfn.XLOOKUP(A524, 'Customer Information'!$A$1:$A$1001, 'Customer Information'!$B$1:$B$1001)</f>
        <v>High</v>
      </c>
      <c r="F524" t="str">
        <f>_xlfn.XLOOKUP(A524, 'Customer Information'!$A$1:$A$1001, 'Customer Information'!$C$1:$C$1001)</f>
        <v>Families</v>
      </c>
      <c r="G524" t="str">
        <f>_xlfn.XLOOKUP('Customer Information'!A524, 'Customer Information'!$A$1:$A$1001, 'Customer Information'!$D$1:$D$1001)</f>
        <v>No</v>
      </c>
      <c r="H524" t="str">
        <f>INDEX('Additional Product Info.'!$A$1:$C$1001, MATCH('Product Positioning'!$A524, 'Additional Product Info.'!$A$1:$A$1001, 0), MATCH('Product Positioning'!H$1, 'Additional Product Info.'!$A$1:$C$1, 0))</f>
        <v>Aisle</v>
      </c>
      <c r="I524" t="str">
        <f>INDEX('Additional Product Info.'!$A$1:$C$1001, MATCH('Product Positioning'!$A524, 'Additional Product Info.'!$A$1:$A$1001, 0), MATCH('Product Positioning'!I$1, 'Additional Product Info.'!$A$1:$C$1, 0))</f>
        <v>Electronics</v>
      </c>
      <c r="J524" t="str">
        <f>_xlfn.XLOOKUP(A524, $A$1:$A$1001, 'Additional Product Info.'!$D$1:$D$1001)</f>
        <v>Yes</v>
      </c>
      <c r="K524" s="1">
        <f t="shared" si="16"/>
        <v>64357.200000000004</v>
      </c>
      <c r="L524" s="1">
        <f t="shared" si="17"/>
        <v>3.1200000000000045</v>
      </c>
      <c r="M524" t="str">
        <f>IF(L524&lt;=Statistics!$E$6,"Low Difference",IF('Product Positioning'!L524&gt;=Statistics!$E$4,"High Difference","Moderate Difference"))</f>
        <v>Moderate Difference</v>
      </c>
    </row>
    <row r="525" spans="1:13" x14ac:dyDescent="0.2">
      <c r="A525">
        <v>142963</v>
      </c>
      <c r="B525" s="1">
        <v>30.48</v>
      </c>
      <c r="C525" s="1">
        <v>27.39</v>
      </c>
      <c r="D525">
        <v>1087</v>
      </c>
      <c r="E525" t="str">
        <f>_xlfn.XLOOKUP(A525, 'Customer Information'!$A$1:$A$1001, 'Customer Information'!$B$1:$B$1001)</f>
        <v>Medium</v>
      </c>
      <c r="F525" t="str">
        <f>_xlfn.XLOOKUP(A525, 'Customer Information'!$A$1:$A$1001, 'Customer Information'!$C$1:$C$1001)</f>
        <v>College students</v>
      </c>
      <c r="G525" t="str">
        <f>_xlfn.XLOOKUP('Customer Information'!A525, 'Customer Information'!$A$1:$A$1001, 'Customer Information'!$D$1:$D$1001)</f>
        <v>No</v>
      </c>
      <c r="H525" t="str">
        <f>INDEX('Additional Product Info.'!$A$1:$C$1001, MATCH('Product Positioning'!$A525, 'Additional Product Info.'!$A$1:$A$1001, 0), MATCH('Product Positioning'!H$1, 'Additional Product Info.'!$A$1:$C$1, 0))</f>
        <v>End-cap</v>
      </c>
      <c r="I525" t="str">
        <f>INDEX('Additional Product Info.'!$A$1:$C$1001, MATCH('Product Positioning'!$A525, 'Additional Product Info.'!$A$1:$A$1001, 0), MATCH('Product Positioning'!I$1, 'Additional Product Info.'!$A$1:$C$1, 0))</f>
        <v>Clothing</v>
      </c>
      <c r="J525" t="str">
        <f>_xlfn.XLOOKUP(A525, $A$1:$A$1001, 'Additional Product Info.'!$D$1:$D$1001)</f>
        <v>Yes</v>
      </c>
      <c r="K525" s="1">
        <f t="shared" si="16"/>
        <v>33131.760000000002</v>
      </c>
      <c r="L525" s="1">
        <f t="shared" si="17"/>
        <v>3.09</v>
      </c>
      <c r="M525" t="str">
        <f>IF(L525&lt;=Statistics!$E$6,"Low Difference",IF('Product Positioning'!L525&gt;=Statistics!$E$4,"High Difference","Moderate Difference"))</f>
        <v>Moderate Difference</v>
      </c>
    </row>
    <row r="526" spans="1:13" x14ac:dyDescent="0.2">
      <c r="A526">
        <v>155793</v>
      </c>
      <c r="B526" s="1">
        <v>17.79</v>
      </c>
      <c r="C526" s="1">
        <v>17.61</v>
      </c>
      <c r="D526">
        <v>2225</v>
      </c>
      <c r="E526" t="str">
        <f>_xlfn.XLOOKUP(A526, 'Customer Information'!$A$1:$A$1001, 'Customer Information'!$B$1:$B$1001)</f>
        <v>Medium</v>
      </c>
      <c r="F526" t="str">
        <f>_xlfn.XLOOKUP(A526, 'Customer Information'!$A$1:$A$1001, 'Customer Information'!$C$1:$C$1001)</f>
        <v>Young adults</v>
      </c>
      <c r="G526" t="str">
        <f>_xlfn.XLOOKUP('Customer Information'!A526, 'Customer Information'!$A$1:$A$1001, 'Customer Information'!$D$1:$D$1001)</f>
        <v>No</v>
      </c>
      <c r="H526" t="str">
        <f>INDEX('Additional Product Info.'!$A$1:$C$1001, MATCH('Product Positioning'!$A526, 'Additional Product Info.'!$A$1:$A$1001, 0), MATCH('Product Positioning'!H$1, 'Additional Product Info.'!$A$1:$C$1, 0))</f>
        <v>End-cap</v>
      </c>
      <c r="I526" t="str">
        <f>INDEX('Additional Product Info.'!$A$1:$C$1001, MATCH('Product Positioning'!$A526, 'Additional Product Info.'!$A$1:$A$1001, 0), MATCH('Product Positioning'!I$1, 'Additional Product Info.'!$A$1:$C$1, 0))</f>
        <v>Electronics</v>
      </c>
      <c r="J526" t="str">
        <f>_xlfn.XLOOKUP(A526, $A$1:$A$1001, 'Additional Product Info.'!$D$1:$D$1001)</f>
        <v>Yes</v>
      </c>
      <c r="K526" s="1">
        <f t="shared" si="16"/>
        <v>39582.75</v>
      </c>
      <c r="L526" s="1">
        <f t="shared" si="17"/>
        <v>0.17999999999999972</v>
      </c>
      <c r="M526" t="str">
        <f>IF(L526&lt;=Statistics!$E$6,"Low Difference",IF('Product Positioning'!L526&gt;=Statistics!$E$4,"High Difference","Moderate Difference"))</f>
        <v>Low Difference</v>
      </c>
    </row>
    <row r="527" spans="1:13" x14ac:dyDescent="0.2">
      <c r="A527">
        <v>124413</v>
      </c>
      <c r="B527" s="1">
        <v>30.06</v>
      </c>
      <c r="C527" s="1">
        <v>29.48</v>
      </c>
      <c r="D527">
        <v>1232</v>
      </c>
      <c r="E527" t="str">
        <f>_xlfn.XLOOKUP(A527, 'Customer Information'!$A$1:$A$1001, 'Customer Information'!$B$1:$B$1001)</f>
        <v>High</v>
      </c>
      <c r="F527" t="str">
        <f>_xlfn.XLOOKUP(A527, 'Customer Information'!$A$1:$A$1001, 'Customer Information'!$C$1:$C$1001)</f>
        <v>Families</v>
      </c>
      <c r="G527" t="str">
        <f>_xlfn.XLOOKUP('Customer Information'!A527, 'Customer Information'!$A$1:$A$1001, 'Customer Information'!$D$1:$D$1001)</f>
        <v>No</v>
      </c>
      <c r="H527" t="str">
        <f>INDEX('Additional Product Info.'!$A$1:$C$1001, MATCH('Product Positioning'!$A527, 'Additional Product Info.'!$A$1:$A$1001, 0), MATCH('Product Positioning'!H$1, 'Additional Product Info.'!$A$1:$C$1, 0))</f>
        <v>Front of Store</v>
      </c>
      <c r="I527" t="str">
        <f>INDEX('Additional Product Info.'!$A$1:$C$1001, MATCH('Product Positioning'!$A527, 'Additional Product Info.'!$A$1:$A$1001, 0), MATCH('Product Positioning'!I$1, 'Additional Product Info.'!$A$1:$C$1, 0))</f>
        <v>Food</v>
      </c>
      <c r="J527" t="str">
        <f>_xlfn.XLOOKUP(A527, $A$1:$A$1001, 'Additional Product Info.'!$D$1:$D$1001)</f>
        <v>Yes</v>
      </c>
      <c r="K527" s="1">
        <f t="shared" si="16"/>
        <v>37033.919999999998</v>
      </c>
      <c r="L527" s="1">
        <f t="shared" si="17"/>
        <v>0.57999999999999829</v>
      </c>
      <c r="M527" t="str">
        <f>IF(L527&lt;=Statistics!$E$6,"Low Difference",IF('Product Positioning'!L527&gt;=Statistics!$E$4,"High Difference","Moderate Difference"))</f>
        <v>Low Difference</v>
      </c>
    </row>
    <row r="528" spans="1:13" x14ac:dyDescent="0.2">
      <c r="A528">
        <v>160541</v>
      </c>
      <c r="B528" s="1">
        <v>24.79</v>
      </c>
      <c r="C528" s="1">
        <v>21.25</v>
      </c>
      <c r="D528">
        <v>1311</v>
      </c>
      <c r="E528" t="str">
        <f>_xlfn.XLOOKUP(A528, 'Customer Information'!$A$1:$A$1001, 'Customer Information'!$B$1:$B$1001)</f>
        <v>High</v>
      </c>
      <c r="F528" t="str">
        <f>_xlfn.XLOOKUP(A528, 'Customer Information'!$A$1:$A$1001, 'Customer Information'!$C$1:$C$1001)</f>
        <v>Young adults</v>
      </c>
      <c r="G528" t="str">
        <f>_xlfn.XLOOKUP('Customer Information'!A528, 'Customer Information'!$A$1:$A$1001, 'Customer Information'!$D$1:$D$1001)</f>
        <v>No</v>
      </c>
      <c r="H528" t="str">
        <f>INDEX('Additional Product Info.'!$A$1:$C$1001, MATCH('Product Positioning'!$A528, 'Additional Product Info.'!$A$1:$A$1001, 0), MATCH('Product Positioning'!H$1, 'Additional Product Info.'!$A$1:$C$1, 0))</f>
        <v>End-cap</v>
      </c>
      <c r="I528" t="str">
        <f>INDEX('Additional Product Info.'!$A$1:$C$1001, MATCH('Product Positioning'!$A528, 'Additional Product Info.'!$A$1:$A$1001, 0), MATCH('Product Positioning'!I$1, 'Additional Product Info.'!$A$1:$C$1, 0))</f>
        <v>Electronics</v>
      </c>
      <c r="J528" t="str">
        <f>_xlfn.XLOOKUP(A528, $A$1:$A$1001, 'Additional Product Info.'!$D$1:$D$1001)</f>
        <v>No</v>
      </c>
      <c r="K528" s="1">
        <f t="shared" si="16"/>
        <v>32499.69</v>
      </c>
      <c r="L528" s="1">
        <f t="shared" si="17"/>
        <v>3.5399999999999991</v>
      </c>
      <c r="M528" t="str">
        <f>IF(L528&lt;=Statistics!$E$6,"Low Difference",IF('Product Positioning'!L528&gt;=Statistics!$E$4,"High Difference","Moderate Difference"))</f>
        <v>Moderate Difference</v>
      </c>
    </row>
    <row r="529" spans="1:13" x14ac:dyDescent="0.2">
      <c r="A529">
        <v>114964</v>
      </c>
      <c r="B529" s="1">
        <v>16.47</v>
      </c>
      <c r="C529" s="1">
        <v>13.41</v>
      </c>
      <c r="D529">
        <v>570</v>
      </c>
      <c r="E529" t="str">
        <f>_xlfn.XLOOKUP(A529, 'Customer Information'!$A$1:$A$1001, 'Customer Information'!$B$1:$B$1001)</f>
        <v>Medium</v>
      </c>
      <c r="F529" t="str">
        <f>_xlfn.XLOOKUP(A529, 'Customer Information'!$A$1:$A$1001, 'Customer Information'!$C$1:$C$1001)</f>
        <v>Seniors</v>
      </c>
      <c r="G529" t="str">
        <f>_xlfn.XLOOKUP('Customer Information'!A529, 'Customer Information'!$A$1:$A$1001, 'Customer Information'!$D$1:$D$1001)</f>
        <v>Yes</v>
      </c>
      <c r="H529" t="str">
        <f>INDEX('Additional Product Info.'!$A$1:$C$1001, MATCH('Product Positioning'!$A529, 'Additional Product Info.'!$A$1:$A$1001, 0), MATCH('Product Positioning'!H$1, 'Additional Product Info.'!$A$1:$C$1, 0))</f>
        <v>Front of Store</v>
      </c>
      <c r="I529" t="str">
        <f>INDEX('Additional Product Info.'!$A$1:$C$1001, MATCH('Product Positioning'!$A529, 'Additional Product Info.'!$A$1:$A$1001, 0), MATCH('Product Positioning'!I$1, 'Additional Product Info.'!$A$1:$C$1, 0))</f>
        <v>Electronics</v>
      </c>
      <c r="J529" t="str">
        <f>_xlfn.XLOOKUP(A529, $A$1:$A$1001, 'Additional Product Info.'!$D$1:$D$1001)</f>
        <v>No</v>
      </c>
      <c r="K529" s="1">
        <f t="shared" si="16"/>
        <v>9387.9</v>
      </c>
      <c r="L529" s="1">
        <f t="shared" si="17"/>
        <v>3.0599999999999987</v>
      </c>
      <c r="M529" t="str">
        <f>IF(L529&lt;=Statistics!$E$6,"Low Difference",IF('Product Positioning'!L529&gt;=Statistics!$E$4,"High Difference","Moderate Difference"))</f>
        <v>Moderate Difference</v>
      </c>
    </row>
    <row r="530" spans="1:13" x14ac:dyDescent="0.2">
      <c r="A530">
        <v>199673</v>
      </c>
      <c r="B530" s="1">
        <v>8.1999999999999993</v>
      </c>
      <c r="C530" s="1">
        <v>4.13</v>
      </c>
      <c r="D530">
        <v>2488</v>
      </c>
      <c r="E530" t="str">
        <f>_xlfn.XLOOKUP(A530, 'Customer Information'!$A$1:$A$1001, 'Customer Information'!$B$1:$B$1001)</f>
        <v>High</v>
      </c>
      <c r="F530" t="str">
        <f>_xlfn.XLOOKUP(A530, 'Customer Information'!$A$1:$A$1001, 'Customer Information'!$C$1:$C$1001)</f>
        <v>Seniors</v>
      </c>
      <c r="G530" t="str">
        <f>_xlfn.XLOOKUP('Customer Information'!A530, 'Customer Information'!$A$1:$A$1001, 'Customer Information'!$D$1:$D$1001)</f>
        <v>No</v>
      </c>
      <c r="H530" t="str">
        <f>INDEX('Additional Product Info.'!$A$1:$C$1001, MATCH('Product Positioning'!$A530, 'Additional Product Info.'!$A$1:$A$1001, 0), MATCH('Product Positioning'!H$1, 'Additional Product Info.'!$A$1:$C$1, 0))</f>
        <v>End-cap</v>
      </c>
      <c r="I530" t="str">
        <f>INDEX('Additional Product Info.'!$A$1:$C$1001, MATCH('Product Positioning'!$A530, 'Additional Product Info.'!$A$1:$A$1001, 0), MATCH('Product Positioning'!I$1, 'Additional Product Info.'!$A$1:$C$1, 0))</f>
        <v>Food</v>
      </c>
      <c r="J530" t="str">
        <f>_xlfn.XLOOKUP(A530, $A$1:$A$1001, 'Additional Product Info.'!$D$1:$D$1001)</f>
        <v>Yes</v>
      </c>
      <c r="K530" s="1">
        <f t="shared" si="16"/>
        <v>20401.599999999999</v>
      </c>
      <c r="L530" s="1">
        <f t="shared" si="17"/>
        <v>4.0699999999999994</v>
      </c>
      <c r="M530" t="str">
        <f>IF(L530&lt;=Statistics!$E$6,"Low Difference",IF('Product Positioning'!L530&gt;=Statistics!$E$4,"High Difference","Moderate Difference"))</f>
        <v>High Difference</v>
      </c>
    </row>
    <row r="531" spans="1:13" x14ac:dyDescent="0.2">
      <c r="A531">
        <v>141355</v>
      </c>
      <c r="B531" s="1">
        <v>34.36</v>
      </c>
      <c r="C531" s="1">
        <v>33.24</v>
      </c>
      <c r="D531">
        <v>1950</v>
      </c>
      <c r="E531" t="str">
        <f>_xlfn.XLOOKUP(A531, 'Customer Information'!$A$1:$A$1001, 'Customer Information'!$B$1:$B$1001)</f>
        <v>High</v>
      </c>
      <c r="F531" t="str">
        <f>_xlfn.XLOOKUP(A531, 'Customer Information'!$A$1:$A$1001, 'Customer Information'!$C$1:$C$1001)</f>
        <v>Families</v>
      </c>
      <c r="G531" t="str">
        <f>_xlfn.XLOOKUP('Customer Information'!A531, 'Customer Information'!$A$1:$A$1001, 'Customer Information'!$D$1:$D$1001)</f>
        <v>Yes</v>
      </c>
      <c r="H531" t="str">
        <f>INDEX('Additional Product Info.'!$A$1:$C$1001, MATCH('Product Positioning'!$A531, 'Additional Product Info.'!$A$1:$A$1001, 0), MATCH('Product Positioning'!H$1, 'Additional Product Info.'!$A$1:$C$1, 0))</f>
        <v>End-cap</v>
      </c>
      <c r="I531" t="str">
        <f>INDEX('Additional Product Info.'!$A$1:$C$1001, MATCH('Product Positioning'!$A531, 'Additional Product Info.'!$A$1:$A$1001, 0), MATCH('Product Positioning'!I$1, 'Additional Product Info.'!$A$1:$C$1, 0))</f>
        <v>Clothing</v>
      </c>
      <c r="J531" t="str">
        <f>_xlfn.XLOOKUP(A531, $A$1:$A$1001, 'Additional Product Info.'!$D$1:$D$1001)</f>
        <v>No</v>
      </c>
      <c r="K531" s="1">
        <f t="shared" si="16"/>
        <v>67002</v>
      </c>
      <c r="L531" s="1">
        <f t="shared" si="17"/>
        <v>1.1199999999999974</v>
      </c>
      <c r="M531" t="str">
        <f>IF(L531&lt;=Statistics!$E$6,"Low Difference",IF('Product Positioning'!L531&gt;=Statistics!$E$4,"High Difference","Moderate Difference"))</f>
        <v>Low Difference</v>
      </c>
    </row>
    <row r="532" spans="1:13" x14ac:dyDescent="0.2">
      <c r="A532">
        <v>144362</v>
      </c>
      <c r="B532" s="1">
        <v>22.69</v>
      </c>
      <c r="C532" s="1">
        <v>20.5</v>
      </c>
      <c r="D532">
        <v>2270</v>
      </c>
      <c r="E532" t="str">
        <f>_xlfn.XLOOKUP(A532, 'Customer Information'!$A$1:$A$1001, 'Customer Information'!$B$1:$B$1001)</f>
        <v>High</v>
      </c>
      <c r="F532" t="str">
        <f>_xlfn.XLOOKUP(A532, 'Customer Information'!$A$1:$A$1001, 'Customer Information'!$C$1:$C$1001)</f>
        <v>Seniors</v>
      </c>
      <c r="G532" t="str">
        <f>_xlfn.XLOOKUP('Customer Information'!A532, 'Customer Information'!$A$1:$A$1001, 'Customer Information'!$D$1:$D$1001)</f>
        <v>Yes</v>
      </c>
      <c r="H532" t="str">
        <f>INDEX('Additional Product Info.'!$A$1:$C$1001, MATCH('Product Positioning'!$A532, 'Additional Product Info.'!$A$1:$A$1001, 0), MATCH('Product Positioning'!H$1, 'Additional Product Info.'!$A$1:$C$1, 0))</f>
        <v>Aisle</v>
      </c>
      <c r="I532" t="str">
        <f>INDEX('Additional Product Info.'!$A$1:$C$1001, MATCH('Product Positioning'!$A532, 'Additional Product Info.'!$A$1:$A$1001, 0), MATCH('Product Positioning'!I$1, 'Additional Product Info.'!$A$1:$C$1, 0))</f>
        <v>Clothing</v>
      </c>
      <c r="J532" t="str">
        <f>_xlfn.XLOOKUP(A532, $A$1:$A$1001, 'Additional Product Info.'!$D$1:$D$1001)</f>
        <v>Yes</v>
      </c>
      <c r="K532" s="1">
        <f t="shared" si="16"/>
        <v>51506.3</v>
      </c>
      <c r="L532" s="1">
        <f t="shared" si="17"/>
        <v>2.1900000000000013</v>
      </c>
      <c r="M532" t="str">
        <f>IF(L532&lt;=Statistics!$E$6,"Low Difference",IF('Product Positioning'!L532&gt;=Statistics!$E$4,"High Difference","Moderate Difference"))</f>
        <v>Moderate Difference</v>
      </c>
    </row>
    <row r="533" spans="1:13" x14ac:dyDescent="0.2">
      <c r="A533">
        <v>144721</v>
      </c>
      <c r="B533" s="1">
        <v>25.51</v>
      </c>
      <c r="C533" s="1">
        <v>22.38</v>
      </c>
      <c r="D533">
        <v>2917</v>
      </c>
      <c r="E533" t="str">
        <f>_xlfn.XLOOKUP(A533, 'Customer Information'!$A$1:$A$1001, 'Customer Information'!$B$1:$B$1001)</f>
        <v>High</v>
      </c>
      <c r="F533" t="str">
        <f>_xlfn.XLOOKUP(A533, 'Customer Information'!$A$1:$A$1001, 'Customer Information'!$C$1:$C$1001)</f>
        <v>Families</v>
      </c>
      <c r="G533" t="str">
        <f>_xlfn.XLOOKUP('Customer Information'!A533, 'Customer Information'!$A$1:$A$1001, 'Customer Information'!$D$1:$D$1001)</f>
        <v>No</v>
      </c>
      <c r="H533" t="str">
        <f>INDEX('Additional Product Info.'!$A$1:$C$1001, MATCH('Product Positioning'!$A533, 'Additional Product Info.'!$A$1:$A$1001, 0), MATCH('Product Positioning'!H$1, 'Additional Product Info.'!$A$1:$C$1, 0))</f>
        <v>Front of Store</v>
      </c>
      <c r="I533" t="str">
        <f>INDEX('Additional Product Info.'!$A$1:$C$1001, MATCH('Product Positioning'!$A533, 'Additional Product Info.'!$A$1:$A$1001, 0), MATCH('Product Positioning'!I$1, 'Additional Product Info.'!$A$1:$C$1, 0))</f>
        <v>Electronics</v>
      </c>
      <c r="J533" t="str">
        <f>_xlfn.XLOOKUP(A533, $A$1:$A$1001, 'Additional Product Info.'!$D$1:$D$1001)</f>
        <v>No</v>
      </c>
      <c r="K533" s="1">
        <f t="shared" si="16"/>
        <v>74412.67</v>
      </c>
      <c r="L533" s="1">
        <f t="shared" si="17"/>
        <v>3.1300000000000026</v>
      </c>
      <c r="M533" t="str">
        <f>IF(L533&lt;=Statistics!$E$6,"Low Difference",IF('Product Positioning'!L533&gt;=Statistics!$E$4,"High Difference","Moderate Difference"))</f>
        <v>Moderate Difference</v>
      </c>
    </row>
    <row r="534" spans="1:13" x14ac:dyDescent="0.2">
      <c r="A534">
        <v>139337</v>
      </c>
      <c r="B534" s="1">
        <v>42.31</v>
      </c>
      <c r="C534" s="1">
        <v>41.34</v>
      </c>
      <c r="D534">
        <v>1878</v>
      </c>
      <c r="E534" t="str">
        <f>_xlfn.XLOOKUP(A534, 'Customer Information'!$A$1:$A$1001, 'Customer Information'!$B$1:$B$1001)</f>
        <v>Medium</v>
      </c>
      <c r="F534" t="str">
        <f>_xlfn.XLOOKUP(A534, 'Customer Information'!$A$1:$A$1001, 'Customer Information'!$C$1:$C$1001)</f>
        <v>Young adults</v>
      </c>
      <c r="G534" t="str">
        <f>_xlfn.XLOOKUP('Customer Information'!A534, 'Customer Information'!$A$1:$A$1001, 'Customer Information'!$D$1:$D$1001)</f>
        <v>Yes</v>
      </c>
      <c r="H534" t="str">
        <f>INDEX('Additional Product Info.'!$A$1:$C$1001, MATCH('Product Positioning'!$A534, 'Additional Product Info.'!$A$1:$A$1001, 0), MATCH('Product Positioning'!H$1, 'Additional Product Info.'!$A$1:$C$1, 0))</f>
        <v>End-cap</v>
      </c>
      <c r="I534" t="str">
        <f>INDEX('Additional Product Info.'!$A$1:$C$1001, MATCH('Product Positioning'!$A534, 'Additional Product Info.'!$A$1:$A$1001, 0), MATCH('Product Positioning'!I$1, 'Additional Product Info.'!$A$1:$C$1, 0))</f>
        <v>Clothing</v>
      </c>
      <c r="J534" t="str">
        <f>_xlfn.XLOOKUP(A534, $A$1:$A$1001, 'Additional Product Info.'!$D$1:$D$1001)</f>
        <v>No</v>
      </c>
      <c r="K534" s="1">
        <f t="shared" si="16"/>
        <v>79458.180000000008</v>
      </c>
      <c r="L534" s="1">
        <f t="shared" si="17"/>
        <v>0.96999999999999886</v>
      </c>
      <c r="M534" t="str">
        <f>IF(L534&lt;=Statistics!$E$6,"Low Difference",IF('Product Positioning'!L534&gt;=Statistics!$E$4,"High Difference","Moderate Difference"))</f>
        <v>Low Difference</v>
      </c>
    </row>
    <row r="535" spans="1:13" x14ac:dyDescent="0.2">
      <c r="A535">
        <v>167218</v>
      </c>
      <c r="B535" s="1">
        <v>35.35</v>
      </c>
      <c r="C535" s="1">
        <v>34.4</v>
      </c>
      <c r="D535">
        <v>2621</v>
      </c>
      <c r="E535" t="str">
        <f>_xlfn.XLOOKUP(A535, 'Customer Information'!$A$1:$A$1001, 'Customer Information'!$B$1:$B$1001)</f>
        <v>Low</v>
      </c>
      <c r="F535" t="str">
        <f>_xlfn.XLOOKUP(A535, 'Customer Information'!$A$1:$A$1001, 'Customer Information'!$C$1:$C$1001)</f>
        <v>College students</v>
      </c>
      <c r="G535" t="str">
        <f>_xlfn.XLOOKUP('Customer Information'!A535, 'Customer Information'!$A$1:$A$1001, 'Customer Information'!$D$1:$D$1001)</f>
        <v>No</v>
      </c>
      <c r="H535" t="str">
        <f>INDEX('Additional Product Info.'!$A$1:$C$1001, MATCH('Product Positioning'!$A535, 'Additional Product Info.'!$A$1:$A$1001, 0), MATCH('Product Positioning'!H$1, 'Additional Product Info.'!$A$1:$C$1, 0))</f>
        <v>End-cap</v>
      </c>
      <c r="I535" t="str">
        <f>INDEX('Additional Product Info.'!$A$1:$C$1001, MATCH('Product Positioning'!$A535, 'Additional Product Info.'!$A$1:$A$1001, 0), MATCH('Product Positioning'!I$1, 'Additional Product Info.'!$A$1:$C$1, 0))</f>
        <v>Clothing</v>
      </c>
      <c r="J535" t="str">
        <f>_xlfn.XLOOKUP(A535, $A$1:$A$1001, 'Additional Product Info.'!$D$1:$D$1001)</f>
        <v>No</v>
      </c>
      <c r="K535" s="1">
        <f t="shared" si="16"/>
        <v>92652.35</v>
      </c>
      <c r="L535" s="1">
        <f t="shared" si="17"/>
        <v>0.95000000000000284</v>
      </c>
      <c r="M535" t="str">
        <f>IF(L535&lt;=Statistics!$E$6,"Low Difference",IF('Product Positioning'!L535&gt;=Statistics!$E$4,"High Difference","Moderate Difference"))</f>
        <v>Low Difference</v>
      </c>
    </row>
    <row r="536" spans="1:13" x14ac:dyDescent="0.2">
      <c r="A536">
        <v>119583</v>
      </c>
      <c r="B536" s="1">
        <v>6.32</v>
      </c>
      <c r="C536" s="1">
        <v>5.2</v>
      </c>
      <c r="D536">
        <v>1332</v>
      </c>
      <c r="E536" t="str">
        <f>_xlfn.XLOOKUP(A536, 'Customer Information'!$A$1:$A$1001, 'Customer Information'!$B$1:$B$1001)</f>
        <v>High</v>
      </c>
      <c r="F536" t="str">
        <f>_xlfn.XLOOKUP(A536, 'Customer Information'!$A$1:$A$1001, 'Customer Information'!$C$1:$C$1001)</f>
        <v>Young adults</v>
      </c>
      <c r="G536" t="str">
        <f>_xlfn.XLOOKUP('Customer Information'!A536, 'Customer Information'!$A$1:$A$1001, 'Customer Information'!$D$1:$D$1001)</f>
        <v>No</v>
      </c>
      <c r="H536" t="str">
        <f>INDEX('Additional Product Info.'!$A$1:$C$1001, MATCH('Product Positioning'!$A536, 'Additional Product Info.'!$A$1:$A$1001, 0), MATCH('Product Positioning'!H$1, 'Additional Product Info.'!$A$1:$C$1, 0))</f>
        <v>Front of Store</v>
      </c>
      <c r="I536" t="str">
        <f>INDEX('Additional Product Info.'!$A$1:$C$1001, MATCH('Product Positioning'!$A536, 'Additional Product Info.'!$A$1:$A$1001, 0), MATCH('Product Positioning'!I$1, 'Additional Product Info.'!$A$1:$C$1, 0))</f>
        <v>Electronics</v>
      </c>
      <c r="J536" t="str">
        <f>_xlfn.XLOOKUP(A536, $A$1:$A$1001, 'Additional Product Info.'!$D$1:$D$1001)</f>
        <v>Yes</v>
      </c>
      <c r="K536" s="1">
        <f t="shared" si="16"/>
        <v>8418.24</v>
      </c>
      <c r="L536" s="1">
        <f t="shared" si="17"/>
        <v>1.1200000000000001</v>
      </c>
      <c r="M536" t="str">
        <f>IF(L536&lt;=Statistics!$E$6,"Low Difference",IF('Product Positioning'!L536&gt;=Statistics!$E$4,"High Difference","Moderate Difference"))</f>
        <v>Low Difference</v>
      </c>
    </row>
    <row r="537" spans="1:13" x14ac:dyDescent="0.2">
      <c r="A537">
        <v>195223</v>
      </c>
      <c r="B537" s="1">
        <v>23.16</v>
      </c>
      <c r="C537" s="1">
        <v>22.01</v>
      </c>
      <c r="D537">
        <v>2526</v>
      </c>
      <c r="E537" t="str">
        <f>_xlfn.XLOOKUP(A537, 'Customer Information'!$A$1:$A$1001, 'Customer Information'!$B$1:$B$1001)</f>
        <v>Medium</v>
      </c>
      <c r="F537" t="str">
        <f>_xlfn.XLOOKUP(A537, 'Customer Information'!$A$1:$A$1001, 'Customer Information'!$C$1:$C$1001)</f>
        <v>College students</v>
      </c>
      <c r="G537" t="str">
        <f>_xlfn.XLOOKUP('Customer Information'!A537, 'Customer Information'!$A$1:$A$1001, 'Customer Information'!$D$1:$D$1001)</f>
        <v>No</v>
      </c>
      <c r="H537" t="str">
        <f>INDEX('Additional Product Info.'!$A$1:$C$1001, MATCH('Product Positioning'!$A537, 'Additional Product Info.'!$A$1:$A$1001, 0), MATCH('Product Positioning'!H$1, 'Additional Product Info.'!$A$1:$C$1, 0))</f>
        <v>Front of Store</v>
      </c>
      <c r="I537" t="str">
        <f>INDEX('Additional Product Info.'!$A$1:$C$1001, MATCH('Product Positioning'!$A537, 'Additional Product Info.'!$A$1:$A$1001, 0), MATCH('Product Positioning'!I$1, 'Additional Product Info.'!$A$1:$C$1, 0))</f>
        <v>Clothing</v>
      </c>
      <c r="J537" t="str">
        <f>_xlfn.XLOOKUP(A537, $A$1:$A$1001, 'Additional Product Info.'!$D$1:$D$1001)</f>
        <v>Yes</v>
      </c>
      <c r="K537" s="1">
        <f t="shared" si="16"/>
        <v>58502.16</v>
      </c>
      <c r="L537" s="1">
        <f t="shared" si="17"/>
        <v>1.1499999999999986</v>
      </c>
      <c r="M537" t="str">
        <f>IF(L537&lt;=Statistics!$E$6,"Low Difference",IF('Product Positioning'!L537&gt;=Statistics!$E$4,"High Difference","Moderate Difference"))</f>
        <v>Low Difference</v>
      </c>
    </row>
    <row r="538" spans="1:13" x14ac:dyDescent="0.2">
      <c r="A538">
        <v>175927</v>
      </c>
      <c r="B538" s="1">
        <v>45.95</v>
      </c>
      <c r="C538" s="1">
        <v>41.25</v>
      </c>
      <c r="D538">
        <v>2014</v>
      </c>
      <c r="E538" t="str">
        <f>_xlfn.XLOOKUP(A538, 'Customer Information'!$A$1:$A$1001, 'Customer Information'!$B$1:$B$1001)</f>
        <v>Medium</v>
      </c>
      <c r="F538" t="str">
        <f>_xlfn.XLOOKUP(A538, 'Customer Information'!$A$1:$A$1001, 'Customer Information'!$C$1:$C$1001)</f>
        <v>Young adults</v>
      </c>
      <c r="G538" t="str">
        <f>_xlfn.XLOOKUP('Customer Information'!A538, 'Customer Information'!$A$1:$A$1001, 'Customer Information'!$D$1:$D$1001)</f>
        <v>No</v>
      </c>
      <c r="H538" t="str">
        <f>INDEX('Additional Product Info.'!$A$1:$C$1001, MATCH('Product Positioning'!$A538, 'Additional Product Info.'!$A$1:$A$1001, 0), MATCH('Product Positioning'!H$1, 'Additional Product Info.'!$A$1:$C$1, 0))</f>
        <v>End-cap</v>
      </c>
      <c r="I538" t="str">
        <f>INDEX('Additional Product Info.'!$A$1:$C$1001, MATCH('Product Positioning'!$A538, 'Additional Product Info.'!$A$1:$A$1001, 0), MATCH('Product Positioning'!I$1, 'Additional Product Info.'!$A$1:$C$1, 0))</f>
        <v>Clothing</v>
      </c>
      <c r="J538" t="str">
        <f>_xlfn.XLOOKUP(A538, $A$1:$A$1001, 'Additional Product Info.'!$D$1:$D$1001)</f>
        <v>Yes</v>
      </c>
      <c r="K538" s="1">
        <f t="shared" si="16"/>
        <v>92543.3</v>
      </c>
      <c r="L538" s="1">
        <f t="shared" si="17"/>
        <v>4.7000000000000028</v>
      </c>
      <c r="M538" t="str">
        <f>IF(L538&lt;=Statistics!$E$6,"Low Difference",IF('Product Positioning'!L538&gt;=Statistics!$E$4,"High Difference","Moderate Difference"))</f>
        <v>High Difference</v>
      </c>
    </row>
    <row r="539" spans="1:13" x14ac:dyDescent="0.2">
      <c r="A539">
        <v>130120</v>
      </c>
      <c r="B539" s="1">
        <v>42.89</v>
      </c>
      <c r="C539" s="1">
        <v>38.76</v>
      </c>
      <c r="D539">
        <v>2963</v>
      </c>
      <c r="E539" t="str">
        <f>_xlfn.XLOOKUP(A539, 'Customer Information'!$A$1:$A$1001, 'Customer Information'!$B$1:$B$1001)</f>
        <v>Low</v>
      </c>
      <c r="F539" t="str">
        <f>_xlfn.XLOOKUP(A539, 'Customer Information'!$A$1:$A$1001, 'Customer Information'!$C$1:$C$1001)</f>
        <v>Families</v>
      </c>
      <c r="G539" t="str">
        <f>_xlfn.XLOOKUP('Customer Information'!A539, 'Customer Information'!$A$1:$A$1001, 'Customer Information'!$D$1:$D$1001)</f>
        <v>No</v>
      </c>
      <c r="H539" t="str">
        <f>INDEX('Additional Product Info.'!$A$1:$C$1001, MATCH('Product Positioning'!$A539, 'Additional Product Info.'!$A$1:$A$1001, 0), MATCH('Product Positioning'!H$1, 'Additional Product Info.'!$A$1:$C$1, 0))</f>
        <v>End-cap</v>
      </c>
      <c r="I539" t="str">
        <f>INDEX('Additional Product Info.'!$A$1:$C$1001, MATCH('Product Positioning'!$A539, 'Additional Product Info.'!$A$1:$A$1001, 0), MATCH('Product Positioning'!I$1, 'Additional Product Info.'!$A$1:$C$1, 0))</f>
        <v>Electronics</v>
      </c>
      <c r="J539" t="str">
        <f>_xlfn.XLOOKUP(A539, $A$1:$A$1001, 'Additional Product Info.'!$D$1:$D$1001)</f>
        <v>No</v>
      </c>
      <c r="K539" s="1">
        <f t="shared" si="16"/>
        <v>127083.07</v>
      </c>
      <c r="L539" s="1">
        <f t="shared" si="17"/>
        <v>4.1300000000000026</v>
      </c>
      <c r="M539" t="str">
        <f>IF(L539&lt;=Statistics!$E$6,"Low Difference",IF('Product Positioning'!L539&gt;=Statistics!$E$4,"High Difference","Moderate Difference"))</f>
        <v>High Difference</v>
      </c>
    </row>
    <row r="540" spans="1:13" x14ac:dyDescent="0.2">
      <c r="A540">
        <v>141261</v>
      </c>
      <c r="B540" s="1">
        <v>49.98</v>
      </c>
      <c r="C540" s="1">
        <v>47.6</v>
      </c>
      <c r="D540">
        <v>641</v>
      </c>
      <c r="E540" t="str">
        <f>_xlfn.XLOOKUP(A540, 'Customer Information'!$A$1:$A$1001, 'Customer Information'!$B$1:$B$1001)</f>
        <v>Low</v>
      </c>
      <c r="F540" t="str">
        <f>_xlfn.XLOOKUP(A540, 'Customer Information'!$A$1:$A$1001, 'Customer Information'!$C$1:$C$1001)</f>
        <v>Young adults</v>
      </c>
      <c r="G540" t="str">
        <f>_xlfn.XLOOKUP('Customer Information'!A540, 'Customer Information'!$A$1:$A$1001, 'Customer Information'!$D$1:$D$1001)</f>
        <v>Yes</v>
      </c>
      <c r="H540" t="str">
        <f>INDEX('Additional Product Info.'!$A$1:$C$1001, MATCH('Product Positioning'!$A540, 'Additional Product Info.'!$A$1:$A$1001, 0), MATCH('Product Positioning'!H$1, 'Additional Product Info.'!$A$1:$C$1, 0))</f>
        <v>Front of Store</v>
      </c>
      <c r="I540" t="str">
        <f>INDEX('Additional Product Info.'!$A$1:$C$1001, MATCH('Product Positioning'!$A540, 'Additional Product Info.'!$A$1:$A$1001, 0), MATCH('Product Positioning'!I$1, 'Additional Product Info.'!$A$1:$C$1, 0))</f>
        <v>Clothing</v>
      </c>
      <c r="J540" t="str">
        <f>_xlfn.XLOOKUP(A540, $A$1:$A$1001, 'Additional Product Info.'!$D$1:$D$1001)</f>
        <v>No</v>
      </c>
      <c r="K540" s="1">
        <f t="shared" si="16"/>
        <v>32037.179999999997</v>
      </c>
      <c r="L540" s="1">
        <f t="shared" si="17"/>
        <v>2.3799999999999955</v>
      </c>
      <c r="M540" t="str">
        <f>IF(L540&lt;=Statistics!$E$6,"Low Difference",IF('Product Positioning'!L540&gt;=Statistics!$E$4,"High Difference","Moderate Difference"))</f>
        <v>Moderate Difference</v>
      </c>
    </row>
    <row r="541" spans="1:13" x14ac:dyDescent="0.2">
      <c r="A541">
        <v>186584</v>
      </c>
      <c r="B541" s="1">
        <v>33.76</v>
      </c>
      <c r="C541" s="1">
        <v>33.19</v>
      </c>
      <c r="D541">
        <v>1370</v>
      </c>
      <c r="E541" t="str">
        <f>_xlfn.XLOOKUP(A541, 'Customer Information'!$A$1:$A$1001, 'Customer Information'!$B$1:$B$1001)</f>
        <v>Medium</v>
      </c>
      <c r="F541" t="str">
        <f>_xlfn.XLOOKUP(A541, 'Customer Information'!$A$1:$A$1001, 'Customer Information'!$C$1:$C$1001)</f>
        <v>College students</v>
      </c>
      <c r="G541" t="str">
        <f>_xlfn.XLOOKUP('Customer Information'!A541, 'Customer Information'!$A$1:$A$1001, 'Customer Information'!$D$1:$D$1001)</f>
        <v>Yes</v>
      </c>
      <c r="H541" t="str">
        <f>INDEX('Additional Product Info.'!$A$1:$C$1001, MATCH('Product Positioning'!$A541, 'Additional Product Info.'!$A$1:$A$1001, 0), MATCH('Product Positioning'!H$1, 'Additional Product Info.'!$A$1:$C$1, 0))</f>
        <v>Aisle</v>
      </c>
      <c r="I541" t="str">
        <f>INDEX('Additional Product Info.'!$A$1:$C$1001, MATCH('Product Positioning'!$A541, 'Additional Product Info.'!$A$1:$A$1001, 0), MATCH('Product Positioning'!I$1, 'Additional Product Info.'!$A$1:$C$1, 0))</f>
        <v>Electronics</v>
      </c>
      <c r="J541" t="str">
        <f>_xlfn.XLOOKUP(A541, $A$1:$A$1001, 'Additional Product Info.'!$D$1:$D$1001)</f>
        <v>No</v>
      </c>
      <c r="K541" s="1">
        <f t="shared" si="16"/>
        <v>46251.199999999997</v>
      </c>
      <c r="L541" s="1">
        <f t="shared" si="17"/>
        <v>0.57000000000000028</v>
      </c>
      <c r="M541" t="str">
        <f>IF(L541&lt;=Statistics!$E$6,"Low Difference",IF('Product Positioning'!L541&gt;=Statistics!$E$4,"High Difference","Moderate Difference"))</f>
        <v>Low Difference</v>
      </c>
    </row>
    <row r="542" spans="1:13" x14ac:dyDescent="0.2">
      <c r="A542">
        <v>120793</v>
      </c>
      <c r="B542" s="1">
        <v>29.98</v>
      </c>
      <c r="C542" s="1">
        <v>28.14</v>
      </c>
      <c r="D542">
        <v>2204</v>
      </c>
      <c r="E542" t="str">
        <f>_xlfn.XLOOKUP(A542, 'Customer Information'!$A$1:$A$1001, 'Customer Information'!$B$1:$B$1001)</f>
        <v>Medium</v>
      </c>
      <c r="F542" t="str">
        <f>_xlfn.XLOOKUP(A542, 'Customer Information'!$A$1:$A$1001, 'Customer Information'!$C$1:$C$1001)</f>
        <v>Seniors</v>
      </c>
      <c r="G542" t="str">
        <f>_xlfn.XLOOKUP('Customer Information'!A542, 'Customer Information'!$A$1:$A$1001, 'Customer Information'!$D$1:$D$1001)</f>
        <v>No</v>
      </c>
      <c r="H542" t="str">
        <f>INDEX('Additional Product Info.'!$A$1:$C$1001, MATCH('Product Positioning'!$A542, 'Additional Product Info.'!$A$1:$A$1001, 0), MATCH('Product Positioning'!H$1, 'Additional Product Info.'!$A$1:$C$1, 0))</f>
        <v>Front of Store</v>
      </c>
      <c r="I542" t="str">
        <f>INDEX('Additional Product Info.'!$A$1:$C$1001, MATCH('Product Positioning'!$A542, 'Additional Product Info.'!$A$1:$A$1001, 0), MATCH('Product Positioning'!I$1, 'Additional Product Info.'!$A$1:$C$1, 0))</f>
        <v>Electronics</v>
      </c>
      <c r="J542" t="str">
        <f>_xlfn.XLOOKUP(A542, $A$1:$A$1001, 'Additional Product Info.'!$D$1:$D$1001)</f>
        <v>Yes</v>
      </c>
      <c r="K542" s="1">
        <f t="shared" si="16"/>
        <v>66075.92</v>
      </c>
      <c r="L542" s="1">
        <f t="shared" si="17"/>
        <v>1.8399999999999999</v>
      </c>
      <c r="M542" t="str">
        <f>IF(L542&lt;=Statistics!$E$6,"Low Difference",IF('Product Positioning'!L542&gt;=Statistics!$E$4,"High Difference","Moderate Difference"))</f>
        <v>Moderate Difference</v>
      </c>
    </row>
    <row r="543" spans="1:13" x14ac:dyDescent="0.2">
      <c r="A543">
        <v>155385</v>
      </c>
      <c r="B543" s="1">
        <v>38.799999999999997</v>
      </c>
      <c r="C543" s="1">
        <v>35.71</v>
      </c>
      <c r="D543">
        <v>1973</v>
      </c>
      <c r="E543" t="str">
        <f>_xlfn.XLOOKUP(A543, 'Customer Information'!$A$1:$A$1001, 'Customer Information'!$B$1:$B$1001)</f>
        <v>Medium</v>
      </c>
      <c r="F543" t="str">
        <f>_xlfn.XLOOKUP(A543, 'Customer Information'!$A$1:$A$1001, 'Customer Information'!$C$1:$C$1001)</f>
        <v>Young adults</v>
      </c>
      <c r="G543" t="str">
        <f>_xlfn.XLOOKUP('Customer Information'!A543, 'Customer Information'!$A$1:$A$1001, 'Customer Information'!$D$1:$D$1001)</f>
        <v>No</v>
      </c>
      <c r="H543" t="str">
        <f>INDEX('Additional Product Info.'!$A$1:$C$1001, MATCH('Product Positioning'!$A543, 'Additional Product Info.'!$A$1:$A$1001, 0), MATCH('Product Positioning'!H$1, 'Additional Product Info.'!$A$1:$C$1, 0))</f>
        <v>End-cap</v>
      </c>
      <c r="I543" t="str">
        <f>INDEX('Additional Product Info.'!$A$1:$C$1001, MATCH('Product Positioning'!$A543, 'Additional Product Info.'!$A$1:$A$1001, 0), MATCH('Product Positioning'!I$1, 'Additional Product Info.'!$A$1:$C$1, 0))</f>
        <v>Electronics</v>
      </c>
      <c r="J543" t="str">
        <f>_xlfn.XLOOKUP(A543, $A$1:$A$1001, 'Additional Product Info.'!$D$1:$D$1001)</f>
        <v>No</v>
      </c>
      <c r="K543" s="1">
        <f t="shared" si="16"/>
        <v>76552.399999999994</v>
      </c>
      <c r="L543" s="1">
        <f t="shared" si="17"/>
        <v>3.0899999999999963</v>
      </c>
      <c r="M543" t="str">
        <f>IF(L543&lt;=Statistics!$E$6,"Low Difference",IF('Product Positioning'!L543&gt;=Statistics!$E$4,"High Difference","Moderate Difference"))</f>
        <v>Moderate Difference</v>
      </c>
    </row>
    <row r="544" spans="1:13" x14ac:dyDescent="0.2">
      <c r="A544">
        <v>151124</v>
      </c>
      <c r="B544" s="1">
        <v>8.34</v>
      </c>
      <c r="C544" s="1">
        <v>7.22</v>
      </c>
      <c r="D544">
        <v>2895</v>
      </c>
      <c r="E544" t="str">
        <f>_xlfn.XLOOKUP(A544, 'Customer Information'!$A$1:$A$1001, 'Customer Information'!$B$1:$B$1001)</f>
        <v>High</v>
      </c>
      <c r="F544" t="str">
        <f>_xlfn.XLOOKUP(A544, 'Customer Information'!$A$1:$A$1001, 'Customer Information'!$C$1:$C$1001)</f>
        <v>Families</v>
      </c>
      <c r="G544" t="str">
        <f>_xlfn.XLOOKUP('Customer Information'!A544, 'Customer Information'!$A$1:$A$1001, 'Customer Information'!$D$1:$D$1001)</f>
        <v>No</v>
      </c>
      <c r="H544" t="str">
        <f>INDEX('Additional Product Info.'!$A$1:$C$1001, MATCH('Product Positioning'!$A544, 'Additional Product Info.'!$A$1:$A$1001, 0), MATCH('Product Positioning'!H$1, 'Additional Product Info.'!$A$1:$C$1, 0))</f>
        <v>End-cap</v>
      </c>
      <c r="I544" t="str">
        <f>INDEX('Additional Product Info.'!$A$1:$C$1001, MATCH('Product Positioning'!$A544, 'Additional Product Info.'!$A$1:$A$1001, 0), MATCH('Product Positioning'!I$1, 'Additional Product Info.'!$A$1:$C$1, 0))</f>
        <v>Clothing</v>
      </c>
      <c r="J544" t="str">
        <f>_xlfn.XLOOKUP(A544, $A$1:$A$1001, 'Additional Product Info.'!$D$1:$D$1001)</f>
        <v>No</v>
      </c>
      <c r="K544" s="1">
        <f t="shared" si="16"/>
        <v>24144.3</v>
      </c>
      <c r="L544" s="1">
        <f t="shared" si="17"/>
        <v>1.1200000000000001</v>
      </c>
      <c r="M544" t="str">
        <f>IF(L544&lt;=Statistics!$E$6,"Low Difference",IF('Product Positioning'!L544&gt;=Statistics!$E$4,"High Difference","Moderate Difference"))</f>
        <v>Low Difference</v>
      </c>
    </row>
    <row r="545" spans="1:13" x14ac:dyDescent="0.2">
      <c r="A545">
        <v>179168</v>
      </c>
      <c r="B545" s="1">
        <v>47.77</v>
      </c>
      <c r="C545" s="1">
        <v>44.38</v>
      </c>
      <c r="D545">
        <v>1389</v>
      </c>
      <c r="E545" t="str">
        <f>_xlfn.XLOOKUP(A545, 'Customer Information'!$A$1:$A$1001, 'Customer Information'!$B$1:$B$1001)</f>
        <v>Low</v>
      </c>
      <c r="F545" t="str">
        <f>_xlfn.XLOOKUP(A545, 'Customer Information'!$A$1:$A$1001, 'Customer Information'!$C$1:$C$1001)</f>
        <v>Families</v>
      </c>
      <c r="G545" t="str">
        <f>_xlfn.XLOOKUP('Customer Information'!A545, 'Customer Information'!$A$1:$A$1001, 'Customer Information'!$D$1:$D$1001)</f>
        <v>No</v>
      </c>
      <c r="H545" t="str">
        <f>INDEX('Additional Product Info.'!$A$1:$C$1001, MATCH('Product Positioning'!$A545, 'Additional Product Info.'!$A$1:$A$1001, 0), MATCH('Product Positioning'!H$1, 'Additional Product Info.'!$A$1:$C$1, 0))</f>
        <v>Front of Store</v>
      </c>
      <c r="I545" t="str">
        <f>INDEX('Additional Product Info.'!$A$1:$C$1001, MATCH('Product Positioning'!$A545, 'Additional Product Info.'!$A$1:$A$1001, 0), MATCH('Product Positioning'!I$1, 'Additional Product Info.'!$A$1:$C$1, 0))</f>
        <v>Electronics</v>
      </c>
      <c r="J545" t="str">
        <f>_xlfn.XLOOKUP(A545, $A$1:$A$1001, 'Additional Product Info.'!$D$1:$D$1001)</f>
        <v>Yes</v>
      </c>
      <c r="K545" s="1">
        <f t="shared" si="16"/>
        <v>66352.53</v>
      </c>
      <c r="L545" s="1">
        <f t="shared" si="17"/>
        <v>3.3900000000000006</v>
      </c>
      <c r="M545" t="str">
        <f>IF(L545&lt;=Statistics!$E$6,"Low Difference",IF('Product Positioning'!L545&gt;=Statistics!$E$4,"High Difference","Moderate Difference"))</f>
        <v>Moderate Difference</v>
      </c>
    </row>
    <row r="546" spans="1:13" x14ac:dyDescent="0.2">
      <c r="A546">
        <v>162419</v>
      </c>
      <c r="B546" s="1">
        <v>27.09</v>
      </c>
      <c r="C546" s="1">
        <v>25.32</v>
      </c>
      <c r="D546">
        <v>617</v>
      </c>
      <c r="E546" t="str">
        <f>_xlfn.XLOOKUP(A546, 'Customer Information'!$A$1:$A$1001, 'Customer Information'!$B$1:$B$1001)</f>
        <v>High</v>
      </c>
      <c r="F546" t="str">
        <f>_xlfn.XLOOKUP(A546, 'Customer Information'!$A$1:$A$1001, 'Customer Information'!$C$1:$C$1001)</f>
        <v>Seniors</v>
      </c>
      <c r="G546" t="str">
        <f>_xlfn.XLOOKUP('Customer Information'!A546, 'Customer Information'!$A$1:$A$1001, 'Customer Information'!$D$1:$D$1001)</f>
        <v>Yes</v>
      </c>
      <c r="H546" t="str">
        <f>INDEX('Additional Product Info.'!$A$1:$C$1001, MATCH('Product Positioning'!$A546, 'Additional Product Info.'!$A$1:$A$1001, 0), MATCH('Product Positioning'!H$1, 'Additional Product Info.'!$A$1:$C$1, 0))</f>
        <v>Aisle</v>
      </c>
      <c r="I546" t="str">
        <f>INDEX('Additional Product Info.'!$A$1:$C$1001, MATCH('Product Positioning'!$A546, 'Additional Product Info.'!$A$1:$A$1001, 0), MATCH('Product Positioning'!I$1, 'Additional Product Info.'!$A$1:$C$1, 0))</f>
        <v>Electronics</v>
      </c>
      <c r="J546" t="str">
        <f>_xlfn.XLOOKUP(A546, $A$1:$A$1001, 'Additional Product Info.'!$D$1:$D$1001)</f>
        <v>Yes</v>
      </c>
      <c r="K546" s="1">
        <f t="shared" si="16"/>
        <v>16714.53</v>
      </c>
      <c r="L546" s="1">
        <f t="shared" si="17"/>
        <v>1.7699999999999996</v>
      </c>
      <c r="M546" t="str">
        <f>IF(L546&lt;=Statistics!$E$6,"Low Difference",IF('Product Positioning'!L546&gt;=Statistics!$E$4,"High Difference","Moderate Difference"))</f>
        <v>Moderate Difference</v>
      </c>
    </row>
    <row r="547" spans="1:13" x14ac:dyDescent="0.2">
      <c r="A547">
        <v>113067</v>
      </c>
      <c r="B547" s="1">
        <v>26.16</v>
      </c>
      <c r="C547" s="1">
        <v>24.53</v>
      </c>
      <c r="D547">
        <v>1062</v>
      </c>
      <c r="E547" t="str">
        <f>_xlfn.XLOOKUP(A547, 'Customer Information'!$A$1:$A$1001, 'Customer Information'!$B$1:$B$1001)</f>
        <v>High</v>
      </c>
      <c r="F547" t="str">
        <f>_xlfn.XLOOKUP(A547, 'Customer Information'!$A$1:$A$1001, 'Customer Information'!$C$1:$C$1001)</f>
        <v>Families</v>
      </c>
      <c r="G547" t="str">
        <f>_xlfn.XLOOKUP('Customer Information'!A547, 'Customer Information'!$A$1:$A$1001, 'Customer Information'!$D$1:$D$1001)</f>
        <v>No</v>
      </c>
      <c r="H547" t="str">
        <f>INDEX('Additional Product Info.'!$A$1:$C$1001, MATCH('Product Positioning'!$A547, 'Additional Product Info.'!$A$1:$A$1001, 0), MATCH('Product Positioning'!H$1, 'Additional Product Info.'!$A$1:$C$1, 0))</f>
        <v>Front of Store</v>
      </c>
      <c r="I547" t="str">
        <f>INDEX('Additional Product Info.'!$A$1:$C$1001, MATCH('Product Positioning'!$A547, 'Additional Product Info.'!$A$1:$A$1001, 0), MATCH('Product Positioning'!I$1, 'Additional Product Info.'!$A$1:$C$1, 0))</f>
        <v>Clothing</v>
      </c>
      <c r="J547" t="str">
        <f>_xlfn.XLOOKUP(A547, $A$1:$A$1001, 'Additional Product Info.'!$D$1:$D$1001)</f>
        <v>No</v>
      </c>
      <c r="K547" s="1">
        <f t="shared" si="16"/>
        <v>27781.920000000002</v>
      </c>
      <c r="L547" s="1">
        <f t="shared" si="17"/>
        <v>1.629999999999999</v>
      </c>
      <c r="M547" t="str">
        <f>IF(L547&lt;=Statistics!$E$6,"Low Difference",IF('Product Positioning'!L547&gt;=Statistics!$E$4,"High Difference","Moderate Difference"))</f>
        <v>Moderate Difference</v>
      </c>
    </row>
    <row r="548" spans="1:13" x14ac:dyDescent="0.2">
      <c r="A548">
        <v>178104</v>
      </c>
      <c r="B548" s="1">
        <v>15.32</v>
      </c>
      <c r="C548" s="1">
        <v>13.21</v>
      </c>
      <c r="D548">
        <v>2827</v>
      </c>
      <c r="E548" t="str">
        <f>_xlfn.XLOOKUP(A548, 'Customer Information'!$A$1:$A$1001, 'Customer Information'!$B$1:$B$1001)</f>
        <v>High</v>
      </c>
      <c r="F548" t="str">
        <f>_xlfn.XLOOKUP(A548, 'Customer Information'!$A$1:$A$1001, 'Customer Information'!$C$1:$C$1001)</f>
        <v>Seniors</v>
      </c>
      <c r="G548" t="str">
        <f>_xlfn.XLOOKUP('Customer Information'!A548, 'Customer Information'!$A$1:$A$1001, 'Customer Information'!$D$1:$D$1001)</f>
        <v>No</v>
      </c>
      <c r="H548" t="str">
        <f>INDEX('Additional Product Info.'!$A$1:$C$1001, MATCH('Product Positioning'!$A548, 'Additional Product Info.'!$A$1:$A$1001, 0), MATCH('Product Positioning'!H$1, 'Additional Product Info.'!$A$1:$C$1, 0))</f>
        <v>Aisle</v>
      </c>
      <c r="I548" t="str">
        <f>INDEX('Additional Product Info.'!$A$1:$C$1001, MATCH('Product Positioning'!$A548, 'Additional Product Info.'!$A$1:$A$1001, 0), MATCH('Product Positioning'!I$1, 'Additional Product Info.'!$A$1:$C$1, 0))</f>
        <v>Electronics</v>
      </c>
      <c r="J548" t="str">
        <f>_xlfn.XLOOKUP(A548, $A$1:$A$1001, 'Additional Product Info.'!$D$1:$D$1001)</f>
        <v>Yes</v>
      </c>
      <c r="K548" s="1">
        <f t="shared" si="16"/>
        <v>43309.64</v>
      </c>
      <c r="L548" s="1">
        <f t="shared" si="17"/>
        <v>2.1099999999999994</v>
      </c>
      <c r="M548" t="str">
        <f>IF(L548&lt;=Statistics!$E$6,"Low Difference",IF('Product Positioning'!L548&gt;=Statistics!$E$4,"High Difference","Moderate Difference"))</f>
        <v>Moderate Difference</v>
      </c>
    </row>
    <row r="549" spans="1:13" x14ac:dyDescent="0.2">
      <c r="A549">
        <v>138903</v>
      </c>
      <c r="B549" s="1">
        <v>39.869999999999997</v>
      </c>
      <c r="C549" s="1">
        <v>39.54</v>
      </c>
      <c r="D549">
        <v>1981</v>
      </c>
      <c r="E549" t="str">
        <f>_xlfn.XLOOKUP(A549, 'Customer Information'!$A$1:$A$1001, 'Customer Information'!$B$1:$B$1001)</f>
        <v>Low</v>
      </c>
      <c r="F549" t="str">
        <f>_xlfn.XLOOKUP(A549, 'Customer Information'!$A$1:$A$1001, 'Customer Information'!$C$1:$C$1001)</f>
        <v>Families</v>
      </c>
      <c r="G549" t="str">
        <f>_xlfn.XLOOKUP('Customer Information'!A549, 'Customer Information'!$A$1:$A$1001, 'Customer Information'!$D$1:$D$1001)</f>
        <v>No</v>
      </c>
      <c r="H549" t="str">
        <f>INDEX('Additional Product Info.'!$A$1:$C$1001, MATCH('Product Positioning'!$A549, 'Additional Product Info.'!$A$1:$A$1001, 0), MATCH('Product Positioning'!H$1, 'Additional Product Info.'!$A$1:$C$1, 0))</f>
        <v>Aisle</v>
      </c>
      <c r="I549" t="str">
        <f>INDEX('Additional Product Info.'!$A$1:$C$1001, MATCH('Product Positioning'!$A549, 'Additional Product Info.'!$A$1:$A$1001, 0), MATCH('Product Positioning'!I$1, 'Additional Product Info.'!$A$1:$C$1, 0))</f>
        <v>Clothing</v>
      </c>
      <c r="J549" t="str">
        <f>_xlfn.XLOOKUP(A549, $A$1:$A$1001, 'Additional Product Info.'!$D$1:$D$1001)</f>
        <v>No</v>
      </c>
      <c r="K549" s="1">
        <f t="shared" si="16"/>
        <v>78982.47</v>
      </c>
      <c r="L549" s="1">
        <f t="shared" si="17"/>
        <v>0.32999999999999829</v>
      </c>
      <c r="M549" t="str">
        <f>IF(L549&lt;=Statistics!$E$6,"Low Difference",IF('Product Positioning'!L549&gt;=Statistics!$E$4,"High Difference","Moderate Difference"))</f>
        <v>Low Difference</v>
      </c>
    </row>
    <row r="550" spans="1:13" x14ac:dyDescent="0.2">
      <c r="A550">
        <v>116993</v>
      </c>
      <c r="B550" s="1">
        <v>31.69</v>
      </c>
      <c r="C550" s="1">
        <v>31.54</v>
      </c>
      <c r="D550">
        <v>2938</v>
      </c>
      <c r="E550" t="str">
        <f>_xlfn.XLOOKUP(A550, 'Customer Information'!$A$1:$A$1001, 'Customer Information'!$B$1:$B$1001)</f>
        <v>High</v>
      </c>
      <c r="F550" t="str">
        <f>_xlfn.XLOOKUP(A550, 'Customer Information'!$A$1:$A$1001, 'Customer Information'!$C$1:$C$1001)</f>
        <v>College students</v>
      </c>
      <c r="G550" t="str">
        <f>_xlfn.XLOOKUP('Customer Information'!A550, 'Customer Information'!$A$1:$A$1001, 'Customer Information'!$D$1:$D$1001)</f>
        <v>No</v>
      </c>
      <c r="H550" t="str">
        <f>INDEX('Additional Product Info.'!$A$1:$C$1001, MATCH('Product Positioning'!$A550, 'Additional Product Info.'!$A$1:$A$1001, 0), MATCH('Product Positioning'!H$1, 'Additional Product Info.'!$A$1:$C$1, 0))</f>
        <v>Front of Store</v>
      </c>
      <c r="I550" t="str">
        <f>INDEX('Additional Product Info.'!$A$1:$C$1001, MATCH('Product Positioning'!$A550, 'Additional Product Info.'!$A$1:$A$1001, 0), MATCH('Product Positioning'!I$1, 'Additional Product Info.'!$A$1:$C$1, 0))</f>
        <v>Clothing</v>
      </c>
      <c r="J550" t="str">
        <f>_xlfn.XLOOKUP(A550, $A$1:$A$1001, 'Additional Product Info.'!$D$1:$D$1001)</f>
        <v>No</v>
      </c>
      <c r="K550" s="1">
        <f t="shared" si="16"/>
        <v>93105.22</v>
      </c>
      <c r="L550" s="1">
        <f t="shared" si="17"/>
        <v>0.15000000000000213</v>
      </c>
      <c r="M550" t="str">
        <f>IF(L550&lt;=Statistics!$E$6,"Low Difference",IF('Product Positioning'!L550&gt;=Statistics!$E$4,"High Difference","Moderate Difference"))</f>
        <v>Low Difference</v>
      </c>
    </row>
    <row r="551" spans="1:13" x14ac:dyDescent="0.2">
      <c r="A551">
        <v>111935</v>
      </c>
      <c r="B551" s="1">
        <v>16.27</v>
      </c>
      <c r="C551" s="1">
        <v>15.54</v>
      </c>
      <c r="D551">
        <v>1831</v>
      </c>
      <c r="E551" t="str">
        <f>_xlfn.XLOOKUP(A551, 'Customer Information'!$A$1:$A$1001, 'Customer Information'!$B$1:$B$1001)</f>
        <v>High</v>
      </c>
      <c r="F551" t="str">
        <f>_xlfn.XLOOKUP(A551, 'Customer Information'!$A$1:$A$1001, 'Customer Information'!$C$1:$C$1001)</f>
        <v>College students</v>
      </c>
      <c r="G551" t="str">
        <f>_xlfn.XLOOKUP('Customer Information'!A551, 'Customer Information'!$A$1:$A$1001, 'Customer Information'!$D$1:$D$1001)</f>
        <v>No</v>
      </c>
      <c r="H551" t="str">
        <f>INDEX('Additional Product Info.'!$A$1:$C$1001, MATCH('Product Positioning'!$A551, 'Additional Product Info.'!$A$1:$A$1001, 0), MATCH('Product Positioning'!H$1, 'Additional Product Info.'!$A$1:$C$1, 0))</f>
        <v>Aisle</v>
      </c>
      <c r="I551" t="str">
        <f>INDEX('Additional Product Info.'!$A$1:$C$1001, MATCH('Product Positioning'!$A551, 'Additional Product Info.'!$A$1:$A$1001, 0), MATCH('Product Positioning'!I$1, 'Additional Product Info.'!$A$1:$C$1, 0))</f>
        <v>Clothing</v>
      </c>
      <c r="J551" t="str">
        <f>_xlfn.XLOOKUP(A551, $A$1:$A$1001, 'Additional Product Info.'!$D$1:$D$1001)</f>
        <v>No</v>
      </c>
      <c r="K551" s="1">
        <f t="shared" si="16"/>
        <v>29790.37</v>
      </c>
      <c r="L551" s="1">
        <f t="shared" si="17"/>
        <v>0.73000000000000043</v>
      </c>
      <c r="M551" t="str">
        <f>IF(L551&lt;=Statistics!$E$6,"Low Difference",IF('Product Positioning'!L551&gt;=Statistics!$E$4,"High Difference","Moderate Difference"))</f>
        <v>Low Difference</v>
      </c>
    </row>
    <row r="552" spans="1:13" x14ac:dyDescent="0.2">
      <c r="A552">
        <v>115210</v>
      </c>
      <c r="B552" s="1">
        <v>28.08</v>
      </c>
      <c r="C552" s="1">
        <v>25.81</v>
      </c>
      <c r="D552">
        <v>2068</v>
      </c>
      <c r="E552" t="str">
        <f>_xlfn.XLOOKUP(A552, 'Customer Information'!$A$1:$A$1001, 'Customer Information'!$B$1:$B$1001)</f>
        <v>High</v>
      </c>
      <c r="F552" t="str">
        <f>_xlfn.XLOOKUP(A552, 'Customer Information'!$A$1:$A$1001, 'Customer Information'!$C$1:$C$1001)</f>
        <v>Seniors</v>
      </c>
      <c r="G552" t="str">
        <f>_xlfn.XLOOKUP('Customer Information'!A552, 'Customer Information'!$A$1:$A$1001, 'Customer Information'!$D$1:$D$1001)</f>
        <v>No</v>
      </c>
      <c r="H552" t="str">
        <f>INDEX('Additional Product Info.'!$A$1:$C$1001, MATCH('Product Positioning'!$A552, 'Additional Product Info.'!$A$1:$A$1001, 0), MATCH('Product Positioning'!H$1, 'Additional Product Info.'!$A$1:$C$1, 0))</f>
        <v>Front of Store</v>
      </c>
      <c r="I552" t="str">
        <f>INDEX('Additional Product Info.'!$A$1:$C$1001, MATCH('Product Positioning'!$A552, 'Additional Product Info.'!$A$1:$A$1001, 0), MATCH('Product Positioning'!I$1, 'Additional Product Info.'!$A$1:$C$1, 0))</f>
        <v>Electronics</v>
      </c>
      <c r="J552" t="str">
        <f>_xlfn.XLOOKUP(A552, $A$1:$A$1001, 'Additional Product Info.'!$D$1:$D$1001)</f>
        <v>Yes</v>
      </c>
      <c r="K552" s="1">
        <f t="shared" si="16"/>
        <v>58069.439999999995</v>
      </c>
      <c r="L552" s="1">
        <f t="shared" si="17"/>
        <v>2.2699999999999996</v>
      </c>
      <c r="M552" t="str">
        <f>IF(L552&lt;=Statistics!$E$6,"Low Difference",IF('Product Positioning'!L552&gt;=Statistics!$E$4,"High Difference","Moderate Difference"))</f>
        <v>Moderate Difference</v>
      </c>
    </row>
    <row r="553" spans="1:13" x14ac:dyDescent="0.2">
      <c r="A553">
        <v>173296</v>
      </c>
      <c r="B553" s="1">
        <v>11.95</v>
      </c>
      <c r="C553" s="1">
        <v>11.03</v>
      </c>
      <c r="D553">
        <v>1009</v>
      </c>
      <c r="E553" t="str">
        <f>_xlfn.XLOOKUP(A553, 'Customer Information'!$A$1:$A$1001, 'Customer Information'!$B$1:$B$1001)</f>
        <v>Medium</v>
      </c>
      <c r="F553" t="str">
        <f>_xlfn.XLOOKUP(A553, 'Customer Information'!$A$1:$A$1001, 'Customer Information'!$C$1:$C$1001)</f>
        <v>College students</v>
      </c>
      <c r="G553" t="str">
        <f>_xlfn.XLOOKUP('Customer Information'!A553, 'Customer Information'!$A$1:$A$1001, 'Customer Information'!$D$1:$D$1001)</f>
        <v>No</v>
      </c>
      <c r="H553" t="str">
        <f>INDEX('Additional Product Info.'!$A$1:$C$1001, MATCH('Product Positioning'!$A553, 'Additional Product Info.'!$A$1:$A$1001, 0), MATCH('Product Positioning'!H$1, 'Additional Product Info.'!$A$1:$C$1, 0))</f>
        <v>End-cap</v>
      </c>
      <c r="I553" t="str">
        <f>INDEX('Additional Product Info.'!$A$1:$C$1001, MATCH('Product Positioning'!$A553, 'Additional Product Info.'!$A$1:$A$1001, 0), MATCH('Product Positioning'!I$1, 'Additional Product Info.'!$A$1:$C$1, 0))</f>
        <v>Clothing</v>
      </c>
      <c r="J553" t="str">
        <f>_xlfn.XLOOKUP(A553, $A$1:$A$1001, 'Additional Product Info.'!$D$1:$D$1001)</f>
        <v>Yes</v>
      </c>
      <c r="K553" s="1">
        <f t="shared" si="16"/>
        <v>12057.55</v>
      </c>
      <c r="L553" s="1">
        <f t="shared" si="17"/>
        <v>0.91999999999999993</v>
      </c>
      <c r="M553" t="str">
        <f>IF(L553&lt;=Statistics!$E$6,"Low Difference",IF('Product Positioning'!L553&gt;=Statistics!$E$4,"High Difference","Moderate Difference"))</f>
        <v>Low Difference</v>
      </c>
    </row>
    <row r="554" spans="1:13" x14ac:dyDescent="0.2">
      <c r="A554">
        <v>110709</v>
      </c>
      <c r="B554" s="1">
        <v>18.48</v>
      </c>
      <c r="C554" s="1">
        <v>17.43</v>
      </c>
      <c r="D554">
        <v>2450</v>
      </c>
      <c r="E554" t="str">
        <f>_xlfn.XLOOKUP(A554, 'Customer Information'!$A$1:$A$1001, 'Customer Information'!$B$1:$B$1001)</f>
        <v>Medium</v>
      </c>
      <c r="F554" t="str">
        <f>_xlfn.XLOOKUP(A554, 'Customer Information'!$A$1:$A$1001, 'Customer Information'!$C$1:$C$1001)</f>
        <v>College students</v>
      </c>
      <c r="G554" t="str">
        <f>_xlfn.XLOOKUP('Customer Information'!A554, 'Customer Information'!$A$1:$A$1001, 'Customer Information'!$D$1:$D$1001)</f>
        <v>No</v>
      </c>
      <c r="H554" t="str">
        <f>INDEX('Additional Product Info.'!$A$1:$C$1001, MATCH('Product Positioning'!$A554, 'Additional Product Info.'!$A$1:$A$1001, 0), MATCH('Product Positioning'!H$1, 'Additional Product Info.'!$A$1:$C$1, 0))</f>
        <v>Aisle</v>
      </c>
      <c r="I554" t="str">
        <f>INDEX('Additional Product Info.'!$A$1:$C$1001, MATCH('Product Positioning'!$A554, 'Additional Product Info.'!$A$1:$A$1001, 0), MATCH('Product Positioning'!I$1, 'Additional Product Info.'!$A$1:$C$1, 0))</f>
        <v>Food</v>
      </c>
      <c r="J554" t="str">
        <f>_xlfn.XLOOKUP(A554, $A$1:$A$1001, 'Additional Product Info.'!$D$1:$D$1001)</f>
        <v>Yes</v>
      </c>
      <c r="K554" s="1">
        <f t="shared" si="16"/>
        <v>45276</v>
      </c>
      <c r="L554" s="1">
        <f t="shared" si="17"/>
        <v>1.0500000000000007</v>
      </c>
      <c r="M554" t="str">
        <f>IF(L554&lt;=Statistics!$E$6,"Low Difference",IF('Product Positioning'!L554&gt;=Statistics!$E$4,"High Difference","Moderate Difference"))</f>
        <v>Low Difference</v>
      </c>
    </row>
    <row r="555" spans="1:13" x14ac:dyDescent="0.2">
      <c r="A555">
        <v>134034</v>
      </c>
      <c r="B555" s="1">
        <v>31.72</v>
      </c>
      <c r="C555" s="1">
        <v>28.87</v>
      </c>
      <c r="D555">
        <v>2571</v>
      </c>
      <c r="E555" t="str">
        <f>_xlfn.XLOOKUP(A555, 'Customer Information'!$A$1:$A$1001, 'Customer Information'!$B$1:$B$1001)</f>
        <v>High</v>
      </c>
      <c r="F555" t="str">
        <f>_xlfn.XLOOKUP(A555, 'Customer Information'!$A$1:$A$1001, 'Customer Information'!$C$1:$C$1001)</f>
        <v>Young adults</v>
      </c>
      <c r="G555" t="str">
        <f>_xlfn.XLOOKUP('Customer Information'!A555, 'Customer Information'!$A$1:$A$1001, 'Customer Information'!$D$1:$D$1001)</f>
        <v>Yes</v>
      </c>
      <c r="H555" t="str">
        <f>INDEX('Additional Product Info.'!$A$1:$C$1001, MATCH('Product Positioning'!$A555, 'Additional Product Info.'!$A$1:$A$1001, 0), MATCH('Product Positioning'!H$1, 'Additional Product Info.'!$A$1:$C$1, 0))</f>
        <v>Front of Store</v>
      </c>
      <c r="I555" t="str">
        <f>INDEX('Additional Product Info.'!$A$1:$C$1001, MATCH('Product Positioning'!$A555, 'Additional Product Info.'!$A$1:$A$1001, 0), MATCH('Product Positioning'!I$1, 'Additional Product Info.'!$A$1:$C$1, 0))</f>
        <v>Clothing</v>
      </c>
      <c r="J555" t="str">
        <f>_xlfn.XLOOKUP(A555, $A$1:$A$1001, 'Additional Product Info.'!$D$1:$D$1001)</f>
        <v>Yes</v>
      </c>
      <c r="K555" s="1">
        <f t="shared" si="16"/>
        <v>81552.12</v>
      </c>
      <c r="L555" s="1">
        <f t="shared" si="17"/>
        <v>2.8499999999999979</v>
      </c>
      <c r="M555" t="str">
        <f>IF(L555&lt;=Statistics!$E$6,"Low Difference",IF('Product Positioning'!L555&gt;=Statistics!$E$4,"High Difference","Moderate Difference"))</f>
        <v>Moderate Difference</v>
      </c>
    </row>
    <row r="556" spans="1:13" x14ac:dyDescent="0.2">
      <c r="A556">
        <v>165430</v>
      </c>
      <c r="B556" s="1">
        <v>29.45</v>
      </c>
      <c r="C556" s="1">
        <v>26.6</v>
      </c>
      <c r="D556">
        <v>2815</v>
      </c>
      <c r="E556" t="str">
        <f>_xlfn.XLOOKUP(A556, 'Customer Information'!$A$1:$A$1001, 'Customer Information'!$B$1:$B$1001)</f>
        <v>High</v>
      </c>
      <c r="F556" t="str">
        <f>_xlfn.XLOOKUP(A556, 'Customer Information'!$A$1:$A$1001, 'Customer Information'!$C$1:$C$1001)</f>
        <v>College students</v>
      </c>
      <c r="G556" t="str">
        <f>_xlfn.XLOOKUP('Customer Information'!A556, 'Customer Information'!$A$1:$A$1001, 'Customer Information'!$D$1:$D$1001)</f>
        <v>Yes</v>
      </c>
      <c r="H556" t="str">
        <f>INDEX('Additional Product Info.'!$A$1:$C$1001, MATCH('Product Positioning'!$A556, 'Additional Product Info.'!$A$1:$A$1001, 0), MATCH('Product Positioning'!H$1, 'Additional Product Info.'!$A$1:$C$1, 0))</f>
        <v>Aisle</v>
      </c>
      <c r="I556" t="str">
        <f>INDEX('Additional Product Info.'!$A$1:$C$1001, MATCH('Product Positioning'!$A556, 'Additional Product Info.'!$A$1:$A$1001, 0), MATCH('Product Positioning'!I$1, 'Additional Product Info.'!$A$1:$C$1, 0))</f>
        <v>Food</v>
      </c>
      <c r="J556" t="str">
        <f>_xlfn.XLOOKUP(A556, $A$1:$A$1001, 'Additional Product Info.'!$D$1:$D$1001)</f>
        <v>No</v>
      </c>
      <c r="K556" s="1">
        <f t="shared" si="16"/>
        <v>82901.75</v>
      </c>
      <c r="L556" s="1">
        <f t="shared" si="17"/>
        <v>2.8499999999999979</v>
      </c>
      <c r="M556" t="str">
        <f>IF(L556&lt;=Statistics!$E$6,"Low Difference",IF('Product Positioning'!L556&gt;=Statistics!$E$4,"High Difference","Moderate Difference"))</f>
        <v>Moderate Difference</v>
      </c>
    </row>
    <row r="557" spans="1:13" x14ac:dyDescent="0.2">
      <c r="A557">
        <v>192396</v>
      </c>
      <c r="B557" s="1">
        <v>7.32</v>
      </c>
      <c r="C557" s="1">
        <v>7.08</v>
      </c>
      <c r="D557">
        <v>1039</v>
      </c>
      <c r="E557" t="str">
        <f>_xlfn.XLOOKUP(A557, 'Customer Information'!$A$1:$A$1001, 'Customer Information'!$B$1:$B$1001)</f>
        <v>Low</v>
      </c>
      <c r="F557" t="str">
        <f>_xlfn.XLOOKUP(A557, 'Customer Information'!$A$1:$A$1001, 'Customer Information'!$C$1:$C$1001)</f>
        <v>Families</v>
      </c>
      <c r="G557" t="str">
        <f>_xlfn.XLOOKUP('Customer Information'!A557, 'Customer Information'!$A$1:$A$1001, 'Customer Information'!$D$1:$D$1001)</f>
        <v>No</v>
      </c>
      <c r="H557" t="str">
        <f>INDEX('Additional Product Info.'!$A$1:$C$1001, MATCH('Product Positioning'!$A557, 'Additional Product Info.'!$A$1:$A$1001, 0), MATCH('Product Positioning'!H$1, 'Additional Product Info.'!$A$1:$C$1, 0))</f>
        <v>Front of Store</v>
      </c>
      <c r="I557" t="str">
        <f>INDEX('Additional Product Info.'!$A$1:$C$1001, MATCH('Product Positioning'!$A557, 'Additional Product Info.'!$A$1:$A$1001, 0), MATCH('Product Positioning'!I$1, 'Additional Product Info.'!$A$1:$C$1, 0))</f>
        <v>Food</v>
      </c>
      <c r="J557" t="str">
        <f>_xlfn.XLOOKUP(A557, $A$1:$A$1001, 'Additional Product Info.'!$D$1:$D$1001)</f>
        <v>Yes</v>
      </c>
      <c r="K557" s="1">
        <f t="shared" si="16"/>
        <v>7605.4800000000005</v>
      </c>
      <c r="L557" s="1">
        <f t="shared" si="17"/>
        <v>0.24000000000000021</v>
      </c>
      <c r="M557" t="str">
        <f>IF(L557&lt;=Statistics!$E$6,"Low Difference",IF('Product Positioning'!L557&gt;=Statistics!$E$4,"High Difference","Moderate Difference"))</f>
        <v>Low Difference</v>
      </c>
    </row>
    <row r="558" spans="1:13" x14ac:dyDescent="0.2">
      <c r="A558">
        <v>115581</v>
      </c>
      <c r="B558" s="1">
        <v>44.47</v>
      </c>
      <c r="C558" s="1">
        <v>40.07</v>
      </c>
      <c r="D558">
        <v>2455</v>
      </c>
      <c r="E558" t="str">
        <f>_xlfn.XLOOKUP(A558, 'Customer Information'!$A$1:$A$1001, 'Customer Information'!$B$1:$B$1001)</f>
        <v>Medium</v>
      </c>
      <c r="F558" t="str">
        <f>_xlfn.XLOOKUP(A558, 'Customer Information'!$A$1:$A$1001, 'Customer Information'!$C$1:$C$1001)</f>
        <v>College students</v>
      </c>
      <c r="G558" t="str">
        <f>_xlfn.XLOOKUP('Customer Information'!A558, 'Customer Information'!$A$1:$A$1001, 'Customer Information'!$D$1:$D$1001)</f>
        <v>No</v>
      </c>
      <c r="H558" t="str">
        <f>INDEX('Additional Product Info.'!$A$1:$C$1001, MATCH('Product Positioning'!$A558, 'Additional Product Info.'!$A$1:$A$1001, 0), MATCH('Product Positioning'!H$1, 'Additional Product Info.'!$A$1:$C$1, 0))</f>
        <v>Aisle</v>
      </c>
      <c r="I558" t="str">
        <f>INDEX('Additional Product Info.'!$A$1:$C$1001, MATCH('Product Positioning'!$A558, 'Additional Product Info.'!$A$1:$A$1001, 0), MATCH('Product Positioning'!I$1, 'Additional Product Info.'!$A$1:$C$1, 0))</f>
        <v>Clothing</v>
      </c>
      <c r="J558" t="str">
        <f>_xlfn.XLOOKUP(A558, $A$1:$A$1001, 'Additional Product Info.'!$D$1:$D$1001)</f>
        <v>Yes</v>
      </c>
      <c r="K558" s="1">
        <f t="shared" si="16"/>
        <v>109173.84999999999</v>
      </c>
      <c r="L558" s="1">
        <f t="shared" si="17"/>
        <v>4.3999999999999986</v>
      </c>
      <c r="M558" t="str">
        <f>IF(L558&lt;=Statistics!$E$6,"Low Difference",IF('Product Positioning'!L558&gt;=Statistics!$E$4,"High Difference","Moderate Difference"))</f>
        <v>High Difference</v>
      </c>
    </row>
    <row r="559" spans="1:13" x14ac:dyDescent="0.2">
      <c r="A559">
        <v>149662</v>
      </c>
      <c r="B559" s="1">
        <v>13.33</v>
      </c>
      <c r="C559" s="1">
        <v>11.68</v>
      </c>
      <c r="D559">
        <v>1376</v>
      </c>
      <c r="E559" t="str">
        <f>_xlfn.XLOOKUP(A559, 'Customer Information'!$A$1:$A$1001, 'Customer Information'!$B$1:$B$1001)</f>
        <v>Low</v>
      </c>
      <c r="F559" t="str">
        <f>_xlfn.XLOOKUP(A559, 'Customer Information'!$A$1:$A$1001, 'Customer Information'!$C$1:$C$1001)</f>
        <v>College students</v>
      </c>
      <c r="G559" t="str">
        <f>_xlfn.XLOOKUP('Customer Information'!A559, 'Customer Information'!$A$1:$A$1001, 'Customer Information'!$D$1:$D$1001)</f>
        <v>Yes</v>
      </c>
      <c r="H559" t="str">
        <f>INDEX('Additional Product Info.'!$A$1:$C$1001, MATCH('Product Positioning'!$A559, 'Additional Product Info.'!$A$1:$A$1001, 0), MATCH('Product Positioning'!H$1, 'Additional Product Info.'!$A$1:$C$1, 0))</f>
        <v>End-cap</v>
      </c>
      <c r="I559" t="str">
        <f>INDEX('Additional Product Info.'!$A$1:$C$1001, MATCH('Product Positioning'!$A559, 'Additional Product Info.'!$A$1:$A$1001, 0), MATCH('Product Positioning'!I$1, 'Additional Product Info.'!$A$1:$C$1, 0))</f>
        <v>Electronics</v>
      </c>
      <c r="J559" t="str">
        <f>_xlfn.XLOOKUP(A559, $A$1:$A$1001, 'Additional Product Info.'!$D$1:$D$1001)</f>
        <v>No</v>
      </c>
      <c r="K559" s="1">
        <f t="shared" si="16"/>
        <v>18342.080000000002</v>
      </c>
      <c r="L559" s="1">
        <f t="shared" si="17"/>
        <v>1.6500000000000004</v>
      </c>
      <c r="M559" t="str">
        <f>IF(L559&lt;=Statistics!$E$6,"Low Difference",IF('Product Positioning'!L559&gt;=Statistics!$E$4,"High Difference","Moderate Difference"))</f>
        <v>Moderate Difference</v>
      </c>
    </row>
    <row r="560" spans="1:13" x14ac:dyDescent="0.2">
      <c r="A560">
        <v>169368</v>
      </c>
      <c r="B560" s="1">
        <v>24.1</v>
      </c>
      <c r="C560" s="1">
        <v>19.13</v>
      </c>
      <c r="D560">
        <v>1955</v>
      </c>
      <c r="E560" t="str">
        <f>_xlfn.XLOOKUP(A560, 'Customer Information'!$A$1:$A$1001, 'Customer Information'!$B$1:$B$1001)</f>
        <v>High</v>
      </c>
      <c r="F560" t="str">
        <f>_xlfn.XLOOKUP(A560, 'Customer Information'!$A$1:$A$1001, 'Customer Information'!$C$1:$C$1001)</f>
        <v>Families</v>
      </c>
      <c r="G560" t="str">
        <f>_xlfn.XLOOKUP('Customer Information'!A560, 'Customer Information'!$A$1:$A$1001, 'Customer Information'!$D$1:$D$1001)</f>
        <v>Yes</v>
      </c>
      <c r="H560" t="str">
        <f>INDEX('Additional Product Info.'!$A$1:$C$1001, MATCH('Product Positioning'!$A560, 'Additional Product Info.'!$A$1:$A$1001, 0), MATCH('Product Positioning'!H$1, 'Additional Product Info.'!$A$1:$C$1, 0))</f>
        <v>Front of Store</v>
      </c>
      <c r="I560" t="str">
        <f>INDEX('Additional Product Info.'!$A$1:$C$1001, MATCH('Product Positioning'!$A560, 'Additional Product Info.'!$A$1:$A$1001, 0), MATCH('Product Positioning'!I$1, 'Additional Product Info.'!$A$1:$C$1, 0))</f>
        <v>Food</v>
      </c>
      <c r="J560" t="str">
        <f>_xlfn.XLOOKUP(A560, $A$1:$A$1001, 'Additional Product Info.'!$D$1:$D$1001)</f>
        <v>No</v>
      </c>
      <c r="K560" s="1">
        <f t="shared" si="16"/>
        <v>47115.5</v>
      </c>
      <c r="L560" s="1">
        <f t="shared" si="17"/>
        <v>4.9700000000000024</v>
      </c>
      <c r="M560" t="str">
        <f>IF(L560&lt;=Statistics!$E$6,"Low Difference",IF('Product Positioning'!L560&gt;=Statistics!$E$4,"High Difference","Moderate Difference"))</f>
        <v>High Difference</v>
      </c>
    </row>
    <row r="561" spans="1:13" x14ac:dyDescent="0.2">
      <c r="A561">
        <v>173174</v>
      </c>
      <c r="B561" s="1">
        <v>12.05</v>
      </c>
      <c r="C561" s="1">
        <v>9.14</v>
      </c>
      <c r="D561">
        <v>636</v>
      </c>
      <c r="E561" t="str">
        <f>_xlfn.XLOOKUP(A561, 'Customer Information'!$A$1:$A$1001, 'Customer Information'!$B$1:$B$1001)</f>
        <v>High</v>
      </c>
      <c r="F561" t="str">
        <f>_xlfn.XLOOKUP(A561, 'Customer Information'!$A$1:$A$1001, 'Customer Information'!$C$1:$C$1001)</f>
        <v>Seniors</v>
      </c>
      <c r="G561" t="str">
        <f>_xlfn.XLOOKUP('Customer Information'!A561, 'Customer Information'!$A$1:$A$1001, 'Customer Information'!$D$1:$D$1001)</f>
        <v>No</v>
      </c>
      <c r="H561" t="str">
        <f>INDEX('Additional Product Info.'!$A$1:$C$1001, MATCH('Product Positioning'!$A561, 'Additional Product Info.'!$A$1:$A$1001, 0), MATCH('Product Positioning'!H$1, 'Additional Product Info.'!$A$1:$C$1, 0))</f>
        <v>End-cap</v>
      </c>
      <c r="I561" t="str">
        <f>INDEX('Additional Product Info.'!$A$1:$C$1001, MATCH('Product Positioning'!$A561, 'Additional Product Info.'!$A$1:$A$1001, 0), MATCH('Product Positioning'!I$1, 'Additional Product Info.'!$A$1:$C$1, 0))</f>
        <v>Clothing</v>
      </c>
      <c r="J561" t="str">
        <f>_xlfn.XLOOKUP(A561, $A$1:$A$1001, 'Additional Product Info.'!$D$1:$D$1001)</f>
        <v>No</v>
      </c>
      <c r="K561" s="1">
        <f t="shared" si="16"/>
        <v>7663.8</v>
      </c>
      <c r="L561" s="1">
        <f t="shared" si="17"/>
        <v>2.91</v>
      </c>
      <c r="M561" t="str">
        <f>IF(L561&lt;=Statistics!$E$6,"Low Difference",IF('Product Positioning'!L561&gt;=Statistics!$E$4,"High Difference","Moderate Difference"))</f>
        <v>Moderate Difference</v>
      </c>
    </row>
    <row r="562" spans="1:13" x14ac:dyDescent="0.2">
      <c r="A562">
        <v>153411</v>
      </c>
      <c r="B562" s="1">
        <v>25.9</v>
      </c>
      <c r="C562" s="1">
        <v>25.7</v>
      </c>
      <c r="D562">
        <v>869</v>
      </c>
      <c r="E562" t="str">
        <f>_xlfn.XLOOKUP(A562, 'Customer Information'!$A$1:$A$1001, 'Customer Information'!$B$1:$B$1001)</f>
        <v>Low</v>
      </c>
      <c r="F562" t="str">
        <f>_xlfn.XLOOKUP(A562, 'Customer Information'!$A$1:$A$1001, 'Customer Information'!$C$1:$C$1001)</f>
        <v>Families</v>
      </c>
      <c r="G562" t="str">
        <f>_xlfn.XLOOKUP('Customer Information'!A562, 'Customer Information'!$A$1:$A$1001, 'Customer Information'!$D$1:$D$1001)</f>
        <v>Yes</v>
      </c>
      <c r="H562" t="str">
        <f>INDEX('Additional Product Info.'!$A$1:$C$1001, MATCH('Product Positioning'!$A562, 'Additional Product Info.'!$A$1:$A$1001, 0), MATCH('Product Positioning'!H$1, 'Additional Product Info.'!$A$1:$C$1, 0))</f>
        <v>Front of Store</v>
      </c>
      <c r="I562" t="str">
        <f>INDEX('Additional Product Info.'!$A$1:$C$1001, MATCH('Product Positioning'!$A562, 'Additional Product Info.'!$A$1:$A$1001, 0), MATCH('Product Positioning'!I$1, 'Additional Product Info.'!$A$1:$C$1, 0))</f>
        <v>Clothing</v>
      </c>
      <c r="J562" t="str">
        <f>_xlfn.XLOOKUP(A562, $A$1:$A$1001, 'Additional Product Info.'!$D$1:$D$1001)</f>
        <v>Yes</v>
      </c>
      <c r="K562" s="1">
        <f t="shared" si="16"/>
        <v>22507.1</v>
      </c>
      <c r="L562" s="1">
        <f t="shared" si="17"/>
        <v>0.19999999999999929</v>
      </c>
      <c r="M562" t="str">
        <f>IF(L562&lt;=Statistics!$E$6,"Low Difference",IF('Product Positioning'!L562&gt;=Statistics!$E$4,"High Difference","Moderate Difference"))</f>
        <v>Low Difference</v>
      </c>
    </row>
    <row r="563" spans="1:13" x14ac:dyDescent="0.2">
      <c r="A563">
        <v>135465</v>
      </c>
      <c r="B563" s="1">
        <v>12.65</v>
      </c>
      <c r="C563" s="1">
        <v>11.97</v>
      </c>
      <c r="D563">
        <v>1015</v>
      </c>
      <c r="E563" t="str">
        <f>_xlfn.XLOOKUP(A563, 'Customer Information'!$A$1:$A$1001, 'Customer Information'!$B$1:$B$1001)</f>
        <v>High</v>
      </c>
      <c r="F563" t="str">
        <f>_xlfn.XLOOKUP(A563, 'Customer Information'!$A$1:$A$1001, 'Customer Information'!$C$1:$C$1001)</f>
        <v>College students</v>
      </c>
      <c r="G563" t="str">
        <f>_xlfn.XLOOKUP('Customer Information'!A563, 'Customer Information'!$A$1:$A$1001, 'Customer Information'!$D$1:$D$1001)</f>
        <v>Yes</v>
      </c>
      <c r="H563" t="str">
        <f>INDEX('Additional Product Info.'!$A$1:$C$1001, MATCH('Product Positioning'!$A563, 'Additional Product Info.'!$A$1:$A$1001, 0), MATCH('Product Positioning'!H$1, 'Additional Product Info.'!$A$1:$C$1, 0))</f>
        <v>Aisle</v>
      </c>
      <c r="I563" t="str">
        <f>INDEX('Additional Product Info.'!$A$1:$C$1001, MATCH('Product Positioning'!$A563, 'Additional Product Info.'!$A$1:$A$1001, 0), MATCH('Product Positioning'!I$1, 'Additional Product Info.'!$A$1:$C$1, 0))</f>
        <v>Food</v>
      </c>
      <c r="J563" t="str">
        <f>_xlfn.XLOOKUP(A563, $A$1:$A$1001, 'Additional Product Info.'!$D$1:$D$1001)</f>
        <v>No</v>
      </c>
      <c r="K563" s="1">
        <f t="shared" si="16"/>
        <v>12839.75</v>
      </c>
      <c r="L563" s="1">
        <f t="shared" si="17"/>
        <v>0.67999999999999972</v>
      </c>
      <c r="M563" t="str">
        <f>IF(L563&lt;=Statistics!$E$6,"Low Difference",IF('Product Positioning'!L563&gt;=Statistics!$E$4,"High Difference","Moderate Difference"))</f>
        <v>Low Difference</v>
      </c>
    </row>
    <row r="564" spans="1:13" x14ac:dyDescent="0.2">
      <c r="A564">
        <v>151005</v>
      </c>
      <c r="B564" s="1">
        <v>17.79</v>
      </c>
      <c r="C564" s="1">
        <v>12.86</v>
      </c>
      <c r="D564">
        <v>1276</v>
      </c>
      <c r="E564" t="str">
        <f>_xlfn.XLOOKUP(A564, 'Customer Information'!$A$1:$A$1001, 'Customer Information'!$B$1:$B$1001)</f>
        <v>Low</v>
      </c>
      <c r="F564" t="str">
        <f>_xlfn.XLOOKUP(A564, 'Customer Information'!$A$1:$A$1001, 'Customer Information'!$C$1:$C$1001)</f>
        <v>Seniors</v>
      </c>
      <c r="G564" t="str">
        <f>_xlfn.XLOOKUP('Customer Information'!A564, 'Customer Information'!$A$1:$A$1001, 'Customer Information'!$D$1:$D$1001)</f>
        <v>No</v>
      </c>
      <c r="H564" t="str">
        <f>INDEX('Additional Product Info.'!$A$1:$C$1001, MATCH('Product Positioning'!$A564, 'Additional Product Info.'!$A$1:$A$1001, 0), MATCH('Product Positioning'!H$1, 'Additional Product Info.'!$A$1:$C$1, 0))</f>
        <v>End-cap</v>
      </c>
      <c r="I564" t="str">
        <f>INDEX('Additional Product Info.'!$A$1:$C$1001, MATCH('Product Positioning'!$A564, 'Additional Product Info.'!$A$1:$A$1001, 0), MATCH('Product Positioning'!I$1, 'Additional Product Info.'!$A$1:$C$1, 0))</f>
        <v>Food</v>
      </c>
      <c r="J564" t="str">
        <f>_xlfn.XLOOKUP(A564, $A$1:$A$1001, 'Additional Product Info.'!$D$1:$D$1001)</f>
        <v>No</v>
      </c>
      <c r="K564" s="1">
        <f t="shared" si="16"/>
        <v>22700.039999999997</v>
      </c>
      <c r="L564" s="1">
        <f t="shared" si="17"/>
        <v>4.93</v>
      </c>
      <c r="M564" t="str">
        <f>IF(L564&lt;=Statistics!$E$6,"Low Difference",IF('Product Positioning'!L564&gt;=Statistics!$E$4,"High Difference","Moderate Difference"))</f>
        <v>High Difference</v>
      </c>
    </row>
    <row r="565" spans="1:13" x14ac:dyDescent="0.2">
      <c r="A565">
        <v>172517</v>
      </c>
      <c r="B565" s="1">
        <v>23.94</v>
      </c>
      <c r="C565" s="1">
        <v>19.7</v>
      </c>
      <c r="D565">
        <v>808</v>
      </c>
      <c r="E565" t="str">
        <f>_xlfn.XLOOKUP(A565, 'Customer Information'!$A$1:$A$1001, 'Customer Information'!$B$1:$B$1001)</f>
        <v>Medium</v>
      </c>
      <c r="F565" t="str">
        <f>_xlfn.XLOOKUP(A565, 'Customer Information'!$A$1:$A$1001, 'Customer Information'!$C$1:$C$1001)</f>
        <v>Seniors</v>
      </c>
      <c r="G565" t="str">
        <f>_xlfn.XLOOKUP('Customer Information'!A565, 'Customer Information'!$A$1:$A$1001, 'Customer Information'!$D$1:$D$1001)</f>
        <v>No</v>
      </c>
      <c r="H565" t="str">
        <f>INDEX('Additional Product Info.'!$A$1:$C$1001, MATCH('Product Positioning'!$A565, 'Additional Product Info.'!$A$1:$A$1001, 0), MATCH('Product Positioning'!H$1, 'Additional Product Info.'!$A$1:$C$1, 0))</f>
        <v>Aisle</v>
      </c>
      <c r="I565" t="str">
        <f>INDEX('Additional Product Info.'!$A$1:$C$1001, MATCH('Product Positioning'!$A565, 'Additional Product Info.'!$A$1:$A$1001, 0), MATCH('Product Positioning'!I$1, 'Additional Product Info.'!$A$1:$C$1, 0))</f>
        <v>Electronics</v>
      </c>
      <c r="J565" t="str">
        <f>_xlfn.XLOOKUP(A565, $A$1:$A$1001, 'Additional Product Info.'!$D$1:$D$1001)</f>
        <v>Yes</v>
      </c>
      <c r="K565" s="1">
        <f t="shared" si="16"/>
        <v>19343.52</v>
      </c>
      <c r="L565" s="1">
        <f t="shared" si="17"/>
        <v>4.240000000000002</v>
      </c>
      <c r="M565" t="str">
        <f>IF(L565&lt;=Statistics!$E$6,"Low Difference",IF('Product Positioning'!L565&gt;=Statistics!$E$4,"High Difference","Moderate Difference"))</f>
        <v>High Difference</v>
      </c>
    </row>
    <row r="566" spans="1:13" x14ac:dyDescent="0.2">
      <c r="A566">
        <v>113368</v>
      </c>
      <c r="B566" s="1">
        <v>17.48</v>
      </c>
      <c r="C566" s="1">
        <v>12.55</v>
      </c>
      <c r="D566">
        <v>2682</v>
      </c>
      <c r="E566" t="str">
        <f>_xlfn.XLOOKUP(A566, 'Customer Information'!$A$1:$A$1001, 'Customer Information'!$B$1:$B$1001)</f>
        <v>High</v>
      </c>
      <c r="F566" t="str">
        <f>_xlfn.XLOOKUP(A566, 'Customer Information'!$A$1:$A$1001, 'Customer Information'!$C$1:$C$1001)</f>
        <v>Young adults</v>
      </c>
      <c r="G566" t="str">
        <f>_xlfn.XLOOKUP('Customer Information'!A566, 'Customer Information'!$A$1:$A$1001, 'Customer Information'!$D$1:$D$1001)</f>
        <v>No</v>
      </c>
      <c r="H566" t="str">
        <f>INDEX('Additional Product Info.'!$A$1:$C$1001, MATCH('Product Positioning'!$A566, 'Additional Product Info.'!$A$1:$A$1001, 0), MATCH('Product Positioning'!H$1, 'Additional Product Info.'!$A$1:$C$1, 0))</f>
        <v>End-cap</v>
      </c>
      <c r="I566" t="str">
        <f>INDEX('Additional Product Info.'!$A$1:$C$1001, MATCH('Product Positioning'!$A566, 'Additional Product Info.'!$A$1:$A$1001, 0), MATCH('Product Positioning'!I$1, 'Additional Product Info.'!$A$1:$C$1, 0))</f>
        <v>Clothing</v>
      </c>
      <c r="J566" t="str">
        <f>_xlfn.XLOOKUP(A566, $A$1:$A$1001, 'Additional Product Info.'!$D$1:$D$1001)</f>
        <v>Yes</v>
      </c>
      <c r="K566" s="1">
        <f t="shared" si="16"/>
        <v>46881.36</v>
      </c>
      <c r="L566" s="1">
        <f t="shared" si="17"/>
        <v>4.93</v>
      </c>
      <c r="M566" t="str">
        <f>IF(L566&lt;=Statistics!$E$6,"Low Difference",IF('Product Positioning'!L566&gt;=Statistics!$E$4,"High Difference","Moderate Difference"))</f>
        <v>High Difference</v>
      </c>
    </row>
    <row r="567" spans="1:13" x14ac:dyDescent="0.2">
      <c r="A567">
        <v>112801</v>
      </c>
      <c r="B567" s="1">
        <v>41.6</v>
      </c>
      <c r="C567" s="1">
        <v>38.31</v>
      </c>
      <c r="D567">
        <v>1363</v>
      </c>
      <c r="E567" t="str">
        <f>_xlfn.XLOOKUP(A567, 'Customer Information'!$A$1:$A$1001, 'Customer Information'!$B$1:$B$1001)</f>
        <v>High</v>
      </c>
      <c r="F567" t="str">
        <f>_xlfn.XLOOKUP(A567, 'Customer Information'!$A$1:$A$1001, 'Customer Information'!$C$1:$C$1001)</f>
        <v>Young adults</v>
      </c>
      <c r="G567" t="str">
        <f>_xlfn.XLOOKUP('Customer Information'!A567, 'Customer Information'!$A$1:$A$1001, 'Customer Information'!$D$1:$D$1001)</f>
        <v>Yes</v>
      </c>
      <c r="H567" t="str">
        <f>INDEX('Additional Product Info.'!$A$1:$C$1001, MATCH('Product Positioning'!$A567, 'Additional Product Info.'!$A$1:$A$1001, 0), MATCH('Product Positioning'!H$1, 'Additional Product Info.'!$A$1:$C$1, 0))</f>
        <v>Front of Store</v>
      </c>
      <c r="I567" t="str">
        <f>INDEX('Additional Product Info.'!$A$1:$C$1001, MATCH('Product Positioning'!$A567, 'Additional Product Info.'!$A$1:$A$1001, 0), MATCH('Product Positioning'!I$1, 'Additional Product Info.'!$A$1:$C$1, 0))</f>
        <v>Food</v>
      </c>
      <c r="J567" t="str">
        <f>_xlfn.XLOOKUP(A567, $A$1:$A$1001, 'Additional Product Info.'!$D$1:$D$1001)</f>
        <v>Yes</v>
      </c>
      <c r="K567" s="1">
        <f t="shared" si="16"/>
        <v>56700.800000000003</v>
      </c>
      <c r="L567" s="1">
        <f t="shared" si="17"/>
        <v>3.2899999999999991</v>
      </c>
      <c r="M567" t="str">
        <f>IF(L567&lt;=Statistics!$E$6,"Low Difference",IF('Product Positioning'!L567&gt;=Statistics!$E$4,"High Difference","Moderate Difference"))</f>
        <v>Moderate Difference</v>
      </c>
    </row>
    <row r="568" spans="1:13" x14ac:dyDescent="0.2">
      <c r="A568">
        <v>163286</v>
      </c>
      <c r="B568" s="1">
        <v>49.64</v>
      </c>
      <c r="C568" s="1">
        <v>48.84</v>
      </c>
      <c r="D568">
        <v>2184</v>
      </c>
      <c r="E568" t="str">
        <f>_xlfn.XLOOKUP(A568, 'Customer Information'!$A$1:$A$1001, 'Customer Information'!$B$1:$B$1001)</f>
        <v>Low</v>
      </c>
      <c r="F568" t="str">
        <f>_xlfn.XLOOKUP(A568, 'Customer Information'!$A$1:$A$1001, 'Customer Information'!$C$1:$C$1001)</f>
        <v>Young adults</v>
      </c>
      <c r="G568" t="str">
        <f>_xlfn.XLOOKUP('Customer Information'!A568, 'Customer Information'!$A$1:$A$1001, 'Customer Information'!$D$1:$D$1001)</f>
        <v>No</v>
      </c>
      <c r="H568" t="str">
        <f>INDEX('Additional Product Info.'!$A$1:$C$1001, MATCH('Product Positioning'!$A568, 'Additional Product Info.'!$A$1:$A$1001, 0), MATCH('Product Positioning'!H$1, 'Additional Product Info.'!$A$1:$C$1, 0))</f>
        <v>Aisle</v>
      </c>
      <c r="I568" t="str">
        <f>INDEX('Additional Product Info.'!$A$1:$C$1001, MATCH('Product Positioning'!$A568, 'Additional Product Info.'!$A$1:$A$1001, 0), MATCH('Product Positioning'!I$1, 'Additional Product Info.'!$A$1:$C$1, 0))</f>
        <v>Food</v>
      </c>
      <c r="J568" t="str">
        <f>_xlfn.XLOOKUP(A568, $A$1:$A$1001, 'Additional Product Info.'!$D$1:$D$1001)</f>
        <v>No</v>
      </c>
      <c r="K568" s="1">
        <f t="shared" si="16"/>
        <v>108413.75999999999</v>
      </c>
      <c r="L568" s="1">
        <f t="shared" si="17"/>
        <v>0.79999999999999716</v>
      </c>
      <c r="M568" t="str">
        <f>IF(L568&lt;=Statistics!$E$6,"Low Difference",IF('Product Positioning'!L568&gt;=Statistics!$E$4,"High Difference","Moderate Difference"))</f>
        <v>Low Difference</v>
      </c>
    </row>
    <row r="569" spans="1:13" x14ac:dyDescent="0.2">
      <c r="A569">
        <v>175963</v>
      </c>
      <c r="B569" s="1">
        <v>15.09</v>
      </c>
      <c r="C569" s="1">
        <v>12.43</v>
      </c>
      <c r="D569">
        <v>1417</v>
      </c>
      <c r="E569" t="str">
        <f>_xlfn.XLOOKUP(A569, 'Customer Information'!$A$1:$A$1001, 'Customer Information'!$B$1:$B$1001)</f>
        <v>High</v>
      </c>
      <c r="F569" t="str">
        <f>_xlfn.XLOOKUP(A569, 'Customer Information'!$A$1:$A$1001, 'Customer Information'!$C$1:$C$1001)</f>
        <v>College students</v>
      </c>
      <c r="G569" t="str">
        <f>_xlfn.XLOOKUP('Customer Information'!A569, 'Customer Information'!$A$1:$A$1001, 'Customer Information'!$D$1:$D$1001)</f>
        <v>Yes</v>
      </c>
      <c r="H569" t="str">
        <f>INDEX('Additional Product Info.'!$A$1:$C$1001, MATCH('Product Positioning'!$A569, 'Additional Product Info.'!$A$1:$A$1001, 0), MATCH('Product Positioning'!H$1, 'Additional Product Info.'!$A$1:$C$1, 0))</f>
        <v>End-cap</v>
      </c>
      <c r="I569" t="str">
        <f>INDEX('Additional Product Info.'!$A$1:$C$1001, MATCH('Product Positioning'!$A569, 'Additional Product Info.'!$A$1:$A$1001, 0), MATCH('Product Positioning'!I$1, 'Additional Product Info.'!$A$1:$C$1, 0))</f>
        <v>Clothing</v>
      </c>
      <c r="J569" t="str">
        <f>_xlfn.XLOOKUP(A569, $A$1:$A$1001, 'Additional Product Info.'!$D$1:$D$1001)</f>
        <v>Yes</v>
      </c>
      <c r="K569" s="1">
        <f t="shared" si="16"/>
        <v>21382.53</v>
      </c>
      <c r="L569" s="1">
        <f t="shared" si="17"/>
        <v>2.66</v>
      </c>
      <c r="M569" t="str">
        <f>IF(L569&lt;=Statistics!$E$6,"Low Difference",IF('Product Positioning'!L569&gt;=Statistics!$E$4,"High Difference","Moderate Difference"))</f>
        <v>Moderate Difference</v>
      </c>
    </row>
    <row r="570" spans="1:13" x14ac:dyDescent="0.2">
      <c r="A570">
        <v>119258</v>
      </c>
      <c r="B570" s="1">
        <v>41.97</v>
      </c>
      <c r="C570" s="1">
        <v>40.32</v>
      </c>
      <c r="D570">
        <v>1415</v>
      </c>
      <c r="E570" t="str">
        <f>_xlfn.XLOOKUP(A570, 'Customer Information'!$A$1:$A$1001, 'Customer Information'!$B$1:$B$1001)</f>
        <v>Medium</v>
      </c>
      <c r="F570" t="str">
        <f>_xlfn.XLOOKUP(A570, 'Customer Information'!$A$1:$A$1001, 'Customer Information'!$C$1:$C$1001)</f>
        <v>Families</v>
      </c>
      <c r="G570" t="str">
        <f>_xlfn.XLOOKUP('Customer Information'!A570, 'Customer Information'!$A$1:$A$1001, 'Customer Information'!$D$1:$D$1001)</f>
        <v>No</v>
      </c>
      <c r="H570" t="str">
        <f>INDEX('Additional Product Info.'!$A$1:$C$1001, MATCH('Product Positioning'!$A570, 'Additional Product Info.'!$A$1:$A$1001, 0), MATCH('Product Positioning'!H$1, 'Additional Product Info.'!$A$1:$C$1, 0))</f>
        <v>End-cap</v>
      </c>
      <c r="I570" t="str">
        <f>INDEX('Additional Product Info.'!$A$1:$C$1001, MATCH('Product Positioning'!$A570, 'Additional Product Info.'!$A$1:$A$1001, 0), MATCH('Product Positioning'!I$1, 'Additional Product Info.'!$A$1:$C$1, 0))</f>
        <v>Clothing</v>
      </c>
      <c r="J570" t="str">
        <f>_xlfn.XLOOKUP(A570, $A$1:$A$1001, 'Additional Product Info.'!$D$1:$D$1001)</f>
        <v>No</v>
      </c>
      <c r="K570" s="1">
        <f t="shared" si="16"/>
        <v>59387.549999999996</v>
      </c>
      <c r="L570" s="1">
        <f t="shared" si="17"/>
        <v>1.6499999999999986</v>
      </c>
      <c r="M570" t="str">
        <f>IF(L570&lt;=Statistics!$E$6,"Low Difference",IF('Product Positioning'!L570&gt;=Statistics!$E$4,"High Difference","Moderate Difference"))</f>
        <v>Moderate Difference</v>
      </c>
    </row>
    <row r="571" spans="1:13" x14ac:dyDescent="0.2">
      <c r="A571">
        <v>131817</v>
      </c>
      <c r="B571" s="1">
        <v>33.479999999999997</v>
      </c>
      <c r="C571" s="1">
        <v>28.94</v>
      </c>
      <c r="D571">
        <v>2889</v>
      </c>
      <c r="E571" t="str">
        <f>_xlfn.XLOOKUP(A571, 'Customer Information'!$A$1:$A$1001, 'Customer Information'!$B$1:$B$1001)</f>
        <v>High</v>
      </c>
      <c r="F571" t="str">
        <f>_xlfn.XLOOKUP(A571, 'Customer Information'!$A$1:$A$1001, 'Customer Information'!$C$1:$C$1001)</f>
        <v>Families</v>
      </c>
      <c r="G571" t="str">
        <f>_xlfn.XLOOKUP('Customer Information'!A571, 'Customer Information'!$A$1:$A$1001, 'Customer Information'!$D$1:$D$1001)</f>
        <v>No</v>
      </c>
      <c r="H571" t="str">
        <f>INDEX('Additional Product Info.'!$A$1:$C$1001, MATCH('Product Positioning'!$A571, 'Additional Product Info.'!$A$1:$A$1001, 0), MATCH('Product Positioning'!H$1, 'Additional Product Info.'!$A$1:$C$1, 0))</f>
        <v>End-cap</v>
      </c>
      <c r="I571" t="str">
        <f>INDEX('Additional Product Info.'!$A$1:$C$1001, MATCH('Product Positioning'!$A571, 'Additional Product Info.'!$A$1:$A$1001, 0), MATCH('Product Positioning'!I$1, 'Additional Product Info.'!$A$1:$C$1, 0))</f>
        <v>Electronics</v>
      </c>
      <c r="J571" t="str">
        <f>_xlfn.XLOOKUP(A571, $A$1:$A$1001, 'Additional Product Info.'!$D$1:$D$1001)</f>
        <v>Yes</v>
      </c>
      <c r="K571" s="1">
        <f t="shared" si="16"/>
        <v>96723.719999999987</v>
      </c>
      <c r="L571" s="1">
        <f t="shared" si="17"/>
        <v>4.5399999999999956</v>
      </c>
      <c r="M571" t="str">
        <f>IF(L571&lt;=Statistics!$E$6,"Low Difference",IF('Product Positioning'!L571&gt;=Statistics!$E$4,"High Difference","Moderate Difference"))</f>
        <v>High Difference</v>
      </c>
    </row>
    <row r="572" spans="1:13" x14ac:dyDescent="0.2">
      <c r="A572">
        <v>193731</v>
      </c>
      <c r="B572" s="1">
        <v>49.55</v>
      </c>
      <c r="C572" s="1">
        <v>49.1</v>
      </c>
      <c r="D572">
        <v>1592</v>
      </c>
      <c r="E572" t="str">
        <f>_xlfn.XLOOKUP(A572, 'Customer Information'!$A$1:$A$1001, 'Customer Information'!$B$1:$B$1001)</f>
        <v>Medium</v>
      </c>
      <c r="F572" t="str">
        <f>_xlfn.XLOOKUP(A572, 'Customer Information'!$A$1:$A$1001, 'Customer Information'!$C$1:$C$1001)</f>
        <v>Families</v>
      </c>
      <c r="G572" t="str">
        <f>_xlfn.XLOOKUP('Customer Information'!A572, 'Customer Information'!$A$1:$A$1001, 'Customer Information'!$D$1:$D$1001)</f>
        <v>Yes</v>
      </c>
      <c r="H572" t="str">
        <f>INDEX('Additional Product Info.'!$A$1:$C$1001, MATCH('Product Positioning'!$A572, 'Additional Product Info.'!$A$1:$A$1001, 0), MATCH('Product Positioning'!H$1, 'Additional Product Info.'!$A$1:$C$1, 0))</f>
        <v>Aisle</v>
      </c>
      <c r="I572" t="str">
        <f>INDEX('Additional Product Info.'!$A$1:$C$1001, MATCH('Product Positioning'!$A572, 'Additional Product Info.'!$A$1:$A$1001, 0), MATCH('Product Positioning'!I$1, 'Additional Product Info.'!$A$1:$C$1, 0))</f>
        <v>Clothing</v>
      </c>
      <c r="J572" t="str">
        <f>_xlfn.XLOOKUP(A572, $A$1:$A$1001, 'Additional Product Info.'!$D$1:$D$1001)</f>
        <v>No</v>
      </c>
      <c r="K572" s="1">
        <f t="shared" si="16"/>
        <v>78883.599999999991</v>
      </c>
      <c r="L572" s="1">
        <f t="shared" si="17"/>
        <v>0.44999999999999574</v>
      </c>
      <c r="M572" t="str">
        <f>IF(L572&lt;=Statistics!$E$6,"Low Difference",IF('Product Positioning'!L572&gt;=Statistics!$E$4,"High Difference","Moderate Difference"))</f>
        <v>Low Difference</v>
      </c>
    </row>
    <row r="573" spans="1:13" x14ac:dyDescent="0.2">
      <c r="A573">
        <v>175087</v>
      </c>
      <c r="B573" s="1">
        <v>24.64</v>
      </c>
      <c r="C573" s="1">
        <v>23.91</v>
      </c>
      <c r="D573">
        <v>2874</v>
      </c>
      <c r="E573" t="str">
        <f>_xlfn.XLOOKUP(A573, 'Customer Information'!$A$1:$A$1001, 'Customer Information'!$B$1:$B$1001)</f>
        <v>High</v>
      </c>
      <c r="F573" t="str">
        <f>_xlfn.XLOOKUP(A573, 'Customer Information'!$A$1:$A$1001, 'Customer Information'!$C$1:$C$1001)</f>
        <v>Families</v>
      </c>
      <c r="G573" t="str">
        <f>_xlfn.XLOOKUP('Customer Information'!A573, 'Customer Information'!$A$1:$A$1001, 'Customer Information'!$D$1:$D$1001)</f>
        <v>No</v>
      </c>
      <c r="H573" t="str">
        <f>INDEX('Additional Product Info.'!$A$1:$C$1001, MATCH('Product Positioning'!$A573, 'Additional Product Info.'!$A$1:$A$1001, 0), MATCH('Product Positioning'!H$1, 'Additional Product Info.'!$A$1:$C$1, 0))</f>
        <v>End-cap</v>
      </c>
      <c r="I573" t="str">
        <f>INDEX('Additional Product Info.'!$A$1:$C$1001, MATCH('Product Positioning'!$A573, 'Additional Product Info.'!$A$1:$A$1001, 0), MATCH('Product Positioning'!I$1, 'Additional Product Info.'!$A$1:$C$1, 0))</f>
        <v>Food</v>
      </c>
      <c r="J573" t="str">
        <f>_xlfn.XLOOKUP(A573, $A$1:$A$1001, 'Additional Product Info.'!$D$1:$D$1001)</f>
        <v>No</v>
      </c>
      <c r="K573" s="1">
        <f t="shared" si="16"/>
        <v>70815.360000000001</v>
      </c>
      <c r="L573" s="1">
        <f t="shared" si="17"/>
        <v>0.73000000000000043</v>
      </c>
      <c r="M573" t="str">
        <f>IF(L573&lt;=Statistics!$E$6,"Low Difference",IF('Product Positioning'!L573&gt;=Statistics!$E$4,"High Difference","Moderate Difference"))</f>
        <v>Low Difference</v>
      </c>
    </row>
    <row r="574" spans="1:13" x14ac:dyDescent="0.2">
      <c r="A574">
        <v>129041</v>
      </c>
      <c r="B574" s="1">
        <v>40.28</v>
      </c>
      <c r="C574" s="1">
        <v>38.369999999999997</v>
      </c>
      <c r="D574">
        <v>2025</v>
      </c>
      <c r="E574" t="str">
        <f>_xlfn.XLOOKUP(A574, 'Customer Information'!$A$1:$A$1001, 'Customer Information'!$B$1:$B$1001)</f>
        <v>Low</v>
      </c>
      <c r="F574" t="str">
        <f>_xlfn.XLOOKUP(A574, 'Customer Information'!$A$1:$A$1001, 'Customer Information'!$C$1:$C$1001)</f>
        <v>Seniors</v>
      </c>
      <c r="G574" t="str">
        <f>_xlfn.XLOOKUP('Customer Information'!A574, 'Customer Information'!$A$1:$A$1001, 'Customer Information'!$D$1:$D$1001)</f>
        <v>Yes</v>
      </c>
      <c r="H574" t="str">
        <f>INDEX('Additional Product Info.'!$A$1:$C$1001, MATCH('Product Positioning'!$A574, 'Additional Product Info.'!$A$1:$A$1001, 0), MATCH('Product Positioning'!H$1, 'Additional Product Info.'!$A$1:$C$1, 0))</f>
        <v>End-cap</v>
      </c>
      <c r="I574" t="str">
        <f>INDEX('Additional Product Info.'!$A$1:$C$1001, MATCH('Product Positioning'!$A574, 'Additional Product Info.'!$A$1:$A$1001, 0), MATCH('Product Positioning'!I$1, 'Additional Product Info.'!$A$1:$C$1, 0))</f>
        <v>Food</v>
      </c>
      <c r="J574" t="str">
        <f>_xlfn.XLOOKUP(A574, $A$1:$A$1001, 'Additional Product Info.'!$D$1:$D$1001)</f>
        <v>No</v>
      </c>
      <c r="K574" s="1">
        <f t="shared" si="16"/>
        <v>81567</v>
      </c>
      <c r="L574" s="1">
        <f t="shared" si="17"/>
        <v>1.9100000000000037</v>
      </c>
      <c r="M574" t="str">
        <f>IF(L574&lt;=Statistics!$E$6,"Low Difference",IF('Product Positioning'!L574&gt;=Statistics!$E$4,"High Difference","Moderate Difference"))</f>
        <v>Moderate Difference</v>
      </c>
    </row>
    <row r="575" spans="1:13" x14ac:dyDescent="0.2">
      <c r="A575">
        <v>194723</v>
      </c>
      <c r="B575" s="1">
        <v>10.09</v>
      </c>
      <c r="C575" s="1">
        <v>5.6</v>
      </c>
      <c r="D575">
        <v>1846</v>
      </c>
      <c r="E575" t="str">
        <f>_xlfn.XLOOKUP(A575, 'Customer Information'!$A$1:$A$1001, 'Customer Information'!$B$1:$B$1001)</f>
        <v>Low</v>
      </c>
      <c r="F575" t="str">
        <f>_xlfn.XLOOKUP(A575, 'Customer Information'!$A$1:$A$1001, 'Customer Information'!$C$1:$C$1001)</f>
        <v>Families</v>
      </c>
      <c r="G575" t="str">
        <f>_xlfn.XLOOKUP('Customer Information'!A575, 'Customer Information'!$A$1:$A$1001, 'Customer Information'!$D$1:$D$1001)</f>
        <v>No</v>
      </c>
      <c r="H575" t="str">
        <f>INDEX('Additional Product Info.'!$A$1:$C$1001, MATCH('Product Positioning'!$A575, 'Additional Product Info.'!$A$1:$A$1001, 0), MATCH('Product Positioning'!H$1, 'Additional Product Info.'!$A$1:$C$1, 0))</f>
        <v>End-cap</v>
      </c>
      <c r="I575" t="str">
        <f>INDEX('Additional Product Info.'!$A$1:$C$1001, MATCH('Product Positioning'!$A575, 'Additional Product Info.'!$A$1:$A$1001, 0), MATCH('Product Positioning'!I$1, 'Additional Product Info.'!$A$1:$C$1, 0))</f>
        <v>Clothing</v>
      </c>
      <c r="J575" t="str">
        <f>_xlfn.XLOOKUP(A575, $A$1:$A$1001, 'Additional Product Info.'!$D$1:$D$1001)</f>
        <v>Yes</v>
      </c>
      <c r="K575" s="1">
        <f t="shared" si="16"/>
        <v>18626.14</v>
      </c>
      <c r="L575" s="1">
        <f t="shared" si="17"/>
        <v>4.49</v>
      </c>
      <c r="M575" t="str">
        <f>IF(L575&lt;=Statistics!$E$6,"Low Difference",IF('Product Positioning'!L575&gt;=Statistics!$E$4,"High Difference","Moderate Difference"))</f>
        <v>High Difference</v>
      </c>
    </row>
    <row r="576" spans="1:13" x14ac:dyDescent="0.2">
      <c r="A576">
        <v>178350</v>
      </c>
      <c r="B576" s="1">
        <v>36.71</v>
      </c>
      <c r="C576" s="1">
        <v>34.549999999999997</v>
      </c>
      <c r="D576">
        <v>1964</v>
      </c>
      <c r="E576" t="str">
        <f>_xlfn.XLOOKUP(A576, 'Customer Information'!$A$1:$A$1001, 'Customer Information'!$B$1:$B$1001)</f>
        <v>High</v>
      </c>
      <c r="F576" t="str">
        <f>_xlfn.XLOOKUP(A576, 'Customer Information'!$A$1:$A$1001, 'Customer Information'!$C$1:$C$1001)</f>
        <v>Families</v>
      </c>
      <c r="G576" t="str">
        <f>_xlfn.XLOOKUP('Customer Information'!A576, 'Customer Information'!$A$1:$A$1001, 'Customer Information'!$D$1:$D$1001)</f>
        <v>No</v>
      </c>
      <c r="H576" t="str">
        <f>INDEX('Additional Product Info.'!$A$1:$C$1001, MATCH('Product Positioning'!$A576, 'Additional Product Info.'!$A$1:$A$1001, 0), MATCH('Product Positioning'!H$1, 'Additional Product Info.'!$A$1:$C$1, 0))</f>
        <v>End-cap</v>
      </c>
      <c r="I576" t="str">
        <f>INDEX('Additional Product Info.'!$A$1:$C$1001, MATCH('Product Positioning'!$A576, 'Additional Product Info.'!$A$1:$A$1001, 0), MATCH('Product Positioning'!I$1, 'Additional Product Info.'!$A$1:$C$1, 0))</f>
        <v>Food</v>
      </c>
      <c r="J576" t="str">
        <f>_xlfn.XLOOKUP(A576, $A$1:$A$1001, 'Additional Product Info.'!$D$1:$D$1001)</f>
        <v>Yes</v>
      </c>
      <c r="K576" s="1">
        <f t="shared" si="16"/>
        <v>72098.44</v>
      </c>
      <c r="L576" s="1">
        <f t="shared" si="17"/>
        <v>2.1600000000000037</v>
      </c>
      <c r="M576" t="str">
        <f>IF(L576&lt;=Statistics!$E$6,"Low Difference",IF('Product Positioning'!L576&gt;=Statistics!$E$4,"High Difference","Moderate Difference"))</f>
        <v>Moderate Difference</v>
      </c>
    </row>
    <row r="577" spans="1:13" x14ac:dyDescent="0.2">
      <c r="A577">
        <v>137798</v>
      </c>
      <c r="B577" s="1">
        <v>18.91</v>
      </c>
      <c r="C577" s="1">
        <v>17.760000000000002</v>
      </c>
      <c r="D577">
        <v>1408</v>
      </c>
      <c r="E577" t="str">
        <f>_xlfn.XLOOKUP(A577, 'Customer Information'!$A$1:$A$1001, 'Customer Information'!$B$1:$B$1001)</f>
        <v>High</v>
      </c>
      <c r="F577" t="str">
        <f>_xlfn.XLOOKUP(A577, 'Customer Information'!$A$1:$A$1001, 'Customer Information'!$C$1:$C$1001)</f>
        <v>Young adults</v>
      </c>
      <c r="G577" t="str">
        <f>_xlfn.XLOOKUP('Customer Information'!A577, 'Customer Information'!$A$1:$A$1001, 'Customer Information'!$D$1:$D$1001)</f>
        <v>No</v>
      </c>
      <c r="H577" t="str">
        <f>INDEX('Additional Product Info.'!$A$1:$C$1001, MATCH('Product Positioning'!$A577, 'Additional Product Info.'!$A$1:$A$1001, 0), MATCH('Product Positioning'!H$1, 'Additional Product Info.'!$A$1:$C$1, 0))</f>
        <v>Front of Store</v>
      </c>
      <c r="I577" t="str">
        <f>INDEX('Additional Product Info.'!$A$1:$C$1001, MATCH('Product Positioning'!$A577, 'Additional Product Info.'!$A$1:$A$1001, 0), MATCH('Product Positioning'!I$1, 'Additional Product Info.'!$A$1:$C$1, 0))</f>
        <v>Clothing</v>
      </c>
      <c r="J577" t="str">
        <f>_xlfn.XLOOKUP(A577, $A$1:$A$1001, 'Additional Product Info.'!$D$1:$D$1001)</f>
        <v>No</v>
      </c>
      <c r="K577" s="1">
        <f t="shared" si="16"/>
        <v>26625.279999999999</v>
      </c>
      <c r="L577" s="1">
        <f t="shared" si="17"/>
        <v>1.1499999999999986</v>
      </c>
      <c r="M577" t="str">
        <f>IF(L577&lt;=Statistics!$E$6,"Low Difference",IF('Product Positioning'!L577&gt;=Statistics!$E$4,"High Difference","Moderate Difference"))</f>
        <v>Low Difference</v>
      </c>
    </row>
    <row r="578" spans="1:13" x14ac:dyDescent="0.2">
      <c r="A578">
        <v>158893</v>
      </c>
      <c r="B578" s="1">
        <v>35.65</v>
      </c>
      <c r="C578" s="1">
        <v>31.08</v>
      </c>
      <c r="D578">
        <v>1272</v>
      </c>
      <c r="E578" t="str">
        <f>_xlfn.XLOOKUP(A578, 'Customer Information'!$A$1:$A$1001, 'Customer Information'!$B$1:$B$1001)</f>
        <v>Low</v>
      </c>
      <c r="F578" t="str">
        <f>_xlfn.XLOOKUP(A578, 'Customer Information'!$A$1:$A$1001, 'Customer Information'!$C$1:$C$1001)</f>
        <v>Seniors</v>
      </c>
      <c r="G578" t="str">
        <f>_xlfn.XLOOKUP('Customer Information'!A578, 'Customer Information'!$A$1:$A$1001, 'Customer Information'!$D$1:$D$1001)</f>
        <v>Yes</v>
      </c>
      <c r="H578" t="str">
        <f>INDEX('Additional Product Info.'!$A$1:$C$1001, MATCH('Product Positioning'!$A578, 'Additional Product Info.'!$A$1:$A$1001, 0), MATCH('Product Positioning'!H$1, 'Additional Product Info.'!$A$1:$C$1, 0))</f>
        <v>Front of Store</v>
      </c>
      <c r="I578" t="str">
        <f>INDEX('Additional Product Info.'!$A$1:$C$1001, MATCH('Product Positioning'!$A578, 'Additional Product Info.'!$A$1:$A$1001, 0), MATCH('Product Positioning'!I$1, 'Additional Product Info.'!$A$1:$C$1, 0))</f>
        <v>Clothing</v>
      </c>
      <c r="J578" t="str">
        <f>_xlfn.XLOOKUP(A578, $A$1:$A$1001, 'Additional Product Info.'!$D$1:$D$1001)</f>
        <v>Yes</v>
      </c>
      <c r="K578" s="1">
        <f t="shared" ref="K578:K641" si="18">B578*D578</f>
        <v>45346.799999999996</v>
      </c>
      <c r="L578" s="1">
        <f t="shared" ref="L578:L641" si="19">ABS(B578-C578)</f>
        <v>4.57</v>
      </c>
      <c r="M578" t="str">
        <f>IF(L578&lt;=Statistics!$E$6,"Low Difference",IF('Product Positioning'!L578&gt;=Statistics!$E$4,"High Difference","Moderate Difference"))</f>
        <v>High Difference</v>
      </c>
    </row>
    <row r="579" spans="1:13" x14ac:dyDescent="0.2">
      <c r="A579">
        <v>149201</v>
      </c>
      <c r="B579" s="1">
        <v>46.97</v>
      </c>
      <c r="C579" s="1">
        <v>46.34</v>
      </c>
      <c r="D579">
        <v>521</v>
      </c>
      <c r="E579" t="str">
        <f>_xlfn.XLOOKUP(A579, 'Customer Information'!$A$1:$A$1001, 'Customer Information'!$B$1:$B$1001)</f>
        <v>Medium</v>
      </c>
      <c r="F579" t="str">
        <f>_xlfn.XLOOKUP(A579, 'Customer Information'!$A$1:$A$1001, 'Customer Information'!$C$1:$C$1001)</f>
        <v>Families</v>
      </c>
      <c r="G579" t="str">
        <f>_xlfn.XLOOKUP('Customer Information'!A579, 'Customer Information'!$A$1:$A$1001, 'Customer Information'!$D$1:$D$1001)</f>
        <v>Yes</v>
      </c>
      <c r="H579" t="str">
        <f>INDEX('Additional Product Info.'!$A$1:$C$1001, MATCH('Product Positioning'!$A579, 'Additional Product Info.'!$A$1:$A$1001, 0), MATCH('Product Positioning'!H$1, 'Additional Product Info.'!$A$1:$C$1, 0))</f>
        <v>Aisle</v>
      </c>
      <c r="I579" t="str">
        <f>INDEX('Additional Product Info.'!$A$1:$C$1001, MATCH('Product Positioning'!$A579, 'Additional Product Info.'!$A$1:$A$1001, 0), MATCH('Product Positioning'!I$1, 'Additional Product Info.'!$A$1:$C$1, 0))</f>
        <v>Electronics</v>
      </c>
      <c r="J579" t="str">
        <f>_xlfn.XLOOKUP(A579, $A$1:$A$1001, 'Additional Product Info.'!$D$1:$D$1001)</f>
        <v>Yes</v>
      </c>
      <c r="K579" s="1">
        <f t="shared" si="18"/>
        <v>24471.37</v>
      </c>
      <c r="L579" s="1">
        <f t="shared" si="19"/>
        <v>0.62999999999999545</v>
      </c>
      <c r="M579" t="str">
        <f>IF(L579&lt;=Statistics!$E$6,"Low Difference",IF('Product Positioning'!L579&gt;=Statistics!$E$4,"High Difference","Moderate Difference"))</f>
        <v>Low Difference</v>
      </c>
    </row>
    <row r="580" spans="1:13" x14ac:dyDescent="0.2">
      <c r="A580">
        <v>169631</v>
      </c>
      <c r="B580" s="1">
        <v>17.05</v>
      </c>
      <c r="C580" s="1">
        <v>14.8</v>
      </c>
      <c r="D580">
        <v>2100</v>
      </c>
      <c r="E580" t="str">
        <f>_xlfn.XLOOKUP(A580, 'Customer Information'!$A$1:$A$1001, 'Customer Information'!$B$1:$B$1001)</f>
        <v>High</v>
      </c>
      <c r="F580" t="str">
        <f>_xlfn.XLOOKUP(A580, 'Customer Information'!$A$1:$A$1001, 'Customer Information'!$C$1:$C$1001)</f>
        <v>Seniors</v>
      </c>
      <c r="G580" t="str">
        <f>_xlfn.XLOOKUP('Customer Information'!A580, 'Customer Information'!$A$1:$A$1001, 'Customer Information'!$D$1:$D$1001)</f>
        <v>No</v>
      </c>
      <c r="H580" t="str">
        <f>INDEX('Additional Product Info.'!$A$1:$C$1001, MATCH('Product Positioning'!$A580, 'Additional Product Info.'!$A$1:$A$1001, 0), MATCH('Product Positioning'!H$1, 'Additional Product Info.'!$A$1:$C$1, 0))</f>
        <v>Aisle</v>
      </c>
      <c r="I580" t="str">
        <f>INDEX('Additional Product Info.'!$A$1:$C$1001, MATCH('Product Positioning'!$A580, 'Additional Product Info.'!$A$1:$A$1001, 0), MATCH('Product Positioning'!I$1, 'Additional Product Info.'!$A$1:$C$1, 0))</f>
        <v>Electronics</v>
      </c>
      <c r="J580" t="str">
        <f>_xlfn.XLOOKUP(A580, $A$1:$A$1001, 'Additional Product Info.'!$D$1:$D$1001)</f>
        <v>No</v>
      </c>
      <c r="K580" s="1">
        <f t="shared" si="18"/>
        <v>35805</v>
      </c>
      <c r="L580" s="1">
        <f t="shared" si="19"/>
        <v>2.25</v>
      </c>
      <c r="M580" t="str">
        <f>IF(L580&lt;=Statistics!$E$6,"Low Difference",IF('Product Positioning'!L580&gt;=Statistics!$E$4,"High Difference","Moderate Difference"))</f>
        <v>Moderate Difference</v>
      </c>
    </row>
    <row r="581" spans="1:13" x14ac:dyDescent="0.2">
      <c r="A581">
        <v>168106</v>
      </c>
      <c r="B581" s="1">
        <v>18.93</v>
      </c>
      <c r="C581" s="1">
        <v>18.41</v>
      </c>
      <c r="D581">
        <v>1134</v>
      </c>
      <c r="E581" t="str">
        <f>_xlfn.XLOOKUP(A581, 'Customer Information'!$A$1:$A$1001, 'Customer Information'!$B$1:$B$1001)</f>
        <v>Low</v>
      </c>
      <c r="F581" t="str">
        <f>_xlfn.XLOOKUP(A581, 'Customer Information'!$A$1:$A$1001, 'Customer Information'!$C$1:$C$1001)</f>
        <v>College students</v>
      </c>
      <c r="G581" t="str">
        <f>_xlfn.XLOOKUP('Customer Information'!A581, 'Customer Information'!$A$1:$A$1001, 'Customer Information'!$D$1:$D$1001)</f>
        <v>No</v>
      </c>
      <c r="H581" t="str">
        <f>INDEX('Additional Product Info.'!$A$1:$C$1001, MATCH('Product Positioning'!$A581, 'Additional Product Info.'!$A$1:$A$1001, 0), MATCH('Product Positioning'!H$1, 'Additional Product Info.'!$A$1:$C$1, 0))</f>
        <v>Front of Store</v>
      </c>
      <c r="I581" t="str">
        <f>INDEX('Additional Product Info.'!$A$1:$C$1001, MATCH('Product Positioning'!$A581, 'Additional Product Info.'!$A$1:$A$1001, 0), MATCH('Product Positioning'!I$1, 'Additional Product Info.'!$A$1:$C$1, 0))</f>
        <v>Food</v>
      </c>
      <c r="J581" t="str">
        <f>_xlfn.XLOOKUP(A581, $A$1:$A$1001, 'Additional Product Info.'!$D$1:$D$1001)</f>
        <v>No</v>
      </c>
      <c r="K581" s="1">
        <f t="shared" si="18"/>
        <v>21466.62</v>
      </c>
      <c r="L581" s="1">
        <f t="shared" si="19"/>
        <v>0.51999999999999957</v>
      </c>
      <c r="M581" t="str">
        <f>IF(L581&lt;=Statistics!$E$6,"Low Difference",IF('Product Positioning'!L581&gt;=Statistics!$E$4,"High Difference","Moderate Difference"))</f>
        <v>Low Difference</v>
      </c>
    </row>
    <row r="582" spans="1:13" x14ac:dyDescent="0.2">
      <c r="A582">
        <v>177650</v>
      </c>
      <c r="B582" s="1">
        <v>43.59</v>
      </c>
      <c r="C582" s="1">
        <v>39.89</v>
      </c>
      <c r="D582">
        <v>2241</v>
      </c>
      <c r="E582" t="str">
        <f>_xlfn.XLOOKUP(A582, 'Customer Information'!$A$1:$A$1001, 'Customer Information'!$B$1:$B$1001)</f>
        <v>High</v>
      </c>
      <c r="F582" t="str">
        <f>_xlfn.XLOOKUP(A582, 'Customer Information'!$A$1:$A$1001, 'Customer Information'!$C$1:$C$1001)</f>
        <v>Seniors</v>
      </c>
      <c r="G582" t="str">
        <f>_xlfn.XLOOKUP('Customer Information'!A582, 'Customer Information'!$A$1:$A$1001, 'Customer Information'!$D$1:$D$1001)</f>
        <v>Yes</v>
      </c>
      <c r="H582" t="str">
        <f>INDEX('Additional Product Info.'!$A$1:$C$1001, MATCH('Product Positioning'!$A582, 'Additional Product Info.'!$A$1:$A$1001, 0), MATCH('Product Positioning'!H$1, 'Additional Product Info.'!$A$1:$C$1, 0))</f>
        <v>Aisle</v>
      </c>
      <c r="I582" t="str">
        <f>INDEX('Additional Product Info.'!$A$1:$C$1001, MATCH('Product Positioning'!$A582, 'Additional Product Info.'!$A$1:$A$1001, 0), MATCH('Product Positioning'!I$1, 'Additional Product Info.'!$A$1:$C$1, 0))</f>
        <v>Electronics</v>
      </c>
      <c r="J582" t="str">
        <f>_xlfn.XLOOKUP(A582, $A$1:$A$1001, 'Additional Product Info.'!$D$1:$D$1001)</f>
        <v>No</v>
      </c>
      <c r="K582" s="1">
        <f t="shared" si="18"/>
        <v>97685.19</v>
      </c>
      <c r="L582" s="1">
        <f t="shared" si="19"/>
        <v>3.7000000000000028</v>
      </c>
      <c r="M582" t="str">
        <f>IF(L582&lt;=Statistics!$E$6,"Low Difference",IF('Product Positioning'!L582&gt;=Statistics!$E$4,"High Difference","Moderate Difference"))</f>
        <v>Moderate Difference</v>
      </c>
    </row>
    <row r="583" spans="1:13" x14ac:dyDescent="0.2">
      <c r="A583">
        <v>154029</v>
      </c>
      <c r="B583" s="1">
        <v>34.880000000000003</v>
      </c>
      <c r="C583" s="1">
        <v>34.6</v>
      </c>
      <c r="D583">
        <v>2954</v>
      </c>
      <c r="E583" t="str">
        <f>_xlfn.XLOOKUP(A583, 'Customer Information'!$A$1:$A$1001, 'Customer Information'!$B$1:$B$1001)</f>
        <v>Low</v>
      </c>
      <c r="F583" t="str">
        <f>_xlfn.XLOOKUP(A583, 'Customer Information'!$A$1:$A$1001, 'Customer Information'!$C$1:$C$1001)</f>
        <v>Young adults</v>
      </c>
      <c r="G583" t="str">
        <f>_xlfn.XLOOKUP('Customer Information'!A583, 'Customer Information'!$A$1:$A$1001, 'Customer Information'!$D$1:$D$1001)</f>
        <v>Yes</v>
      </c>
      <c r="H583" t="str">
        <f>INDEX('Additional Product Info.'!$A$1:$C$1001, MATCH('Product Positioning'!$A583, 'Additional Product Info.'!$A$1:$A$1001, 0), MATCH('Product Positioning'!H$1, 'Additional Product Info.'!$A$1:$C$1, 0))</f>
        <v>End-cap</v>
      </c>
      <c r="I583" t="str">
        <f>INDEX('Additional Product Info.'!$A$1:$C$1001, MATCH('Product Positioning'!$A583, 'Additional Product Info.'!$A$1:$A$1001, 0), MATCH('Product Positioning'!I$1, 'Additional Product Info.'!$A$1:$C$1, 0))</f>
        <v>Food</v>
      </c>
      <c r="J583" t="str">
        <f>_xlfn.XLOOKUP(A583, $A$1:$A$1001, 'Additional Product Info.'!$D$1:$D$1001)</f>
        <v>Yes</v>
      </c>
      <c r="K583" s="1">
        <f t="shared" si="18"/>
        <v>103035.52</v>
      </c>
      <c r="L583" s="1">
        <f t="shared" si="19"/>
        <v>0.28000000000000114</v>
      </c>
      <c r="M583" t="str">
        <f>IF(L583&lt;=Statistics!$E$6,"Low Difference",IF('Product Positioning'!L583&gt;=Statistics!$E$4,"High Difference","Moderate Difference"))</f>
        <v>Low Difference</v>
      </c>
    </row>
    <row r="584" spans="1:13" x14ac:dyDescent="0.2">
      <c r="A584">
        <v>130738</v>
      </c>
      <c r="B584" s="1">
        <v>14.18</v>
      </c>
      <c r="C584" s="1">
        <v>13.19</v>
      </c>
      <c r="D584">
        <v>1085</v>
      </c>
      <c r="E584" t="str">
        <f>_xlfn.XLOOKUP(A584, 'Customer Information'!$A$1:$A$1001, 'Customer Information'!$B$1:$B$1001)</f>
        <v>Medium</v>
      </c>
      <c r="F584" t="str">
        <f>_xlfn.XLOOKUP(A584, 'Customer Information'!$A$1:$A$1001, 'Customer Information'!$C$1:$C$1001)</f>
        <v>Seniors</v>
      </c>
      <c r="G584" t="str">
        <f>_xlfn.XLOOKUP('Customer Information'!A584, 'Customer Information'!$A$1:$A$1001, 'Customer Information'!$D$1:$D$1001)</f>
        <v>Yes</v>
      </c>
      <c r="H584" t="str">
        <f>INDEX('Additional Product Info.'!$A$1:$C$1001, MATCH('Product Positioning'!$A584, 'Additional Product Info.'!$A$1:$A$1001, 0), MATCH('Product Positioning'!H$1, 'Additional Product Info.'!$A$1:$C$1, 0))</f>
        <v>Front of Store</v>
      </c>
      <c r="I584" t="str">
        <f>INDEX('Additional Product Info.'!$A$1:$C$1001, MATCH('Product Positioning'!$A584, 'Additional Product Info.'!$A$1:$A$1001, 0), MATCH('Product Positioning'!I$1, 'Additional Product Info.'!$A$1:$C$1, 0))</f>
        <v>Clothing</v>
      </c>
      <c r="J584" t="str">
        <f>_xlfn.XLOOKUP(A584, $A$1:$A$1001, 'Additional Product Info.'!$D$1:$D$1001)</f>
        <v>No</v>
      </c>
      <c r="K584" s="1">
        <f t="shared" si="18"/>
        <v>15385.3</v>
      </c>
      <c r="L584" s="1">
        <f t="shared" si="19"/>
        <v>0.99000000000000021</v>
      </c>
      <c r="M584" t="str">
        <f>IF(L584&lt;=Statistics!$E$6,"Low Difference",IF('Product Positioning'!L584&gt;=Statistics!$E$4,"High Difference","Moderate Difference"))</f>
        <v>Low Difference</v>
      </c>
    </row>
    <row r="585" spans="1:13" x14ac:dyDescent="0.2">
      <c r="A585">
        <v>140879</v>
      </c>
      <c r="B585" s="1">
        <v>45.5</v>
      </c>
      <c r="C585" s="1">
        <v>43.19</v>
      </c>
      <c r="D585">
        <v>1495</v>
      </c>
      <c r="E585" t="str">
        <f>_xlfn.XLOOKUP(A585, 'Customer Information'!$A$1:$A$1001, 'Customer Information'!$B$1:$B$1001)</f>
        <v>High</v>
      </c>
      <c r="F585" t="str">
        <f>_xlfn.XLOOKUP(A585, 'Customer Information'!$A$1:$A$1001, 'Customer Information'!$C$1:$C$1001)</f>
        <v>Young adults</v>
      </c>
      <c r="G585" t="str">
        <f>_xlfn.XLOOKUP('Customer Information'!A585, 'Customer Information'!$A$1:$A$1001, 'Customer Information'!$D$1:$D$1001)</f>
        <v>Yes</v>
      </c>
      <c r="H585" t="str">
        <f>INDEX('Additional Product Info.'!$A$1:$C$1001, MATCH('Product Positioning'!$A585, 'Additional Product Info.'!$A$1:$A$1001, 0), MATCH('Product Positioning'!H$1, 'Additional Product Info.'!$A$1:$C$1, 0))</f>
        <v>Aisle</v>
      </c>
      <c r="I585" t="str">
        <f>INDEX('Additional Product Info.'!$A$1:$C$1001, MATCH('Product Positioning'!$A585, 'Additional Product Info.'!$A$1:$A$1001, 0), MATCH('Product Positioning'!I$1, 'Additional Product Info.'!$A$1:$C$1, 0))</f>
        <v>Food</v>
      </c>
      <c r="J585" t="str">
        <f>_xlfn.XLOOKUP(A585, $A$1:$A$1001, 'Additional Product Info.'!$D$1:$D$1001)</f>
        <v>No</v>
      </c>
      <c r="K585" s="1">
        <f t="shared" si="18"/>
        <v>68022.5</v>
      </c>
      <c r="L585" s="1">
        <f t="shared" si="19"/>
        <v>2.3100000000000023</v>
      </c>
      <c r="M585" t="str">
        <f>IF(L585&lt;=Statistics!$E$6,"Low Difference",IF('Product Positioning'!L585&gt;=Statistics!$E$4,"High Difference","Moderate Difference"))</f>
        <v>Moderate Difference</v>
      </c>
    </row>
    <row r="586" spans="1:13" x14ac:dyDescent="0.2">
      <c r="A586">
        <v>151900</v>
      </c>
      <c r="B586" s="1">
        <v>47.99</v>
      </c>
      <c r="C586" s="1">
        <v>47.59</v>
      </c>
      <c r="D586">
        <v>1560</v>
      </c>
      <c r="E586" t="str">
        <f>_xlfn.XLOOKUP(A586, 'Customer Information'!$A$1:$A$1001, 'Customer Information'!$B$1:$B$1001)</f>
        <v>Medium</v>
      </c>
      <c r="F586" t="str">
        <f>_xlfn.XLOOKUP(A586, 'Customer Information'!$A$1:$A$1001, 'Customer Information'!$C$1:$C$1001)</f>
        <v>College students</v>
      </c>
      <c r="G586" t="str">
        <f>_xlfn.XLOOKUP('Customer Information'!A586, 'Customer Information'!$A$1:$A$1001, 'Customer Information'!$D$1:$D$1001)</f>
        <v>Yes</v>
      </c>
      <c r="H586" t="str">
        <f>INDEX('Additional Product Info.'!$A$1:$C$1001, MATCH('Product Positioning'!$A586, 'Additional Product Info.'!$A$1:$A$1001, 0), MATCH('Product Positioning'!H$1, 'Additional Product Info.'!$A$1:$C$1, 0))</f>
        <v>Aisle</v>
      </c>
      <c r="I586" t="str">
        <f>INDEX('Additional Product Info.'!$A$1:$C$1001, MATCH('Product Positioning'!$A586, 'Additional Product Info.'!$A$1:$A$1001, 0), MATCH('Product Positioning'!I$1, 'Additional Product Info.'!$A$1:$C$1, 0))</f>
        <v>Food</v>
      </c>
      <c r="J586" t="str">
        <f>_xlfn.XLOOKUP(A586, $A$1:$A$1001, 'Additional Product Info.'!$D$1:$D$1001)</f>
        <v>Yes</v>
      </c>
      <c r="K586" s="1">
        <f t="shared" si="18"/>
        <v>74864.400000000009</v>
      </c>
      <c r="L586" s="1">
        <f t="shared" si="19"/>
        <v>0.39999999999999858</v>
      </c>
      <c r="M586" t="str">
        <f>IF(L586&lt;=Statistics!$E$6,"Low Difference",IF('Product Positioning'!L586&gt;=Statistics!$E$4,"High Difference","Moderate Difference"))</f>
        <v>Low Difference</v>
      </c>
    </row>
    <row r="587" spans="1:13" x14ac:dyDescent="0.2">
      <c r="A587">
        <v>187604</v>
      </c>
      <c r="B587" s="1">
        <v>49.21</v>
      </c>
      <c r="C587" s="1">
        <v>48.05</v>
      </c>
      <c r="D587">
        <v>782</v>
      </c>
      <c r="E587" t="str">
        <f>_xlfn.XLOOKUP(A587, 'Customer Information'!$A$1:$A$1001, 'Customer Information'!$B$1:$B$1001)</f>
        <v>Medium</v>
      </c>
      <c r="F587" t="str">
        <f>_xlfn.XLOOKUP(A587, 'Customer Information'!$A$1:$A$1001, 'Customer Information'!$C$1:$C$1001)</f>
        <v>College students</v>
      </c>
      <c r="G587" t="str">
        <f>_xlfn.XLOOKUP('Customer Information'!A587, 'Customer Information'!$A$1:$A$1001, 'Customer Information'!$D$1:$D$1001)</f>
        <v>No</v>
      </c>
      <c r="H587" t="str">
        <f>INDEX('Additional Product Info.'!$A$1:$C$1001, MATCH('Product Positioning'!$A587, 'Additional Product Info.'!$A$1:$A$1001, 0), MATCH('Product Positioning'!H$1, 'Additional Product Info.'!$A$1:$C$1, 0))</f>
        <v>End-cap</v>
      </c>
      <c r="I587" t="str">
        <f>INDEX('Additional Product Info.'!$A$1:$C$1001, MATCH('Product Positioning'!$A587, 'Additional Product Info.'!$A$1:$A$1001, 0), MATCH('Product Positioning'!I$1, 'Additional Product Info.'!$A$1:$C$1, 0))</f>
        <v>Food</v>
      </c>
      <c r="J587" t="str">
        <f>_xlfn.XLOOKUP(A587, $A$1:$A$1001, 'Additional Product Info.'!$D$1:$D$1001)</f>
        <v>Yes</v>
      </c>
      <c r="K587" s="1">
        <f t="shared" si="18"/>
        <v>38482.22</v>
      </c>
      <c r="L587" s="1">
        <f t="shared" si="19"/>
        <v>1.1600000000000037</v>
      </c>
      <c r="M587" t="str">
        <f>IF(L587&lt;=Statistics!$E$6,"Low Difference",IF('Product Positioning'!L587&gt;=Statistics!$E$4,"High Difference","Moderate Difference"))</f>
        <v>Low Difference</v>
      </c>
    </row>
    <row r="588" spans="1:13" x14ac:dyDescent="0.2">
      <c r="A588">
        <v>174627</v>
      </c>
      <c r="B588" s="1">
        <v>38.69</v>
      </c>
      <c r="C588" s="1">
        <v>37.01</v>
      </c>
      <c r="D588">
        <v>1296</v>
      </c>
      <c r="E588" t="str">
        <f>_xlfn.XLOOKUP(A588, 'Customer Information'!$A$1:$A$1001, 'Customer Information'!$B$1:$B$1001)</f>
        <v>High</v>
      </c>
      <c r="F588" t="str">
        <f>_xlfn.XLOOKUP(A588, 'Customer Information'!$A$1:$A$1001, 'Customer Information'!$C$1:$C$1001)</f>
        <v>College students</v>
      </c>
      <c r="G588" t="str">
        <f>_xlfn.XLOOKUP('Customer Information'!A588, 'Customer Information'!$A$1:$A$1001, 'Customer Information'!$D$1:$D$1001)</f>
        <v>No</v>
      </c>
      <c r="H588" t="str">
        <f>INDEX('Additional Product Info.'!$A$1:$C$1001, MATCH('Product Positioning'!$A588, 'Additional Product Info.'!$A$1:$A$1001, 0), MATCH('Product Positioning'!H$1, 'Additional Product Info.'!$A$1:$C$1, 0))</f>
        <v>Front of Store</v>
      </c>
      <c r="I588" t="str">
        <f>INDEX('Additional Product Info.'!$A$1:$C$1001, MATCH('Product Positioning'!$A588, 'Additional Product Info.'!$A$1:$A$1001, 0), MATCH('Product Positioning'!I$1, 'Additional Product Info.'!$A$1:$C$1, 0))</f>
        <v>Clothing</v>
      </c>
      <c r="J588" t="str">
        <f>_xlfn.XLOOKUP(A588, $A$1:$A$1001, 'Additional Product Info.'!$D$1:$D$1001)</f>
        <v>No</v>
      </c>
      <c r="K588" s="1">
        <f t="shared" si="18"/>
        <v>50142.239999999998</v>
      </c>
      <c r="L588" s="1">
        <f t="shared" si="19"/>
        <v>1.6799999999999997</v>
      </c>
      <c r="M588" t="str">
        <f>IF(L588&lt;=Statistics!$E$6,"Low Difference",IF('Product Positioning'!L588&gt;=Statistics!$E$4,"High Difference","Moderate Difference"))</f>
        <v>Moderate Difference</v>
      </c>
    </row>
    <row r="589" spans="1:13" x14ac:dyDescent="0.2">
      <c r="A589">
        <v>133654</v>
      </c>
      <c r="B589" s="1">
        <v>42.98</v>
      </c>
      <c r="C589" s="1">
        <v>41.61</v>
      </c>
      <c r="D589">
        <v>2333</v>
      </c>
      <c r="E589" t="str">
        <f>_xlfn.XLOOKUP(A589, 'Customer Information'!$A$1:$A$1001, 'Customer Information'!$B$1:$B$1001)</f>
        <v>Medium</v>
      </c>
      <c r="F589" t="str">
        <f>_xlfn.XLOOKUP(A589, 'Customer Information'!$A$1:$A$1001, 'Customer Information'!$C$1:$C$1001)</f>
        <v>Young adults</v>
      </c>
      <c r="G589" t="str">
        <f>_xlfn.XLOOKUP('Customer Information'!A589, 'Customer Information'!$A$1:$A$1001, 'Customer Information'!$D$1:$D$1001)</f>
        <v>Yes</v>
      </c>
      <c r="H589" t="str">
        <f>INDEX('Additional Product Info.'!$A$1:$C$1001, MATCH('Product Positioning'!$A589, 'Additional Product Info.'!$A$1:$A$1001, 0), MATCH('Product Positioning'!H$1, 'Additional Product Info.'!$A$1:$C$1, 0))</f>
        <v>End-cap</v>
      </c>
      <c r="I589" t="str">
        <f>INDEX('Additional Product Info.'!$A$1:$C$1001, MATCH('Product Positioning'!$A589, 'Additional Product Info.'!$A$1:$A$1001, 0), MATCH('Product Positioning'!I$1, 'Additional Product Info.'!$A$1:$C$1, 0))</f>
        <v>Clothing</v>
      </c>
      <c r="J589" t="str">
        <f>_xlfn.XLOOKUP(A589, $A$1:$A$1001, 'Additional Product Info.'!$D$1:$D$1001)</f>
        <v>No</v>
      </c>
      <c r="K589" s="1">
        <f t="shared" si="18"/>
        <v>100272.34</v>
      </c>
      <c r="L589" s="1">
        <f t="shared" si="19"/>
        <v>1.3699999999999974</v>
      </c>
      <c r="M589" t="str">
        <f>IF(L589&lt;=Statistics!$E$6,"Low Difference",IF('Product Positioning'!L589&gt;=Statistics!$E$4,"High Difference","Moderate Difference"))</f>
        <v>Moderate Difference</v>
      </c>
    </row>
    <row r="590" spans="1:13" x14ac:dyDescent="0.2">
      <c r="A590">
        <v>180951</v>
      </c>
      <c r="B590" s="1">
        <v>25.2</v>
      </c>
      <c r="C590" s="1">
        <v>22.09</v>
      </c>
      <c r="D590">
        <v>2056</v>
      </c>
      <c r="E590" t="str">
        <f>_xlfn.XLOOKUP(A590, 'Customer Information'!$A$1:$A$1001, 'Customer Information'!$B$1:$B$1001)</f>
        <v>High</v>
      </c>
      <c r="F590" t="str">
        <f>_xlfn.XLOOKUP(A590, 'Customer Information'!$A$1:$A$1001, 'Customer Information'!$C$1:$C$1001)</f>
        <v>Seniors</v>
      </c>
      <c r="G590" t="str">
        <f>_xlfn.XLOOKUP('Customer Information'!A590, 'Customer Information'!$A$1:$A$1001, 'Customer Information'!$D$1:$D$1001)</f>
        <v>Yes</v>
      </c>
      <c r="H590" t="str">
        <f>INDEX('Additional Product Info.'!$A$1:$C$1001, MATCH('Product Positioning'!$A590, 'Additional Product Info.'!$A$1:$A$1001, 0), MATCH('Product Positioning'!H$1, 'Additional Product Info.'!$A$1:$C$1, 0))</f>
        <v>Front of Store</v>
      </c>
      <c r="I590" t="str">
        <f>INDEX('Additional Product Info.'!$A$1:$C$1001, MATCH('Product Positioning'!$A590, 'Additional Product Info.'!$A$1:$A$1001, 0), MATCH('Product Positioning'!I$1, 'Additional Product Info.'!$A$1:$C$1, 0))</f>
        <v>Clothing</v>
      </c>
      <c r="J590" t="str">
        <f>_xlfn.XLOOKUP(A590, $A$1:$A$1001, 'Additional Product Info.'!$D$1:$D$1001)</f>
        <v>Yes</v>
      </c>
      <c r="K590" s="1">
        <f t="shared" si="18"/>
        <v>51811.199999999997</v>
      </c>
      <c r="L590" s="1">
        <f t="shared" si="19"/>
        <v>3.1099999999999994</v>
      </c>
      <c r="M590" t="str">
        <f>IF(L590&lt;=Statistics!$E$6,"Low Difference",IF('Product Positioning'!L590&gt;=Statistics!$E$4,"High Difference","Moderate Difference"))</f>
        <v>Moderate Difference</v>
      </c>
    </row>
    <row r="591" spans="1:13" x14ac:dyDescent="0.2">
      <c r="A591">
        <v>110578</v>
      </c>
      <c r="B591" s="1">
        <v>22.22</v>
      </c>
      <c r="C591" s="1">
        <v>21.56</v>
      </c>
      <c r="D591">
        <v>950</v>
      </c>
      <c r="E591" t="str">
        <f>_xlfn.XLOOKUP(A591, 'Customer Information'!$A$1:$A$1001, 'Customer Information'!$B$1:$B$1001)</f>
        <v>High</v>
      </c>
      <c r="F591" t="str">
        <f>_xlfn.XLOOKUP(A591, 'Customer Information'!$A$1:$A$1001, 'Customer Information'!$C$1:$C$1001)</f>
        <v>Families</v>
      </c>
      <c r="G591" t="str">
        <f>_xlfn.XLOOKUP('Customer Information'!A591, 'Customer Information'!$A$1:$A$1001, 'Customer Information'!$D$1:$D$1001)</f>
        <v>No</v>
      </c>
      <c r="H591" t="str">
        <f>INDEX('Additional Product Info.'!$A$1:$C$1001, MATCH('Product Positioning'!$A591, 'Additional Product Info.'!$A$1:$A$1001, 0), MATCH('Product Positioning'!H$1, 'Additional Product Info.'!$A$1:$C$1, 0))</f>
        <v>End-cap</v>
      </c>
      <c r="I591" t="str">
        <f>INDEX('Additional Product Info.'!$A$1:$C$1001, MATCH('Product Positioning'!$A591, 'Additional Product Info.'!$A$1:$A$1001, 0), MATCH('Product Positioning'!I$1, 'Additional Product Info.'!$A$1:$C$1, 0))</f>
        <v>Food</v>
      </c>
      <c r="J591" t="str">
        <f>_xlfn.XLOOKUP(A591, $A$1:$A$1001, 'Additional Product Info.'!$D$1:$D$1001)</f>
        <v>No</v>
      </c>
      <c r="K591" s="1">
        <f t="shared" si="18"/>
        <v>21109</v>
      </c>
      <c r="L591" s="1">
        <f t="shared" si="19"/>
        <v>0.66000000000000014</v>
      </c>
      <c r="M591" t="str">
        <f>IF(L591&lt;=Statistics!$E$6,"Low Difference",IF('Product Positioning'!L591&gt;=Statistics!$E$4,"High Difference","Moderate Difference"))</f>
        <v>Low Difference</v>
      </c>
    </row>
    <row r="592" spans="1:13" x14ac:dyDescent="0.2">
      <c r="A592">
        <v>192711</v>
      </c>
      <c r="B592" s="1">
        <v>36.4</v>
      </c>
      <c r="C592" s="1">
        <v>34.380000000000003</v>
      </c>
      <c r="D592">
        <v>2079</v>
      </c>
      <c r="E592" t="str">
        <f>_xlfn.XLOOKUP(A592, 'Customer Information'!$A$1:$A$1001, 'Customer Information'!$B$1:$B$1001)</f>
        <v>High</v>
      </c>
      <c r="F592" t="str">
        <f>_xlfn.XLOOKUP(A592, 'Customer Information'!$A$1:$A$1001, 'Customer Information'!$C$1:$C$1001)</f>
        <v>Seniors</v>
      </c>
      <c r="G592" t="str">
        <f>_xlfn.XLOOKUP('Customer Information'!A592, 'Customer Information'!$A$1:$A$1001, 'Customer Information'!$D$1:$D$1001)</f>
        <v>Yes</v>
      </c>
      <c r="H592" t="str">
        <f>INDEX('Additional Product Info.'!$A$1:$C$1001, MATCH('Product Positioning'!$A592, 'Additional Product Info.'!$A$1:$A$1001, 0), MATCH('Product Positioning'!H$1, 'Additional Product Info.'!$A$1:$C$1, 0))</f>
        <v>Aisle</v>
      </c>
      <c r="I592" t="str">
        <f>INDEX('Additional Product Info.'!$A$1:$C$1001, MATCH('Product Positioning'!$A592, 'Additional Product Info.'!$A$1:$A$1001, 0), MATCH('Product Positioning'!I$1, 'Additional Product Info.'!$A$1:$C$1, 0))</f>
        <v>Electronics</v>
      </c>
      <c r="J592" t="str">
        <f>_xlfn.XLOOKUP(A592, $A$1:$A$1001, 'Additional Product Info.'!$D$1:$D$1001)</f>
        <v>Yes</v>
      </c>
      <c r="K592" s="1">
        <f t="shared" si="18"/>
        <v>75675.599999999991</v>
      </c>
      <c r="L592" s="1">
        <f t="shared" si="19"/>
        <v>2.019999999999996</v>
      </c>
      <c r="M592" t="str">
        <f>IF(L592&lt;=Statistics!$E$6,"Low Difference",IF('Product Positioning'!L592&gt;=Statistics!$E$4,"High Difference","Moderate Difference"))</f>
        <v>Moderate Difference</v>
      </c>
    </row>
    <row r="593" spans="1:13" x14ac:dyDescent="0.2">
      <c r="A593">
        <v>154096</v>
      </c>
      <c r="B593" s="1">
        <v>43.32</v>
      </c>
      <c r="C593" s="1">
        <v>39.630000000000003</v>
      </c>
      <c r="D593">
        <v>2144</v>
      </c>
      <c r="E593" t="str">
        <f>_xlfn.XLOOKUP(A593, 'Customer Information'!$A$1:$A$1001, 'Customer Information'!$B$1:$B$1001)</f>
        <v>Low</v>
      </c>
      <c r="F593" t="str">
        <f>_xlfn.XLOOKUP(A593, 'Customer Information'!$A$1:$A$1001, 'Customer Information'!$C$1:$C$1001)</f>
        <v>Families</v>
      </c>
      <c r="G593" t="str">
        <f>_xlfn.XLOOKUP('Customer Information'!A593, 'Customer Information'!$A$1:$A$1001, 'Customer Information'!$D$1:$D$1001)</f>
        <v>Yes</v>
      </c>
      <c r="H593" t="str">
        <f>INDEX('Additional Product Info.'!$A$1:$C$1001, MATCH('Product Positioning'!$A593, 'Additional Product Info.'!$A$1:$A$1001, 0), MATCH('Product Positioning'!H$1, 'Additional Product Info.'!$A$1:$C$1, 0))</f>
        <v>Aisle</v>
      </c>
      <c r="I593" t="str">
        <f>INDEX('Additional Product Info.'!$A$1:$C$1001, MATCH('Product Positioning'!$A593, 'Additional Product Info.'!$A$1:$A$1001, 0), MATCH('Product Positioning'!I$1, 'Additional Product Info.'!$A$1:$C$1, 0))</f>
        <v>Food</v>
      </c>
      <c r="J593" t="str">
        <f>_xlfn.XLOOKUP(A593, $A$1:$A$1001, 'Additional Product Info.'!$D$1:$D$1001)</f>
        <v>No</v>
      </c>
      <c r="K593" s="1">
        <f t="shared" si="18"/>
        <v>92878.080000000002</v>
      </c>
      <c r="L593" s="1">
        <f t="shared" si="19"/>
        <v>3.6899999999999977</v>
      </c>
      <c r="M593" t="str">
        <f>IF(L593&lt;=Statistics!$E$6,"Low Difference",IF('Product Positioning'!L593&gt;=Statistics!$E$4,"High Difference","Moderate Difference"))</f>
        <v>Moderate Difference</v>
      </c>
    </row>
    <row r="594" spans="1:13" x14ac:dyDescent="0.2">
      <c r="A594">
        <v>124265</v>
      </c>
      <c r="B594" s="1">
        <v>24.39</v>
      </c>
      <c r="C594" s="1">
        <v>20.92</v>
      </c>
      <c r="D594">
        <v>2715</v>
      </c>
      <c r="E594" t="str">
        <f>_xlfn.XLOOKUP(A594, 'Customer Information'!$A$1:$A$1001, 'Customer Information'!$B$1:$B$1001)</f>
        <v>High</v>
      </c>
      <c r="F594" t="str">
        <f>_xlfn.XLOOKUP(A594, 'Customer Information'!$A$1:$A$1001, 'Customer Information'!$C$1:$C$1001)</f>
        <v>Families</v>
      </c>
      <c r="G594" t="str">
        <f>_xlfn.XLOOKUP('Customer Information'!A594, 'Customer Information'!$A$1:$A$1001, 'Customer Information'!$D$1:$D$1001)</f>
        <v>Yes</v>
      </c>
      <c r="H594" t="str">
        <f>INDEX('Additional Product Info.'!$A$1:$C$1001, MATCH('Product Positioning'!$A594, 'Additional Product Info.'!$A$1:$A$1001, 0), MATCH('Product Positioning'!H$1, 'Additional Product Info.'!$A$1:$C$1, 0))</f>
        <v>End-cap</v>
      </c>
      <c r="I594" t="str">
        <f>INDEX('Additional Product Info.'!$A$1:$C$1001, MATCH('Product Positioning'!$A594, 'Additional Product Info.'!$A$1:$A$1001, 0), MATCH('Product Positioning'!I$1, 'Additional Product Info.'!$A$1:$C$1, 0))</f>
        <v>Clothing</v>
      </c>
      <c r="J594" t="str">
        <f>_xlfn.XLOOKUP(A594, $A$1:$A$1001, 'Additional Product Info.'!$D$1:$D$1001)</f>
        <v>No</v>
      </c>
      <c r="K594" s="1">
        <f t="shared" si="18"/>
        <v>66218.850000000006</v>
      </c>
      <c r="L594" s="1">
        <f t="shared" si="19"/>
        <v>3.4699999999999989</v>
      </c>
      <c r="M594" t="str">
        <f>IF(L594&lt;=Statistics!$E$6,"Low Difference",IF('Product Positioning'!L594&gt;=Statistics!$E$4,"High Difference","Moderate Difference"))</f>
        <v>Moderate Difference</v>
      </c>
    </row>
    <row r="595" spans="1:13" x14ac:dyDescent="0.2">
      <c r="A595">
        <v>120576</v>
      </c>
      <c r="B595" s="1">
        <v>16.48</v>
      </c>
      <c r="C595" s="1">
        <v>14.74</v>
      </c>
      <c r="D595">
        <v>1357</v>
      </c>
      <c r="E595" t="str">
        <f>_xlfn.XLOOKUP(A595, 'Customer Information'!$A$1:$A$1001, 'Customer Information'!$B$1:$B$1001)</f>
        <v>High</v>
      </c>
      <c r="F595" t="str">
        <f>_xlfn.XLOOKUP(A595, 'Customer Information'!$A$1:$A$1001, 'Customer Information'!$C$1:$C$1001)</f>
        <v>College students</v>
      </c>
      <c r="G595" t="str">
        <f>_xlfn.XLOOKUP('Customer Information'!A595, 'Customer Information'!$A$1:$A$1001, 'Customer Information'!$D$1:$D$1001)</f>
        <v>No</v>
      </c>
      <c r="H595" t="str">
        <f>INDEX('Additional Product Info.'!$A$1:$C$1001, MATCH('Product Positioning'!$A595, 'Additional Product Info.'!$A$1:$A$1001, 0), MATCH('Product Positioning'!H$1, 'Additional Product Info.'!$A$1:$C$1, 0))</f>
        <v>End-cap</v>
      </c>
      <c r="I595" t="str">
        <f>INDEX('Additional Product Info.'!$A$1:$C$1001, MATCH('Product Positioning'!$A595, 'Additional Product Info.'!$A$1:$A$1001, 0), MATCH('Product Positioning'!I$1, 'Additional Product Info.'!$A$1:$C$1, 0))</f>
        <v>Food</v>
      </c>
      <c r="J595" t="str">
        <f>_xlfn.XLOOKUP(A595, $A$1:$A$1001, 'Additional Product Info.'!$D$1:$D$1001)</f>
        <v>Yes</v>
      </c>
      <c r="K595" s="1">
        <f t="shared" si="18"/>
        <v>22363.360000000001</v>
      </c>
      <c r="L595" s="1">
        <f t="shared" si="19"/>
        <v>1.7400000000000002</v>
      </c>
      <c r="M595" t="str">
        <f>IF(L595&lt;=Statistics!$E$6,"Low Difference",IF('Product Positioning'!L595&gt;=Statistics!$E$4,"High Difference","Moderate Difference"))</f>
        <v>Moderate Difference</v>
      </c>
    </row>
    <row r="596" spans="1:13" x14ac:dyDescent="0.2">
      <c r="A596">
        <v>166314</v>
      </c>
      <c r="B596" s="1">
        <v>38.36</v>
      </c>
      <c r="C596" s="1">
        <v>35.33</v>
      </c>
      <c r="D596">
        <v>2896</v>
      </c>
      <c r="E596" t="str">
        <f>_xlfn.XLOOKUP(A596, 'Customer Information'!$A$1:$A$1001, 'Customer Information'!$B$1:$B$1001)</f>
        <v>Medium</v>
      </c>
      <c r="F596" t="str">
        <f>_xlfn.XLOOKUP(A596, 'Customer Information'!$A$1:$A$1001, 'Customer Information'!$C$1:$C$1001)</f>
        <v>Seniors</v>
      </c>
      <c r="G596" t="str">
        <f>_xlfn.XLOOKUP('Customer Information'!A596, 'Customer Information'!$A$1:$A$1001, 'Customer Information'!$D$1:$D$1001)</f>
        <v>No</v>
      </c>
      <c r="H596" t="str">
        <f>INDEX('Additional Product Info.'!$A$1:$C$1001, MATCH('Product Positioning'!$A596, 'Additional Product Info.'!$A$1:$A$1001, 0), MATCH('Product Positioning'!H$1, 'Additional Product Info.'!$A$1:$C$1, 0))</f>
        <v>End-cap</v>
      </c>
      <c r="I596" t="str">
        <f>INDEX('Additional Product Info.'!$A$1:$C$1001, MATCH('Product Positioning'!$A596, 'Additional Product Info.'!$A$1:$A$1001, 0), MATCH('Product Positioning'!I$1, 'Additional Product Info.'!$A$1:$C$1, 0))</f>
        <v>Food</v>
      </c>
      <c r="J596" t="str">
        <f>_xlfn.XLOOKUP(A596, $A$1:$A$1001, 'Additional Product Info.'!$D$1:$D$1001)</f>
        <v>Yes</v>
      </c>
      <c r="K596" s="1">
        <f t="shared" si="18"/>
        <v>111090.56</v>
      </c>
      <c r="L596" s="1">
        <f t="shared" si="19"/>
        <v>3.0300000000000011</v>
      </c>
      <c r="M596" t="str">
        <f>IF(L596&lt;=Statistics!$E$6,"Low Difference",IF('Product Positioning'!L596&gt;=Statistics!$E$4,"High Difference","Moderate Difference"))</f>
        <v>Moderate Difference</v>
      </c>
    </row>
    <row r="597" spans="1:13" x14ac:dyDescent="0.2">
      <c r="A597">
        <v>138145</v>
      </c>
      <c r="B597" s="1">
        <v>25.94</v>
      </c>
      <c r="C597" s="1">
        <v>24.83</v>
      </c>
      <c r="D597">
        <v>2523</v>
      </c>
      <c r="E597" t="str">
        <f>_xlfn.XLOOKUP(A597, 'Customer Information'!$A$1:$A$1001, 'Customer Information'!$B$1:$B$1001)</f>
        <v>Medium</v>
      </c>
      <c r="F597" t="str">
        <f>_xlfn.XLOOKUP(A597, 'Customer Information'!$A$1:$A$1001, 'Customer Information'!$C$1:$C$1001)</f>
        <v>Families</v>
      </c>
      <c r="G597" t="str">
        <f>_xlfn.XLOOKUP('Customer Information'!A597, 'Customer Information'!$A$1:$A$1001, 'Customer Information'!$D$1:$D$1001)</f>
        <v>Yes</v>
      </c>
      <c r="H597" t="str">
        <f>INDEX('Additional Product Info.'!$A$1:$C$1001, MATCH('Product Positioning'!$A597, 'Additional Product Info.'!$A$1:$A$1001, 0), MATCH('Product Positioning'!H$1, 'Additional Product Info.'!$A$1:$C$1, 0))</f>
        <v>Front of Store</v>
      </c>
      <c r="I597" t="str">
        <f>INDEX('Additional Product Info.'!$A$1:$C$1001, MATCH('Product Positioning'!$A597, 'Additional Product Info.'!$A$1:$A$1001, 0), MATCH('Product Positioning'!I$1, 'Additional Product Info.'!$A$1:$C$1, 0))</f>
        <v>Clothing</v>
      </c>
      <c r="J597" t="str">
        <f>_xlfn.XLOOKUP(A597, $A$1:$A$1001, 'Additional Product Info.'!$D$1:$D$1001)</f>
        <v>No</v>
      </c>
      <c r="K597" s="1">
        <f t="shared" si="18"/>
        <v>65446.62</v>
      </c>
      <c r="L597" s="1">
        <f t="shared" si="19"/>
        <v>1.110000000000003</v>
      </c>
      <c r="M597" t="str">
        <f>IF(L597&lt;=Statistics!$E$6,"Low Difference",IF('Product Positioning'!L597&gt;=Statistics!$E$4,"High Difference","Moderate Difference"))</f>
        <v>Low Difference</v>
      </c>
    </row>
    <row r="598" spans="1:13" x14ac:dyDescent="0.2">
      <c r="A598">
        <v>192789</v>
      </c>
      <c r="B598" s="1">
        <v>15.65</v>
      </c>
      <c r="C598" s="1">
        <v>14.23</v>
      </c>
      <c r="D598">
        <v>2480</v>
      </c>
      <c r="E598" t="str">
        <f>_xlfn.XLOOKUP(A598, 'Customer Information'!$A$1:$A$1001, 'Customer Information'!$B$1:$B$1001)</f>
        <v>Medium</v>
      </c>
      <c r="F598" t="str">
        <f>_xlfn.XLOOKUP(A598, 'Customer Information'!$A$1:$A$1001, 'Customer Information'!$C$1:$C$1001)</f>
        <v>College students</v>
      </c>
      <c r="G598" t="str">
        <f>_xlfn.XLOOKUP('Customer Information'!A598, 'Customer Information'!$A$1:$A$1001, 'Customer Information'!$D$1:$D$1001)</f>
        <v>No</v>
      </c>
      <c r="H598" t="str">
        <f>INDEX('Additional Product Info.'!$A$1:$C$1001, MATCH('Product Positioning'!$A598, 'Additional Product Info.'!$A$1:$A$1001, 0), MATCH('Product Positioning'!H$1, 'Additional Product Info.'!$A$1:$C$1, 0))</f>
        <v>End-cap</v>
      </c>
      <c r="I598" t="str">
        <f>INDEX('Additional Product Info.'!$A$1:$C$1001, MATCH('Product Positioning'!$A598, 'Additional Product Info.'!$A$1:$A$1001, 0), MATCH('Product Positioning'!I$1, 'Additional Product Info.'!$A$1:$C$1, 0))</f>
        <v>Clothing</v>
      </c>
      <c r="J598" t="str">
        <f>_xlfn.XLOOKUP(A598, $A$1:$A$1001, 'Additional Product Info.'!$D$1:$D$1001)</f>
        <v>No</v>
      </c>
      <c r="K598" s="1">
        <f t="shared" si="18"/>
        <v>38812</v>
      </c>
      <c r="L598" s="1">
        <f t="shared" si="19"/>
        <v>1.42</v>
      </c>
      <c r="M598" t="str">
        <f>IF(L598&lt;=Statistics!$E$6,"Low Difference",IF('Product Positioning'!L598&gt;=Statistics!$E$4,"High Difference","Moderate Difference"))</f>
        <v>Moderate Difference</v>
      </c>
    </row>
    <row r="599" spans="1:13" x14ac:dyDescent="0.2">
      <c r="A599">
        <v>150907</v>
      </c>
      <c r="B599" s="1">
        <v>45.68</v>
      </c>
      <c r="C599" s="1">
        <v>45.58</v>
      </c>
      <c r="D599">
        <v>1323</v>
      </c>
      <c r="E599" t="str">
        <f>_xlfn.XLOOKUP(A599, 'Customer Information'!$A$1:$A$1001, 'Customer Information'!$B$1:$B$1001)</f>
        <v>High</v>
      </c>
      <c r="F599" t="str">
        <f>_xlfn.XLOOKUP(A599, 'Customer Information'!$A$1:$A$1001, 'Customer Information'!$C$1:$C$1001)</f>
        <v>Seniors</v>
      </c>
      <c r="G599" t="str">
        <f>_xlfn.XLOOKUP('Customer Information'!A599, 'Customer Information'!$A$1:$A$1001, 'Customer Information'!$D$1:$D$1001)</f>
        <v>No</v>
      </c>
      <c r="H599" t="str">
        <f>INDEX('Additional Product Info.'!$A$1:$C$1001, MATCH('Product Positioning'!$A599, 'Additional Product Info.'!$A$1:$A$1001, 0), MATCH('Product Positioning'!H$1, 'Additional Product Info.'!$A$1:$C$1, 0))</f>
        <v>Front of Store</v>
      </c>
      <c r="I599" t="str">
        <f>INDEX('Additional Product Info.'!$A$1:$C$1001, MATCH('Product Positioning'!$A599, 'Additional Product Info.'!$A$1:$A$1001, 0), MATCH('Product Positioning'!I$1, 'Additional Product Info.'!$A$1:$C$1, 0))</f>
        <v>Electronics</v>
      </c>
      <c r="J599" t="str">
        <f>_xlfn.XLOOKUP(A599, $A$1:$A$1001, 'Additional Product Info.'!$D$1:$D$1001)</f>
        <v>No</v>
      </c>
      <c r="K599" s="1">
        <f t="shared" si="18"/>
        <v>60434.64</v>
      </c>
      <c r="L599" s="1">
        <f t="shared" si="19"/>
        <v>0.10000000000000142</v>
      </c>
      <c r="M599" t="str">
        <f>IF(L599&lt;=Statistics!$E$6,"Low Difference",IF('Product Positioning'!L599&gt;=Statistics!$E$4,"High Difference","Moderate Difference"))</f>
        <v>Low Difference</v>
      </c>
    </row>
    <row r="600" spans="1:13" x14ac:dyDescent="0.2">
      <c r="A600">
        <v>182011</v>
      </c>
      <c r="B600" s="1">
        <v>24.17</v>
      </c>
      <c r="C600" s="1">
        <v>19.739999999999998</v>
      </c>
      <c r="D600">
        <v>588</v>
      </c>
      <c r="E600" t="str">
        <f>_xlfn.XLOOKUP(A600, 'Customer Information'!$A$1:$A$1001, 'Customer Information'!$B$1:$B$1001)</f>
        <v>Medium</v>
      </c>
      <c r="F600" t="str">
        <f>_xlfn.XLOOKUP(A600, 'Customer Information'!$A$1:$A$1001, 'Customer Information'!$C$1:$C$1001)</f>
        <v>Seniors</v>
      </c>
      <c r="G600" t="str">
        <f>_xlfn.XLOOKUP('Customer Information'!A600, 'Customer Information'!$A$1:$A$1001, 'Customer Information'!$D$1:$D$1001)</f>
        <v>Yes</v>
      </c>
      <c r="H600" t="str">
        <f>INDEX('Additional Product Info.'!$A$1:$C$1001, MATCH('Product Positioning'!$A600, 'Additional Product Info.'!$A$1:$A$1001, 0), MATCH('Product Positioning'!H$1, 'Additional Product Info.'!$A$1:$C$1, 0))</f>
        <v>End-cap</v>
      </c>
      <c r="I600" t="str">
        <f>INDEX('Additional Product Info.'!$A$1:$C$1001, MATCH('Product Positioning'!$A600, 'Additional Product Info.'!$A$1:$A$1001, 0), MATCH('Product Positioning'!I$1, 'Additional Product Info.'!$A$1:$C$1, 0))</f>
        <v>Clothing</v>
      </c>
      <c r="J600" t="str">
        <f>_xlfn.XLOOKUP(A600, $A$1:$A$1001, 'Additional Product Info.'!$D$1:$D$1001)</f>
        <v>No</v>
      </c>
      <c r="K600" s="1">
        <f t="shared" si="18"/>
        <v>14211.960000000001</v>
      </c>
      <c r="L600" s="1">
        <f t="shared" si="19"/>
        <v>4.4300000000000033</v>
      </c>
      <c r="M600" t="str">
        <f>IF(L600&lt;=Statistics!$E$6,"Low Difference",IF('Product Positioning'!L600&gt;=Statistics!$E$4,"High Difference","Moderate Difference"))</f>
        <v>High Difference</v>
      </c>
    </row>
    <row r="601" spans="1:13" x14ac:dyDescent="0.2">
      <c r="A601">
        <v>167179</v>
      </c>
      <c r="B601" s="1">
        <v>24.06</v>
      </c>
      <c r="C601" s="1">
        <v>23.01</v>
      </c>
      <c r="D601">
        <v>2225</v>
      </c>
      <c r="E601" t="str">
        <f>_xlfn.XLOOKUP(A601, 'Customer Information'!$A$1:$A$1001, 'Customer Information'!$B$1:$B$1001)</f>
        <v>Low</v>
      </c>
      <c r="F601" t="str">
        <f>_xlfn.XLOOKUP(A601, 'Customer Information'!$A$1:$A$1001, 'Customer Information'!$C$1:$C$1001)</f>
        <v>College students</v>
      </c>
      <c r="G601" t="str">
        <f>_xlfn.XLOOKUP('Customer Information'!A601, 'Customer Information'!$A$1:$A$1001, 'Customer Information'!$D$1:$D$1001)</f>
        <v>Yes</v>
      </c>
      <c r="H601" t="str">
        <f>INDEX('Additional Product Info.'!$A$1:$C$1001, MATCH('Product Positioning'!$A601, 'Additional Product Info.'!$A$1:$A$1001, 0), MATCH('Product Positioning'!H$1, 'Additional Product Info.'!$A$1:$C$1, 0))</f>
        <v>Front of Store</v>
      </c>
      <c r="I601" t="str">
        <f>INDEX('Additional Product Info.'!$A$1:$C$1001, MATCH('Product Positioning'!$A601, 'Additional Product Info.'!$A$1:$A$1001, 0), MATCH('Product Positioning'!I$1, 'Additional Product Info.'!$A$1:$C$1, 0))</f>
        <v>Clothing</v>
      </c>
      <c r="J601" t="str">
        <f>_xlfn.XLOOKUP(A601, $A$1:$A$1001, 'Additional Product Info.'!$D$1:$D$1001)</f>
        <v>No</v>
      </c>
      <c r="K601" s="1">
        <f t="shared" si="18"/>
        <v>53533.5</v>
      </c>
      <c r="L601" s="1">
        <f t="shared" si="19"/>
        <v>1.0499999999999972</v>
      </c>
      <c r="M601" t="str">
        <f>IF(L601&lt;=Statistics!$E$6,"Low Difference",IF('Product Positioning'!L601&gt;=Statistics!$E$4,"High Difference","Moderate Difference"))</f>
        <v>Low Difference</v>
      </c>
    </row>
    <row r="602" spans="1:13" x14ac:dyDescent="0.2">
      <c r="A602">
        <v>116390</v>
      </c>
      <c r="B602" s="1">
        <v>30.07</v>
      </c>
      <c r="C602" s="1">
        <v>29.26</v>
      </c>
      <c r="D602">
        <v>2834</v>
      </c>
      <c r="E602" t="str">
        <f>_xlfn.XLOOKUP(A602, 'Customer Information'!$A$1:$A$1001, 'Customer Information'!$B$1:$B$1001)</f>
        <v>High</v>
      </c>
      <c r="F602" t="str">
        <f>_xlfn.XLOOKUP(A602, 'Customer Information'!$A$1:$A$1001, 'Customer Information'!$C$1:$C$1001)</f>
        <v>College students</v>
      </c>
      <c r="G602" t="str">
        <f>_xlfn.XLOOKUP('Customer Information'!A602, 'Customer Information'!$A$1:$A$1001, 'Customer Information'!$D$1:$D$1001)</f>
        <v>Yes</v>
      </c>
      <c r="H602" t="str">
        <f>INDEX('Additional Product Info.'!$A$1:$C$1001, MATCH('Product Positioning'!$A602, 'Additional Product Info.'!$A$1:$A$1001, 0), MATCH('Product Positioning'!H$1, 'Additional Product Info.'!$A$1:$C$1, 0))</f>
        <v>End-cap</v>
      </c>
      <c r="I602" t="str">
        <f>INDEX('Additional Product Info.'!$A$1:$C$1001, MATCH('Product Positioning'!$A602, 'Additional Product Info.'!$A$1:$A$1001, 0), MATCH('Product Positioning'!I$1, 'Additional Product Info.'!$A$1:$C$1, 0))</f>
        <v>Electronics</v>
      </c>
      <c r="J602" t="str">
        <f>_xlfn.XLOOKUP(A602, $A$1:$A$1001, 'Additional Product Info.'!$D$1:$D$1001)</f>
        <v>Yes</v>
      </c>
      <c r="K602" s="1">
        <f t="shared" si="18"/>
        <v>85218.38</v>
      </c>
      <c r="L602" s="1">
        <f t="shared" si="19"/>
        <v>0.80999999999999872</v>
      </c>
      <c r="M602" t="str">
        <f>IF(L602&lt;=Statistics!$E$6,"Low Difference",IF('Product Positioning'!L602&gt;=Statistics!$E$4,"High Difference","Moderate Difference"))</f>
        <v>Low Difference</v>
      </c>
    </row>
    <row r="603" spans="1:13" x14ac:dyDescent="0.2">
      <c r="A603">
        <v>119757</v>
      </c>
      <c r="B603" s="1">
        <v>48.21</v>
      </c>
      <c r="C603" s="1">
        <v>43.42</v>
      </c>
      <c r="D603">
        <v>1907</v>
      </c>
      <c r="E603" t="str">
        <f>_xlfn.XLOOKUP(A603, 'Customer Information'!$A$1:$A$1001, 'Customer Information'!$B$1:$B$1001)</f>
        <v>Low</v>
      </c>
      <c r="F603" t="str">
        <f>_xlfn.XLOOKUP(A603, 'Customer Information'!$A$1:$A$1001, 'Customer Information'!$C$1:$C$1001)</f>
        <v>College students</v>
      </c>
      <c r="G603" t="str">
        <f>_xlfn.XLOOKUP('Customer Information'!A603, 'Customer Information'!$A$1:$A$1001, 'Customer Information'!$D$1:$D$1001)</f>
        <v>No</v>
      </c>
      <c r="H603" t="str">
        <f>INDEX('Additional Product Info.'!$A$1:$C$1001, MATCH('Product Positioning'!$A603, 'Additional Product Info.'!$A$1:$A$1001, 0), MATCH('Product Positioning'!H$1, 'Additional Product Info.'!$A$1:$C$1, 0))</f>
        <v>End-cap</v>
      </c>
      <c r="I603" t="str">
        <f>INDEX('Additional Product Info.'!$A$1:$C$1001, MATCH('Product Positioning'!$A603, 'Additional Product Info.'!$A$1:$A$1001, 0), MATCH('Product Positioning'!I$1, 'Additional Product Info.'!$A$1:$C$1, 0))</f>
        <v>Clothing</v>
      </c>
      <c r="J603" t="str">
        <f>_xlfn.XLOOKUP(A603, $A$1:$A$1001, 'Additional Product Info.'!$D$1:$D$1001)</f>
        <v>No</v>
      </c>
      <c r="K603" s="1">
        <f t="shared" si="18"/>
        <v>91936.47</v>
      </c>
      <c r="L603" s="1">
        <f t="shared" si="19"/>
        <v>4.7899999999999991</v>
      </c>
      <c r="M603" t="str">
        <f>IF(L603&lt;=Statistics!$E$6,"Low Difference",IF('Product Positioning'!L603&gt;=Statistics!$E$4,"High Difference","Moderate Difference"))</f>
        <v>High Difference</v>
      </c>
    </row>
    <row r="604" spans="1:13" x14ac:dyDescent="0.2">
      <c r="A604">
        <v>139269</v>
      </c>
      <c r="B604" s="1">
        <v>18.239999999999998</v>
      </c>
      <c r="C604" s="1">
        <v>16.68</v>
      </c>
      <c r="D604">
        <v>821</v>
      </c>
      <c r="E604" t="str">
        <f>_xlfn.XLOOKUP(A604, 'Customer Information'!$A$1:$A$1001, 'Customer Information'!$B$1:$B$1001)</f>
        <v>Low</v>
      </c>
      <c r="F604" t="str">
        <f>_xlfn.XLOOKUP(A604, 'Customer Information'!$A$1:$A$1001, 'Customer Information'!$C$1:$C$1001)</f>
        <v>Families</v>
      </c>
      <c r="G604" t="str">
        <f>_xlfn.XLOOKUP('Customer Information'!A604, 'Customer Information'!$A$1:$A$1001, 'Customer Information'!$D$1:$D$1001)</f>
        <v>No</v>
      </c>
      <c r="H604" t="str">
        <f>INDEX('Additional Product Info.'!$A$1:$C$1001, MATCH('Product Positioning'!$A604, 'Additional Product Info.'!$A$1:$A$1001, 0), MATCH('Product Positioning'!H$1, 'Additional Product Info.'!$A$1:$C$1, 0))</f>
        <v>Aisle</v>
      </c>
      <c r="I604" t="str">
        <f>INDEX('Additional Product Info.'!$A$1:$C$1001, MATCH('Product Positioning'!$A604, 'Additional Product Info.'!$A$1:$A$1001, 0), MATCH('Product Positioning'!I$1, 'Additional Product Info.'!$A$1:$C$1, 0))</f>
        <v>Electronics</v>
      </c>
      <c r="J604" t="str">
        <f>_xlfn.XLOOKUP(A604, $A$1:$A$1001, 'Additional Product Info.'!$D$1:$D$1001)</f>
        <v>Yes</v>
      </c>
      <c r="K604" s="1">
        <f t="shared" si="18"/>
        <v>14975.039999999999</v>
      </c>
      <c r="L604" s="1">
        <f t="shared" si="19"/>
        <v>1.5599999999999987</v>
      </c>
      <c r="M604" t="str">
        <f>IF(L604&lt;=Statistics!$E$6,"Low Difference",IF('Product Positioning'!L604&gt;=Statistics!$E$4,"High Difference","Moderate Difference"))</f>
        <v>Moderate Difference</v>
      </c>
    </row>
    <row r="605" spans="1:13" x14ac:dyDescent="0.2">
      <c r="A605">
        <v>135624</v>
      </c>
      <c r="B605" s="1">
        <v>6.24</v>
      </c>
      <c r="C605" s="1">
        <v>2.06</v>
      </c>
      <c r="D605">
        <v>1744</v>
      </c>
      <c r="E605" t="str">
        <f>_xlfn.XLOOKUP(A605, 'Customer Information'!$A$1:$A$1001, 'Customer Information'!$B$1:$B$1001)</f>
        <v>High</v>
      </c>
      <c r="F605" t="str">
        <f>_xlfn.XLOOKUP(A605, 'Customer Information'!$A$1:$A$1001, 'Customer Information'!$C$1:$C$1001)</f>
        <v>Young adults</v>
      </c>
      <c r="G605" t="str">
        <f>_xlfn.XLOOKUP('Customer Information'!A605, 'Customer Information'!$A$1:$A$1001, 'Customer Information'!$D$1:$D$1001)</f>
        <v>No</v>
      </c>
      <c r="H605" t="str">
        <f>INDEX('Additional Product Info.'!$A$1:$C$1001, MATCH('Product Positioning'!$A605, 'Additional Product Info.'!$A$1:$A$1001, 0), MATCH('Product Positioning'!H$1, 'Additional Product Info.'!$A$1:$C$1, 0))</f>
        <v>Front of Store</v>
      </c>
      <c r="I605" t="str">
        <f>INDEX('Additional Product Info.'!$A$1:$C$1001, MATCH('Product Positioning'!$A605, 'Additional Product Info.'!$A$1:$A$1001, 0), MATCH('Product Positioning'!I$1, 'Additional Product Info.'!$A$1:$C$1, 0))</f>
        <v>Food</v>
      </c>
      <c r="J605" t="str">
        <f>_xlfn.XLOOKUP(A605, $A$1:$A$1001, 'Additional Product Info.'!$D$1:$D$1001)</f>
        <v>No</v>
      </c>
      <c r="K605" s="1">
        <f t="shared" si="18"/>
        <v>10882.56</v>
      </c>
      <c r="L605" s="1">
        <f t="shared" si="19"/>
        <v>4.18</v>
      </c>
      <c r="M605" t="str">
        <f>IF(L605&lt;=Statistics!$E$6,"Low Difference",IF('Product Positioning'!L605&gt;=Statistics!$E$4,"High Difference","Moderate Difference"))</f>
        <v>High Difference</v>
      </c>
    </row>
    <row r="606" spans="1:13" x14ac:dyDescent="0.2">
      <c r="A606">
        <v>171860</v>
      </c>
      <c r="B606" s="1">
        <v>44.32</v>
      </c>
      <c r="C606" s="1">
        <v>39.33</v>
      </c>
      <c r="D606">
        <v>2398</v>
      </c>
      <c r="E606" t="str">
        <f>_xlfn.XLOOKUP(A606, 'Customer Information'!$A$1:$A$1001, 'Customer Information'!$B$1:$B$1001)</f>
        <v>High</v>
      </c>
      <c r="F606" t="str">
        <f>_xlfn.XLOOKUP(A606, 'Customer Information'!$A$1:$A$1001, 'Customer Information'!$C$1:$C$1001)</f>
        <v>Young adults</v>
      </c>
      <c r="G606" t="str">
        <f>_xlfn.XLOOKUP('Customer Information'!A606, 'Customer Information'!$A$1:$A$1001, 'Customer Information'!$D$1:$D$1001)</f>
        <v>Yes</v>
      </c>
      <c r="H606" t="str">
        <f>INDEX('Additional Product Info.'!$A$1:$C$1001, MATCH('Product Positioning'!$A606, 'Additional Product Info.'!$A$1:$A$1001, 0), MATCH('Product Positioning'!H$1, 'Additional Product Info.'!$A$1:$C$1, 0))</f>
        <v>Aisle</v>
      </c>
      <c r="I606" t="str">
        <f>INDEX('Additional Product Info.'!$A$1:$C$1001, MATCH('Product Positioning'!$A606, 'Additional Product Info.'!$A$1:$A$1001, 0), MATCH('Product Positioning'!I$1, 'Additional Product Info.'!$A$1:$C$1, 0))</f>
        <v>Electronics</v>
      </c>
      <c r="J606" t="str">
        <f>_xlfn.XLOOKUP(A606, $A$1:$A$1001, 'Additional Product Info.'!$D$1:$D$1001)</f>
        <v>No</v>
      </c>
      <c r="K606" s="1">
        <f t="shared" si="18"/>
        <v>106279.36</v>
      </c>
      <c r="L606" s="1">
        <f t="shared" si="19"/>
        <v>4.990000000000002</v>
      </c>
      <c r="M606" t="str">
        <f>IF(L606&lt;=Statistics!$E$6,"Low Difference",IF('Product Positioning'!L606&gt;=Statistics!$E$4,"High Difference","Moderate Difference"))</f>
        <v>High Difference</v>
      </c>
    </row>
    <row r="607" spans="1:13" x14ac:dyDescent="0.2">
      <c r="A607">
        <v>185187</v>
      </c>
      <c r="B607" s="1">
        <v>38.92</v>
      </c>
      <c r="C607" s="1">
        <v>38.340000000000003</v>
      </c>
      <c r="D607">
        <v>1358</v>
      </c>
      <c r="E607" t="str">
        <f>_xlfn.XLOOKUP(A607, 'Customer Information'!$A$1:$A$1001, 'Customer Information'!$B$1:$B$1001)</f>
        <v>Medium</v>
      </c>
      <c r="F607" t="str">
        <f>_xlfn.XLOOKUP(A607, 'Customer Information'!$A$1:$A$1001, 'Customer Information'!$C$1:$C$1001)</f>
        <v>College students</v>
      </c>
      <c r="G607" t="str">
        <f>_xlfn.XLOOKUP('Customer Information'!A607, 'Customer Information'!$A$1:$A$1001, 'Customer Information'!$D$1:$D$1001)</f>
        <v>Yes</v>
      </c>
      <c r="H607" t="str">
        <f>INDEX('Additional Product Info.'!$A$1:$C$1001, MATCH('Product Positioning'!$A607, 'Additional Product Info.'!$A$1:$A$1001, 0), MATCH('Product Positioning'!H$1, 'Additional Product Info.'!$A$1:$C$1, 0))</f>
        <v>Front of Store</v>
      </c>
      <c r="I607" t="str">
        <f>INDEX('Additional Product Info.'!$A$1:$C$1001, MATCH('Product Positioning'!$A607, 'Additional Product Info.'!$A$1:$A$1001, 0), MATCH('Product Positioning'!I$1, 'Additional Product Info.'!$A$1:$C$1, 0))</f>
        <v>Clothing</v>
      </c>
      <c r="J607" t="str">
        <f>_xlfn.XLOOKUP(A607, $A$1:$A$1001, 'Additional Product Info.'!$D$1:$D$1001)</f>
        <v>No</v>
      </c>
      <c r="K607" s="1">
        <f t="shared" si="18"/>
        <v>52853.36</v>
      </c>
      <c r="L607" s="1">
        <f t="shared" si="19"/>
        <v>0.57999999999999829</v>
      </c>
      <c r="M607" t="str">
        <f>IF(L607&lt;=Statistics!$E$6,"Low Difference",IF('Product Positioning'!L607&gt;=Statistics!$E$4,"High Difference","Moderate Difference"))</f>
        <v>Low Difference</v>
      </c>
    </row>
    <row r="608" spans="1:13" x14ac:dyDescent="0.2">
      <c r="A608">
        <v>163977</v>
      </c>
      <c r="B608" s="1">
        <v>37.28</v>
      </c>
      <c r="C608" s="1">
        <v>36.19</v>
      </c>
      <c r="D608">
        <v>2872</v>
      </c>
      <c r="E608" t="str">
        <f>_xlfn.XLOOKUP(A608, 'Customer Information'!$A$1:$A$1001, 'Customer Information'!$B$1:$B$1001)</f>
        <v>Low</v>
      </c>
      <c r="F608" t="str">
        <f>_xlfn.XLOOKUP(A608, 'Customer Information'!$A$1:$A$1001, 'Customer Information'!$C$1:$C$1001)</f>
        <v>Seniors</v>
      </c>
      <c r="G608" t="str">
        <f>_xlfn.XLOOKUP('Customer Information'!A608, 'Customer Information'!$A$1:$A$1001, 'Customer Information'!$D$1:$D$1001)</f>
        <v>No</v>
      </c>
      <c r="H608" t="str">
        <f>INDEX('Additional Product Info.'!$A$1:$C$1001, MATCH('Product Positioning'!$A608, 'Additional Product Info.'!$A$1:$A$1001, 0), MATCH('Product Positioning'!H$1, 'Additional Product Info.'!$A$1:$C$1, 0))</f>
        <v>End-cap</v>
      </c>
      <c r="I608" t="str">
        <f>INDEX('Additional Product Info.'!$A$1:$C$1001, MATCH('Product Positioning'!$A608, 'Additional Product Info.'!$A$1:$A$1001, 0), MATCH('Product Positioning'!I$1, 'Additional Product Info.'!$A$1:$C$1, 0))</f>
        <v>Food</v>
      </c>
      <c r="J608" t="str">
        <f>_xlfn.XLOOKUP(A608, $A$1:$A$1001, 'Additional Product Info.'!$D$1:$D$1001)</f>
        <v>No</v>
      </c>
      <c r="K608" s="1">
        <f t="shared" si="18"/>
        <v>107068.16</v>
      </c>
      <c r="L608" s="1">
        <f t="shared" si="19"/>
        <v>1.0900000000000034</v>
      </c>
      <c r="M608" t="str">
        <f>IF(L608&lt;=Statistics!$E$6,"Low Difference",IF('Product Positioning'!L608&gt;=Statistics!$E$4,"High Difference","Moderate Difference"))</f>
        <v>Low Difference</v>
      </c>
    </row>
    <row r="609" spans="1:13" x14ac:dyDescent="0.2">
      <c r="A609">
        <v>128784</v>
      </c>
      <c r="B609" s="1">
        <v>32.51</v>
      </c>
      <c r="C609" s="1">
        <v>31.52</v>
      </c>
      <c r="D609">
        <v>801</v>
      </c>
      <c r="E609" t="str">
        <f>_xlfn.XLOOKUP(A609, 'Customer Information'!$A$1:$A$1001, 'Customer Information'!$B$1:$B$1001)</f>
        <v>Medium</v>
      </c>
      <c r="F609" t="str">
        <f>_xlfn.XLOOKUP(A609, 'Customer Information'!$A$1:$A$1001, 'Customer Information'!$C$1:$C$1001)</f>
        <v>College students</v>
      </c>
      <c r="G609" t="str">
        <f>_xlfn.XLOOKUP('Customer Information'!A609, 'Customer Information'!$A$1:$A$1001, 'Customer Information'!$D$1:$D$1001)</f>
        <v>Yes</v>
      </c>
      <c r="H609" t="str">
        <f>INDEX('Additional Product Info.'!$A$1:$C$1001, MATCH('Product Positioning'!$A609, 'Additional Product Info.'!$A$1:$A$1001, 0), MATCH('Product Positioning'!H$1, 'Additional Product Info.'!$A$1:$C$1, 0))</f>
        <v>Aisle</v>
      </c>
      <c r="I609" t="str">
        <f>INDEX('Additional Product Info.'!$A$1:$C$1001, MATCH('Product Positioning'!$A609, 'Additional Product Info.'!$A$1:$A$1001, 0), MATCH('Product Positioning'!I$1, 'Additional Product Info.'!$A$1:$C$1, 0))</f>
        <v>Electronics</v>
      </c>
      <c r="J609" t="str">
        <f>_xlfn.XLOOKUP(A609, $A$1:$A$1001, 'Additional Product Info.'!$D$1:$D$1001)</f>
        <v>No</v>
      </c>
      <c r="K609" s="1">
        <f t="shared" si="18"/>
        <v>26040.51</v>
      </c>
      <c r="L609" s="1">
        <f t="shared" si="19"/>
        <v>0.98999999999999844</v>
      </c>
      <c r="M609" t="str">
        <f>IF(L609&lt;=Statistics!$E$6,"Low Difference",IF('Product Positioning'!L609&gt;=Statistics!$E$4,"High Difference","Moderate Difference"))</f>
        <v>Low Difference</v>
      </c>
    </row>
    <row r="610" spans="1:13" x14ac:dyDescent="0.2">
      <c r="A610">
        <v>161283</v>
      </c>
      <c r="B610" s="1">
        <v>46.68</v>
      </c>
      <c r="C610" s="1">
        <v>44.47</v>
      </c>
      <c r="D610">
        <v>1532</v>
      </c>
      <c r="E610" t="str">
        <f>_xlfn.XLOOKUP(A610, 'Customer Information'!$A$1:$A$1001, 'Customer Information'!$B$1:$B$1001)</f>
        <v>Medium</v>
      </c>
      <c r="F610" t="str">
        <f>_xlfn.XLOOKUP(A610, 'Customer Information'!$A$1:$A$1001, 'Customer Information'!$C$1:$C$1001)</f>
        <v>College students</v>
      </c>
      <c r="G610" t="str">
        <f>_xlfn.XLOOKUP('Customer Information'!A610, 'Customer Information'!$A$1:$A$1001, 'Customer Information'!$D$1:$D$1001)</f>
        <v>No</v>
      </c>
      <c r="H610" t="str">
        <f>INDEX('Additional Product Info.'!$A$1:$C$1001, MATCH('Product Positioning'!$A610, 'Additional Product Info.'!$A$1:$A$1001, 0), MATCH('Product Positioning'!H$1, 'Additional Product Info.'!$A$1:$C$1, 0))</f>
        <v>End-cap</v>
      </c>
      <c r="I610" t="str">
        <f>INDEX('Additional Product Info.'!$A$1:$C$1001, MATCH('Product Positioning'!$A610, 'Additional Product Info.'!$A$1:$A$1001, 0), MATCH('Product Positioning'!I$1, 'Additional Product Info.'!$A$1:$C$1, 0))</f>
        <v>Electronics</v>
      </c>
      <c r="J610" t="str">
        <f>_xlfn.XLOOKUP(A610, $A$1:$A$1001, 'Additional Product Info.'!$D$1:$D$1001)</f>
        <v>Yes</v>
      </c>
      <c r="K610" s="1">
        <f t="shared" si="18"/>
        <v>71513.759999999995</v>
      </c>
      <c r="L610" s="1">
        <f t="shared" si="19"/>
        <v>2.2100000000000009</v>
      </c>
      <c r="M610" t="str">
        <f>IF(L610&lt;=Statistics!$E$6,"Low Difference",IF('Product Positioning'!L610&gt;=Statistics!$E$4,"High Difference","Moderate Difference"))</f>
        <v>Moderate Difference</v>
      </c>
    </row>
    <row r="611" spans="1:13" x14ac:dyDescent="0.2">
      <c r="A611">
        <v>166588</v>
      </c>
      <c r="B611" s="1">
        <v>7.09</v>
      </c>
      <c r="C611" s="1">
        <v>5.73</v>
      </c>
      <c r="D611">
        <v>1376</v>
      </c>
      <c r="E611" t="str">
        <f>_xlfn.XLOOKUP(A611, 'Customer Information'!$A$1:$A$1001, 'Customer Information'!$B$1:$B$1001)</f>
        <v>High</v>
      </c>
      <c r="F611" t="str">
        <f>_xlfn.XLOOKUP(A611, 'Customer Information'!$A$1:$A$1001, 'Customer Information'!$C$1:$C$1001)</f>
        <v>Seniors</v>
      </c>
      <c r="G611" t="str">
        <f>_xlfn.XLOOKUP('Customer Information'!A611, 'Customer Information'!$A$1:$A$1001, 'Customer Information'!$D$1:$D$1001)</f>
        <v>Yes</v>
      </c>
      <c r="H611" t="str">
        <f>INDEX('Additional Product Info.'!$A$1:$C$1001, MATCH('Product Positioning'!$A611, 'Additional Product Info.'!$A$1:$A$1001, 0), MATCH('Product Positioning'!H$1, 'Additional Product Info.'!$A$1:$C$1, 0))</f>
        <v>End-cap</v>
      </c>
      <c r="I611" t="str">
        <f>INDEX('Additional Product Info.'!$A$1:$C$1001, MATCH('Product Positioning'!$A611, 'Additional Product Info.'!$A$1:$A$1001, 0), MATCH('Product Positioning'!I$1, 'Additional Product Info.'!$A$1:$C$1, 0))</f>
        <v>Clothing</v>
      </c>
      <c r="J611" t="str">
        <f>_xlfn.XLOOKUP(A611, $A$1:$A$1001, 'Additional Product Info.'!$D$1:$D$1001)</f>
        <v>No</v>
      </c>
      <c r="K611" s="1">
        <f t="shared" si="18"/>
        <v>9755.84</v>
      </c>
      <c r="L611" s="1">
        <f t="shared" si="19"/>
        <v>1.3599999999999994</v>
      </c>
      <c r="M611" t="str">
        <f>IF(L611&lt;=Statistics!$E$6,"Low Difference",IF('Product Positioning'!L611&gt;=Statistics!$E$4,"High Difference","Moderate Difference"))</f>
        <v>Moderate Difference</v>
      </c>
    </row>
    <row r="612" spans="1:13" x14ac:dyDescent="0.2">
      <c r="A612">
        <v>111384</v>
      </c>
      <c r="B612" s="1">
        <v>23.22</v>
      </c>
      <c r="C612" s="1">
        <v>21.78</v>
      </c>
      <c r="D612">
        <v>1859</v>
      </c>
      <c r="E612" t="str">
        <f>_xlfn.XLOOKUP(A612, 'Customer Information'!$A$1:$A$1001, 'Customer Information'!$B$1:$B$1001)</f>
        <v>Low</v>
      </c>
      <c r="F612" t="str">
        <f>_xlfn.XLOOKUP(A612, 'Customer Information'!$A$1:$A$1001, 'Customer Information'!$C$1:$C$1001)</f>
        <v>Young adults</v>
      </c>
      <c r="G612" t="str">
        <f>_xlfn.XLOOKUP('Customer Information'!A612, 'Customer Information'!$A$1:$A$1001, 'Customer Information'!$D$1:$D$1001)</f>
        <v>No</v>
      </c>
      <c r="H612" t="str">
        <f>INDEX('Additional Product Info.'!$A$1:$C$1001, MATCH('Product Positioning'!$A612, 'Additional Product Info.'!$A$1:$A$1001, 0), MATCH('Product Positioning'!H$1, 'Additional Product Info.'!$A$1:$C$1, 0))</f>
        <v>Aisle</v>
      </c>
      <c r="I612" t="str">
        <f>INDEX('Additional Product Info.'!$A$1:$C$1001, MATCH('Product Positioning'!$A612, 'Additional Product Info.'!$A$1:$A$1001, 0), MATCH('Product Positioning'!I$1, 'Additional Product Info.'!$A$1:$C$1, 0))</f>
        <v>Clothing</v>
      </c>
      <c r="J612" t="str">
        <f>_xlfn.XLOOKUP(A612, $A$1:$A$1001, 'Additional Product Info.'!$D$1:$D$1001)</f>
        <v>No</v>
      </c>
      <c r="K612" s="1">
        <f t="shared" si="18"/>
        <v>43165.979999999996</v>
      </c>
      <c r="L612" s="1">
        <f t="shared" si="19"/>
        <v>1.4399999999999977</v>
      </c>
      <c r="M612" t="str">
        <f>IF(L612&lt;=Statistics!$E$6,"Low Difference",IF('Product Positioning'!L612&gt;=Statistics!$E$4,"High Difference","Moderate Difference"))</f>
        <v>Moderate Difference</v>
      </c>
    </row>
    <row r="613" spans="1:13" x14ac:dyDescent="0.2">
      <c r="A613">
        <v>144945</v>
      </c>
      <c r="B613" s="1">
        <v>28.77</v>
      </c>
      <c r="C613" s="1">
        <v>27.43</v>
      </c>
      <c r="D613">
        <v>1908</v>
      </c>
      <c r="E613" t="str">
        <f>_xlfn.XLOOKUP(A613, 'Customer Information'!$A$1:$A$1001, 'Customer Information'!$B$1:$B$1001)</f>
        <v>Medium</v>
      </c>
      <c r="F613" t="str">
        <f>_xlfn.XLOOKUP(A613, 'Customer Information'!$A$1:$A$1001, 'Customer Information'!$C$1:$C$1001)</f>
        <v>Families</v>
      </c>
      <c r="G613" t="str">
        <f>_xlfn.XLOOKUP('Customer Information'!A613, 'Customer Information'!$A$1:$A$1001, 'Customer Information'!$D$1:$D$1001)</f>
        <v>No</v>
      </c>
      <c r="H613" t="str">
        <f>INDEX('Additional Product Info.'!$A$1:$C$1001, MATCH('Product Positioning'!$A613, 'Additional Product Info.'!$A$1:$A$1001, 0), MATCH('Product Positioning'!H$1, 'Additional Product Info.'!$A$1:$C$1, 0))</f>
        <v>End-cap</v>
      </c>
      <c r="I613" t="str">
        <f>INDEX('Additional Product Info.'!$A$1:$C$1001, MATCH('Product Positioning'!$A613, 'Additional Product Info.'!$A$1:$A$1001, 0), MATCH('Product Positioning'!I$1, 'Additional Product Info.'!$A$1:$C$1, 0))</f>
        <v>Food</v>
      </c>
      <c r="J613" t="str">
        <f>_xlfn.XLOOKUP(A613, $A$1:$A$1001, 'Additional Product Info.'!$D$1:$D$1001)</f>
        <v>Yes</v>
      </c>
      <c r="K613" s="1">
        <f t="shared" si="18"/>
        <v>54893.159999999996</v>
      </c>
      <c r="L613" s="1">
        <f t="shared" si="19"/>
        <v>1.3399999999999999</v>
      </c>
      <c r="M613" t="str">
        <f>IF(L613&lt;=Statistics!$E$6,"Low Difference",IF('Product Positioning'!L613&gt;=Statistics!$E$4,"High Difference","Moderate Difference"))</f>
        <v>Moderate Difference</v>
      </c>
    </row>
    <row r="614" spans="1:13" x14ac:dyDescent="0.2">
      <c r="A614">
        <v>145405</v>
      </c>
      <c r="B614" s="1">
        <v>33.950000000000003</v>
      </c>
      <c r="C614" s="1">
        <v>29.32</v>
      </c>
      <c r="D614">
        <v>1403</v>
      </c>
      <c r="E614" t="str">
        <f>_xlfn.XLOOKUP(A614, 'Customer Information'!$A$1:$A$1001, 'Customer Information'!$B$1:$B$1001)</f>
        <v>Medium</v>
      </c>
      <c r="F614" t="str">
        <f>_xlfn.XLOOKUP(A614, 'Customer Information'!$A$1:$A$1001, 'Customer Information'!$C$1:$C$1001)</f>
        <v>Families</v>
      </c>
      <c r="G614" t="str">
        <f>_xlfn.XLOOKUP('Customer Information'!A614, 'Customer Information'!$A$1:$A$1001, 'Customer Information'!$D$1:$D$1001)</f>
        <v>No</v>
      </c>
      <c r="H614" t="str">
        <f>INDEX('Additional Product Info.'!$A$1:$C$1001, MATCH('Product Positioning'!$A614, 'Additional Product Info.'!$A$1:$A$1001, 0), MATCH('Product Positioning'!H$1, 'Additional Product Info.'!$A$1:$C$1, 0))</f>
        <v>Aisle</v>
      </c>
      <c r="I614" t="str">
        <f>INDEX('Additional Product Info.'!$A$1:$C$1001, MATCH('Product Positioning'!$A614, 'Additional Product Info.'!$A$1:$A$1001, 0), MATCH('Product Positioning'!I$1, 'Additional Product Info.'!$A$1:$C$1, 0))</f>
        <v>Food</v>
      </c>
      <c r="J614" t="str">
        <f>_xlfn.XLOOKUP(A614, $A$1:$A$1001, 'Additional Product Info.'!$D$1:$D$1001)</f>
        <v>Yes</v>
      </c>
      <c r="K614" s="1">
        <f t="shared" si="18"/>
        <v>47631.850000000006</v>
      </c>
      <c r="L614" s="1">
        <f t="shared" si="19"/>
        <v>4.6300000000000026</v>
      </c>
      <c r="M614" t="str">
        <f>IF(L614&lt;=Statistics!$E$6,"Low Difference",IF('Product Positioning'!L614&gt;=Statistics!$E$4,"High Difference","Moderate Difference"))</f>
        <v>High Difference</v>
      </c>
    </row>
    <row r="615" spans="1:13" x14ac:dyDescent="0.2">
      <c r="A615">
        <v>140480</v>
      </c>
      <c r="B615" s="1">
        <v>33.32</v>
      </c>
      <c r="C615" s="1">
        <v>32.96</v>
      </c>
      <c r="D615">
        <v>2599</v>
      </c>
      <c r="E615" t="str">
        <f>_xlfn.XLOOKUP(A615, 'Customer Information'!$A$1:$A$1001, 'Customer Information'!$B$1:$B$1001)</f>
        <v>Medium</v>
      </c>
      <c r="F615" t="str">
        <f>_xlfn.XLOOKUP(A615, 'Customer Information'!$A$1:$A$1001, 'Customer Information'!$C$1:$C$1001)</f>
        <v>Young adults</v>
      </c>
      <c r="G615" t="str">
        <f>_xlfn.XLOOKUP('Customer Information'!A615, 'Customer Information'!$A$1:$A$1001, 'Customer Information'!$D$1:$D$1001)</f>
        <v>Yes</v>
      </c>
      <c r="H615" t="str">
        <f>INDEX('Additional Product Info.'!$A$1:$C$1001, MATCH('Product Positioning'!$A615, 'Additional Product Info.'!$A$1:$A$1001, 0), MATCH('Product Positioning'!H$1, 'Additional Product Info.'!$A$1:$C$1, 0))</f>
        <v>Aisle</v>
      </c>
      <c r="I615" t="str">
        <f>INDEX('Additional Product Info.'!$A$1:$C$1001, MATCH('Product Positioning'!$A615, 'Additional Product Info.'!$A$1:$A$1001, 0), MATCH('Product Positioning'!I$1, 'Additional Product Info.'!$A$1:$C$1, 0))</f>
        <v>Food</v>
      </c>
      <c r="J615" t="str">
        <f>_xlfn.XLOOKUP(A615, $A$1:$A$1001, 'Additional Product Info.'!$D$1:$D$1001)</f>
        <v>No</v>
      </c>
      <c r="K615" s="1">
        <f t="shared" si="18"/>
        <v>86598.680000000008</v>
      </c>
      <c r="L615" s="1">
        <f t="shared" si="19"/>
        <v>0.35999999999999943</v>
      </c>
      <c r="M615" t="str">
        <f>IF(L615&lt;=Statistics!$E$6,"Low Difference",IF('Product Positioning'!L615&gt;=Statistics!$E$4,"High Difference","Moderate Difference"))</f>
        <v>Low Difference</v>
      </c>
    </row>
    <row r="616" spans="1:13" x14ac:dyDescent="0.2">
      <c r="A616">
        <v>117707</v>
      </c>
      <c r="B616" s="1">
        <v>27.33</v>
      </c>
      <c r="C616" s="1">
        <v>25.41</v>
      </c>
      <c r="D616">
        <v>511</v>
      </c>
      <c r="E616" t="str">
        <f>_xlfn.XLOOKUP(A616, 'Customer Information'!$A$1:$A$1001, 'Customer Information'!$B$1:$B$1001)</f>
        <v>Low</v>
      </c>
      <c r="F616" t="str">
        <f>_xlfn.XLOOKUP(A616, 'Customer Information'!$A$1:$A$1001, 'Customer Information'!$C$1:$C$1001)</f>
        <v>College students</v>
      </c>
      <c r="G616" t="str">
        <f>_xlfn.XLOOKUP('Customer Information'!A616, 'Customer Information'!$A$1:$A$1001, 'Customer Information'!$D$1:$D$1001)</f>
        <v>No</v>
      </c>
      <c r="H616" t="str">
        <f>INDEX('Additional Product Info.'!$A$1:$C$1001, MATCH('Product Positioning'!$A616, 'Additional Product Info.'!$A$1:$A$1001, 0), MATCH('Product Positioning'!H$1, 'Additional Product Info.'!$A$1:$C$1, 0))</f>
        <v>Aisle</v>
      </c>
      <c r="I616" t="str">
        <f>INDEX('Additional Product Info.'!$A$1:$C$1001, MATCH('Product Positioning'!$A616, 'Additional Product Info.'!$A$1:$A$1001, 0), MATCH('Product Positioning'!I$1, 'Additional Product Info.'!$A$1:$C$1, 0))</f>
        <v>Food</v>
      </c>
      <c r="J616" t="str">
        <f>_xlfn.XLOOKUP(A616, $A$1:$A$1001, 'Additional Product Info.'!$D$1:$D$1001)</f>
        <v>No</v>
      </c>
      <c r="K616" s="1">
        <f t="shared" si="18"/>
        <v>13965.63</v>
      </c>
      <c r="L616" s="1">
        <f t="shared" si="19"/>
        <v>1.9199999999999982</v>
      </c>
      <c r="M616" t="str">
        <f>IF(L616&lt;=Statistics!$E$6,"Low Difference",IF('Product Positioning'!L616&gt;=Statistics!$E$4,"High Difference","Moderate Difference"))</f>
        <v>Moderate Difference</v>
      </c>
    </row>
    <row r="617" spans="1:13" x14ac:dyDescent="0.2">
      <c r="A617">
        <v>182158</v>
      </c>
      <c r="B617" s="1">
        <v>24.22</v>
      </c>
      <c r="C617" s="1">
        <v>23.04</v>
      </c>
      <c r="D617">
        <v>2689</v>
      </c>
      <c r="E617" t="str">
        <f>_xlfn.XLOOKUP(A617, 'Customer Information'!$A$1:$A$1001, 'Customer Information'!$B$1:$B$1001)</f>
        <v>Medium</v>
      </c>
      <c r="F617" t="str">
        <f>_xlfn.XLOOKUP(A617, 'Customer Information'!$A$1:$A$1001, 'Customer Information'!$C$1:$C$1001)</f>
        <v>College students</v>
      </c>
      <c r="G617" t="str">
        <f>_xlfn.XLOOKUP('Customer Information'!A617, 'Customer Information'!$A$1:$A$1001, 'Customer Information'!$D$1:$D$1001)</f>
        <v>No</v>
      </c>
      <c r="H617" t="str">
        <f>INDEX('Additional Product Info.'!$A$1:$C$1001, MATCH('Product Positioning'!$A617, 'Additional Product Info.'!$A$1:$A$1001, 0), MATCH('Product Positioning'!H$1, 'Additional Product Info.'!$A$1:$C$1, 0))</f>
        <v>Front of Store</v>
      </c>
      <c r="I617" t="str">
        <f>INDEX('Additional Product Info.'!$A$1:$C$1001, MATCH('Product Positioning'!$A617, 'Additional Product Info.'!$A$1:$A$1001, 0), MATCH('Product Positioning'!I$1, 'Additional Product Info.'!$A$1:$C$1, 0))</f>
        <v>Clothing</v>
      </c>
      <c r="J617" t="str">
        <f>_xlfn.XLOOKUP(A617, $A$1:$A$1001, 'Additional Product Info.'!$D$1:$D$1001)</f>
        <v>Yes</v>
      </c>
      <c r="K617" s="1">
        <f t="shared" si="18"/>
        <v>65127.579999999994</v>
      </c>
      <c r="L617" s="1">
        <f t="shared" si="19"/>
        <v>1.1799999999999997</v>
      </c>
      <c r="M617" t="str">
        <f>IF(L617&lt;=Statistics!$E$6,"Low Difference",IF('Product Positioning'!L617&gt;=Statistics!$E$4,"High Difference","Moderate Difference"))</f>
        <v>Moderate Difference</v>
      </c>
    </row>
    <row r="618" spans="1:13" x14ac:dyDescent="0.2">
      <c r="A618">
        <v>151032</v>
      </c>
      <c r="B618" s="1">
        <v>9.7799999999999994</v>
      </c>
      <c r="C618" s="1">
        <v>4.93</v>
      </c>
      <c r="D618">
        <v>2054</v>
      </c>
      <c r="E618" t="str">
        <f>_xlfn.XLOOKUP(A618, 'Customer Information'!$A$1:$A$1001, 'Customer Information'!$B$1:$B$1001)</f>
        <v>High</v>
      </c>
      <c r="F618" t="str">
        <f>_xlfn.XLOOKUP(A618, 'Customer Information'!$A$1:$A$1001, 'Customer Information'!$C$1:$C$1001)</f>
        <v>Young adults</v>
      </c>
      <c r="G618" t="str">
        <f>_xlfn.XLOOKUP('Customer Information'!A618, 'Customer Information'!$A$1:$A$1001, 'Customer Information'!$D$1:$D$1001)</f>
        <v>No</v>
      </c>
      <c r="H618" t="str">
        <f>INDEX('Additional Product Info.'!$A$1:$C$1001, MATCH('Product Positioning'!$A618, 'Additional Product Info.'!$A$1:$A$1001, 0), MATCH('Product Positioning'!H$1, 'Additional Product Info.'!$A$1:$C$1, 0))</f>
        <v>Front of Store</v>
      </c>
      <c r="I618" t="str">
        <f>INDEX('Additional Product Info.'!$A$1:$C$1001, MATCH('Product Positioning'!$A618, 'Additional Product Info.'!$A$1:$A$1001, 0), MATCH('Product Positioning'!I$1, 'Additional Product Info.'!$A$1:$C$1, 0))</f>
        <v>Clothing</v>
      </c>
      <c r="J618" t="str">
        <f>_xlfn.XLOOKUP(A618, $A$1:$A$1001, 'Additional Product Info.'!$D$1:$D$1001)</f>
        <v>Yes</v>
      </c>
      <c r="K618" s="1">
        <f t="shared" si="18"/>
        <v>20088.12</v>
      </c>
      <c r="L618" s="1">
        <f t="shared" si="19"/>
        <v>4.8499999999999996</v>
      </c>
      <c r="M618" t="str">
        <f>IF(L618&lt;=Statistics!$E$6,"Low Difference",IF('Product Positioning'!L618&gt;=Statistics!$E$4,"High Difference","Moderate Difference"))</f>
        <v>High Difference</v>
      </c>
    </row>
    <row r="619" spans="1:13" x14ac:dyDescent="0.2">
      <c r="A619">
        <v>138160</v>
      </c>
      <c r="B619" s="1">
        <v>19.57</v>
      </c>
      <c r="C619" s="1">
        <v>18.88</v>
      </c>
      <c r="D619">
        <v>839</v>
      </c>
      <c r="E619" t="str">
        <f>_xlfn.XLOOKUP(A619, 'Customer Information'!$A$1:$A$1001, 'Customer Information'!$B$1:$B$1001)</f>
        <v>Medium</v>
      </c>
      <c r="F619" t="str">
        <f>_xlfn.XLOOKUP(A619, 'Customer Information'!$A$1:$A$1001, 'Customer Information'!$C$1:$C$1001)</f>
        <v>College students</v>
      </c>
      <c r="G619" t="str">
        <f>_xlfn.XLOOKUP('Customer Information'!A619, 'Customer Information'!$A$1:$A$1001, 'Customer Information'!$D$1:$D$1001)</f>
        <v>Yes</v>
      </c>
      <c r="H619" t="str">
        <f>INDEX('Additional Product Info.'!$A$1:$C$1001, MATCH('Product Positioning'!$A619, 'Additional Product Info.'!$A$1:$A$1001, 0), MATCH('Product Positioning'!H$1, 'Additional Product Info.'!$A$1:$C$1, 0))</f>
        <v>Aisle</v>
      </c>
      <c r="I619" t="str">
        <f>INDEX('Additional Product Info.'!$A$1:$C$1001, MATCH('Product Positioning'!$A619, 'Additional Product Info.'!$A$1:$A$1001, 0), MATCH('Product Positioning'!I$1, 'Additional Product Info.'!$A$1:$C$1, 0))</f>
        <v>Food</v>
      </c>
      <c r="J619" t="str">
        <f>_xlfn.XLOOKUP(A619, $A$1:$A$1001, 'Additional Product Info.'!$D$1:$D$1001)</f>
        <v>No</v>
      </c>
      <c r="K619" s="1">
        <f t="shared" si="18"/>
        <v>16419.23</v>
      </c>
      <c r="L619" s="1">
        <f t="shared" si="19"/>
        <v>0.69000000000000128</v>
      </c>
      <c r="M619" t="str">
        <f>IF(L619&lt;=Statistics!$E$6,"Low Difference",IF('Product Positioning'!L619&gt;=Statistics!$E$4,"High Difference","Moderate Difference"))</f>
        <v>Low Difference</v>
      </c>
    </row>
    <row r="620" spans="1:13" x14ac:dyDescent="0.2">
      <c r="A620">
        <v>132647</v>
      </c>
      <c r="B620" s="1">
        <v>15.85</v>
      </c>
      <c r="C620" s="1">
        <v>14.41</v>
      </c>
      <c r="D620">
        <v>2831</v>
      </c>
      <c r="E620" t="str">
        <f>_xlfn.XLOOKUP(A620, 'Customer Information'!$A$1:$A$1001, 'Customer Information'!$B$1:$B$1001)</f>
        <v>High</v>
      </c>
      <c r="F620" t="str">
        <f>_xlfn.XLOOKUP(A620, 'Customer Information'!$A$1:$A$1001, 'Customer Information'!$C$1:$C$1001)</f>
        <v>College students</v>
      </c>
      <c r="G620" t="str">
        <f>_xlfn.XLOOKUP('Customer Information'!A620, 'Customer Information'!$A$1:$A$1001, 'Customer Information'!$D$1:$D$1001)</f>
        <v>Yes</v>
      </c>
      <c r="H620" t="str">
        <f>INDEX('Additional Product Info.'!$A$1:$C$1001, MATCH('Product Positioning'!$A620, 'Additional Product Info.'!$A$1:$A$1001, 0), MATCH('Product Positioning'!H$1, 'Additional Product Info.'!$A$1:$C$1, 0))</f>
        <v>Front of Store</v>
      </c>
      <c r="I620" t="str">
        <f>INDEX('Additional Product Info.'!$A$1:$C$1001, MATCH('Product Positioning'!$A620, 'Additional Product Info.'!$A$1:$A$1001, 0), MATCH('Product Positioning'!I$1, 'Additional Product Info.'!$A$1:$C$1, 0))</f>
        <v>Food</v>
      </c>
      <c r="J620" t="str">
        <f>_xlfn.XLOOKUP(A620, $A$1:$A$1001, 'Additional Product Info.'!$D$1:$D$1001)</f>
        <v>Yes</v>
      </c>
      <c r="K620" s="1">
        <f t="shared" si="18"/>
        <v>44871.35</v>
      </c>
      <c r="L620" s="1">
        <f t="shared" si="19"/>
        <v>1.4399999999999995</v>
      </c>
      <c r="M620" t="str">
        <f>IF(L620&lt;=Statistics!$E$6,"Low Difference",IF('Product Positioning'!L620&gt;=Statistics!$E$4,"High Difference","Moderate Difference"))</f>
        <v>Moderate Difference</v>
      </c>
    </row>
    <row r="621" spans="1:13" x14ac:dyDescent="0.2">
      <c r="A621">
        <v>154713</v>
      </c>
      <c r="B621" s="1">
        <v>47.72</v>
      </c>
      <c r="C621" s="1">
        <v>44.03</v>
      </c>
      <c r="D621">
        <v>1647</v>
      </c>
      <c r="E621" t="str">
        <f>_xlfn.XLOOKUP(A621, 'Customer Information'!$A$1:$A$1001, 'Customer Information'!$B$1:$B$1001)</f>
        <v>Medium</v>
      </c>
      <c r="F621" t="str">
        <f>_xlfn.XLOOKUP(A621, 'Customer Information'!$A$1:$A$1001, 'Customer Information'!$C$1:$C$1001)</f>
        <v>Families</v>
      </c>
      <c r="G621" t="str">
        <f>_xlfn.XLOOKUP('Customer Information'!A621, 'Customer Information'!$A$1:$A$1001, 'Customer Information'!$D$1:$D$1001)</f>
        <v>Yes</v>
      </c>
      <c r="H621" t="str">
        <f>INDEX('Additional Product Info.'!$A$1:$C$1001, MATCH('Product Positioning'!$A621, 'Additional Product Info.'!$A$1:$A$1001, 0), MATCH('Product Positioning'!H$1, 'Additional Product Info.'!$A$1:$C$1, 0))</f>
        <v>Aisle</v>
      </c>
      <c r="I621" t="str">
        <f>INDEX('Additional Product Info.'!$A$1:$C$1001, MATCH('Product Positioning'!$A621, 'Additional Product Info.'!$A$1:$A$1001, 0), MATCH('Product Positioning'!I$1, 'Additional Product Info.'!$A$1:$C$1, 0))</f>
        <v>Clothing</v>
      </c>
      <c r="J621" t="str">
        <f>_xlfn.XLOOKUP(A621, $A$1:$A$1001, 'Additional Product Info.'!$D$1:$D$1001)</f>
        <v>Yes</v>
      </c>
      <c r="K621" s="1">
        <f t="shared" si="18"/>
        <v>78594.84</v>
      </c>
      <c r="L621" s="1">
        <f t="shared" si="19"/>
        <v>3.6899999999999977</v>
      </c>
      <c r="M621" t="str">
        <f>IF(L621&lt;=Statistics!$E$6,"Low Difference",IF('Product Positioning'!L621&gt;=Statistics!$E$4,"High Difference","Moderate Difference"))</f>
        <v>Moderate Difference</v>
      </c>
    </row>
    <row r="622" spans="1:13" x14ac:dyDescent="0.2">
      <c r="A622">
        <v>157629</v>
      </c>
      <c r="B622" s="1">
        <v>18.93</v>
      </c>
      <c r="C622" s="1">
        <v>17.809999999999999</v>
      </c>
      <c r="D622">
        <v>1277</v>
      </c>
      <c r="E622" t="str">
        <f>_xlfn.XLOOKUP(A622, 'Customer Information'!$A$1:$A$1001, 'Customer Information'!$B$1:$B$1001)</f>
        <v>High</v>
      </c>
      <c r="F622" t="str">
        <f>_xlfn.XLOOKUP(A622, 'Customer Information'!$A$1:$A$1001, 'Customer Information'!$C$1:$C$1001)</f>
        <v>Families</v>
      </c>
      <c r="G622" t="str">
        <f>_xlfn.XLOOKUP('Customer Information'!A622, 'Customer Information'!$A$1:$A$1001, 'Customer Information'!$D$1:$D$1001)</f>
        <v>No</v>
      </c>
      <c r="H622" t="str">
        <f>INDEX('Additional Product Info.'!$A$1:$C$1001, MATCH('Product Positioning'!$A622, 'Additional Product Info.'!$A$1:$A$1001, 0), MATCH('Product Positioning'!H$1, 'Additional Product Info.'!$A$1:$C$1, 0))</f>
        <v>Front of Store</v>
      </c>
      <c r="I622" t="str">
        <f>INDEX('Additional Product Info.'!$A$1:$C$1001, MATCH('Product Positioning'!$A622, 'Additional Product Info.'!$A$1:$A$1001, 0), MATCH('Product Positioning'!I$1, 'Additional Product Info.'!$A$1:$C$1, 0))</f>
        <v>Food</v>
      </c>
      <c r="J622" t="str">
        <f>_xlfn.XLOOKUP(A622, $A$1:$A$1001, 'Additional Product Info.'!$D$1:$D$1001)</f>
        <v>No</v>
      </c>
      <c r="K622" s="1">
        <f t="shared" si="18"/>
        <v>24173.61</v>
      </c>
      <c r="L622" s="1">
        <f t="shared" si="19"/>
        <v>1.120000000000001</v>
      </c>
      <c r="M622" t="str">
        <f>IF(L622&lt;=Statistics!$E$6,"Low Difference",IF('Product Positioning'!L622&gt;=Statistics!$E$4,"High Difference","Moderate Difference"))</f>
        <v>Low Difference</v>
      </c>
    </row>
    <row r="623" spans="1:13" x14ac:dyDescent="0.2">
      <c r="A623">
        <v>165679</v>
      </c>
      <c r="B623" s="1">
        <v>15.38</v>
      </c>
      <c r="C623" s="1">
        <v>12.41</v>
      </c>
      <c r="D623">
        <v>1062</v>
      </c>
      <c r="E623" t="str">
        <f>_xlfn.XLOOKUP(A623, 'Customer Information'!$A$1:$A$1001, 'Customer Information'!$B$1:$B$1001)</f>
        <v>Low</v>
      </c>
      <c r="F623" t="str">
        <f>_xlfn.XLOOKUP(A623, 'Customer Information'!$A$1:$A$1001, 'Customer Information'!$C$1:$C$1001)</f>
        <v>Families</v>
      </c>
      <c r="G623" t="str">
        <f>_xlfn.XLOOKUP('Customer Information'!A623, 'Customer Information'!$A$1:$A$1001, 'Customer Information'!$D$1:$D$1001)</f>
        <v>No</v>
      </c>
      <c r="H623" t="str">
        <f>INDEX('Additional Product Info.'!$A$1:$C$1001, MATCH('Product Positioning'!$A623, 'Additional Product Info.'!$A$1:$A$1001, 0), MATCH('Product Positioning'!H$1, 'Additional Product Info.'!$A$1:$C$1, 0))</f>
        <v>Front of Store</v>
      </c>
      <c r="I623" t="str">
        <f>INDEX('Additional Product Info.'!$A$1:$C$1001, MATCH('Product Positioning'!$A623, 'Additional Product Info.'!$A$1:$A$1001, 0), MATCH('Product Positioning'!I$1, 'Additional Product Info.'!$A$1:$C$1, 0))</f>
        <v>Clothing</v>
      </c>
      <c r="J623" t="str">
        <f>_xlfn.XLOOKUP(A623, $A$1:$A$1001, 'Additional Product Info.'!$D$1:$D$1001)</f>
        <v>No</v>
      </c>
      <c r="K623" s="1">
        <f t="shared" si="18"/>
        <v>16333.560000000001</v>
      </c>
      <c r="L623" s="1">
        <f t="shared" si="19"/>
        <v>2.9700000000000006</v>
      </c>
      <c r="M623" t="str">
        <f>IF(L623&lt;=Statistics!$E$6,"Low Difference",IF('Product Positioning'!L623&gt;=Statistics!$E$4,"High Difference","Moderate Difference"))</f>
        <v>Moderate Difference</v>
      </c>
    </row>
    <row r="624" spans="1:13" x14ac:dyDescent="0.2">
      <c r="A624">
        <v>127978</v>
      </c>
      <c r="B624" s="1">
        <v>6.39</v>
      </c>
      <c r="C624" s="1">
        <v>5.77</v>
      </c>
      <c r="D624">
        <v>1677</v>
      </c>
      <c r="E624" t="str">
        <f>_xlfn.XLOOKUP(A624, 'Customer Information'!$A$1:$A$1001, 'Customer Information'!$B$1:$B$1001)</f>
        <v>Low</v>
      </c>
      <c r="F624" t="str">
        <f>_xlfn.XLOOKUP(A624, 'Customer Information'!$A$1:$A$1001, 'Customer Information'!$C$1:$C$1001)</f>
        <v>Seniors</v>
      </c>
      <c r="G624" t="str">
        <f>_xlfn.XLOOKUP('Customer Information'!A624, 'Customer Information'!$A$1:$A$1001, 'Customer Information'!$D$1:$D$1001)</f>
        <v>Yes</v>
      </c>
      <c r="H624" t="str">
        <f>INDEX('Additional Product Info.'!$A$1:$C$1001, MATCH('Product Positioning'!$A624, 'Additional Product Info.'!$A$1:$A$1001, 0), MATCH('Product Positioning'!H$1, 'Additional Product Info.'!$A$1:$C$1, 0))</f>
        <v>Front of Store</v>
      </c>
      <c r="I624" t="str">
        <f>INDEX('Additional Product Info.'!$A$1:$C$1001, MATCH('Product Positioning'!$A624, 'Additional Product Info.'!$A$1:$A$1001, 0), MATCH('Product Positioning'!I$1, 'Additional Product Info.'!$A$1:$C$1, 0))</f>
        <v>Food</v>
      </c>
      <c r="J624" t="str">
        <f>_xlfn.XLOOKUP(A624, $A$1:$A$1001, 'Additional Product Info.'!$D$1:$D$1001)</f>
        <v>No</v>
      </c>
      <c r="K624" s="1">
        <f t="shared" si="18"/>
        <v>10716.029999999999</v>
      </c>
      <c r="L624" s="1">
        <f t="shared" si="19"/>
        <v>0.62000000000000011</v>
      </c>
      <c r="M624" t="str">
        <f>IF(L624&lt;=Statistics!$E$6,"Low Difference",IF('Product Positioning'!L624&gt;=Statistics!$E$4,"High Difference","Moderate Difference"))</f>
        <v>Low Difference</v>
      </c>
    </row>
    <row r="625" spans="1:13" x14ac:dyDescent="0.2">
      <c r="A625">
        <v>191923</v>
      </c>
      <c r="B625" s="1">
        <v>47.6</v>
      </c>
      <c r="C625" s="1">
        <v>45.1</v>
      </c>
      <c r="D625">
        <v>1459</v>
      </c>
      <c r="E625" t="str">
        <f>_xlfn.XLOOKUP(A625, 'Customer Information'!$A$1:$A$1001, 'Customer Information'!$B$1:$B$1001)</f>
        <v>High</v>
      </c>
      <c r="F625" t="str">
        <f>_xlfn.XLOOKUP(A625, 'Customer Information'!$A$1:$A$1001, 'Customer Information'!$C$1:$C$1001)</f>
        <v>Families</v>
      </c>
      <c r="G625" t="str">
        <f>_xlfn.XLOOKUP('Customer Information'!A625, 'Customer Information'!$A$1:$A$1001, 'Customer Information'!$D$1:$D$1001)</f>
        <v>No</v>
      </c>
      <c r="H625" t="str">
        <f>INDEX('Additional Product Info.'!$A$1:$C$1001, MATCH('Product Positioning'!$A625, 'Additional Product Info.'!$A$1:$A$1001, 0), MATCH('Product Positioning'!H$1, 'Additional Product Info.'!$A$1:$C$1, 0))</f>
        <v>Aisle</v>
      </c>
      <c r="I625" t="str">
        <f>INDEX('Additional Product Info.'!$A$1:$C$1001, MATCH('Product Positioning'!$A625, 'Additional Product Info.'!$A$1:$A$1001, 0), MATCH('Product Positioning'!I$1, 'Additional Product Info.'!$A$1:$C$1, 0))</f>
        <v>Clothing</v>
      </c>
      <c r="J625" t="str">
        <f>_xlfn.XLOOKUP(A625, $A$1:$A$1001, 'Additional Product Info.'!$D$1:$D$1001)</f>
        <v>No</v>
      </c>
      <c r="K625" s="1">
        <f t="shared" si="18"/>
        <v>69448.400000000009</v>
      </c>
      <c r="L625" s="1">
        <f t="shared" si="19"/>
        <v>2.5</v>
      </c>
      <c r="M625" t="str">
        <f>IF(L625&lt;=Statistics!$E$6,"Low Difference",IF('Product Positioning'!L625&gt;=Statistics!$E$4,"High Difference","Moderate Difference"))</f>
        <v>Moderate Difference</v>
      </c>
    </row>
    <row r="626" spans="1:13" x14ac:dyDescent="0.2">
      <c r="A626">
        <v>179488</v>
      </c>
      <c r="B626" s="1">
        <v>41.53</v>
      </c>
      <c r="C626" s="1">
        <v>37.25</v>
      </c>
      <c r="D626">
        <v>1479</v>
      </c>
      <c r="E626" t="str">
        <f>_xlfn.XLOOKUP(A626, 'Customer Information'!$A$1:$A$1001, 'Customer Information'!$B$1:$B$1001)</f>
        <v>Low</v>
      </c>
      <c r="F626" t="str">
        <f>_xlfn.XLOOKUP(A626, 'Customer Information'!$A$1:$A$1001, 'Customer Information'!$C$1:$C$1001)</f>
        <v>Young adults</v>
      </c>
      <c r="G626" t="str">
        <f>_xlfn.XLOOKUP('Customer Information'!A626, 'Customer Information'!$A$1:$A$1001, 'Customer Information'!$D$1:$D$1001)</f>
        <v>Yes</v>
      </c>
      <c r="H626" t="str">
        <f>INDEX('Additional Product Info.'!$A$1:$C$1001, MATCH('Product Positioning'!$A626, 'Additional Product Info.'!$A$1:$A$1001, 0), MATCH('Product Positioning'!H$1, 'Additional Product Info.'!$A$1:$C$1, 0))</f>
        <v>Front of Store</v>
      </c>
      <c r="I626" t="str">
        <f>INDEX('Additional Product Info.'!$A$1:$C$1001, MATCH('Product Positioning'!$A626, 'Additional Product Info.'!$A$1:$A$1001, 0), MATCH('Product Positioning'!I$1, 'Additional Product Info.'!$A$1:$C$1, 0))</f>
        <v>Food</v>
      </c>
      <c r="J626" t="str">
        <f>_xlfn.XLOOKUP(A626, $A$1:$A$1001, 'Additional Product Info.'!$D$1:$D$1001)</f>
        <v>Yes</v>
      </c>
      <c r="K626" s="1">
        <f t="shared" si="18"/>
        <v>61422.87</v>
      </c>
      <c r="L626" s="1">
        <f t="shared" si="19"/>
        <v>4.2800000000000011</v>
      </c>
      <c r="M626" t="str">
        <f>IF(L626&lt;=Statistics!$E$6,"Low Difference",IF('Product Positioning'!L626&gt;=Statistics!$E$4,"High Difference","Moderate Difference"))</f>
        <v>High Difference</v>
      </c>
    </row>
    <row r="627" spans="1:13" x14ac:dyDescent="0.2">
      <c r="A627">
        <v>196100</v>
      </c>
      <c r="B627" s="1">
        <v>24.3</v>
      </c>
      <c r="C627" s="1">
        <v>23.86</v>
      </c>
      <c r="D627">
        <v>944</v>
      </c>
      <c r="E627" t="str">
        <f>_xlfn.XLOOKUP(A627, 'Customer Information'!$A$1:$A$1001, 'Customer Information'!$B$1:$B$1001)</f>
        <v>Medium</v>
      </c>
      <c r="F627" t="str">
        <f>_xlfn.XLOOKUP(A627, 'Customer Information'!$A$1:$A$1001, 'Customer Information'!$C$1:$C$1001)</f>
        <v>Families</v>
      </c>
      <c r="G627" t="str">
        <f>_xlfn.XLOOKUP('Customer Information'!A627, 'Customer Information'!$A$1:$A$1001, 'Customer Information'!$D$1:$D$1001)</f>
        <v>Yes</v>
      </c>
      <c r="H627" t="str">
        <f>INDEX('Additional Product Info.'!$A$1:$C$1001, MATCH('Product Positioning'!$A627, 'Additional Product Info.'!$A$1:$A$1001, 0), MATCH('Product Positioning'!H$1, 'Additional Product Info.'!$A$1:$C$1, 0))</f>
        <v>Aisle</v>
      </c>
      <c r="I627" t="str">
        <f>INDEX('Additional Product Info.'!$A$1:$C$1001, MATCH('Product Positioning'!$A627, 'Additional Product Info.'!$A$1:$A$1001, 0), MATCH('Product Positioning'!I$1, 'Additional Product Info.'!$A$1:$C$1, 0))</f>
        <v>Food</v>
      </c>
      <c r="J627" t="str">
        <f>_xlfn.XLOOKUP(A627, $A$1:$A$1001, 'Additional Product Info.'!$D$1:$D$1001)</f>
        <v>No</v>
      </c>
      <c r="K627" s="1">
        <f t="shared" si="18"/>
        <v>22939.200000000001</v>
      </c>
      <c r="L627" s="1">
        <f t="shared" si="19"/>
        <v>0.44000000000000128</v>
      </c>
      <c r="M627" t="str">
        <f>IF(L627&lt;=Statistics!$E$6,"Low Difference",IF('Product Positioning'!L627&gt;=Statistics!$E$4,"High Difference","Moderate Difference"))</f>
        <v>Low Difference</v>
      </c>
    </row>
    <row r="628" spans="1:13" x14ac:dyDescent="0.2">
      <c r="A628">
        <v>114396</v>
      </c>
      <c r="B628" s="1">
        <v>37.840000000000003</v>
      </c>
      <c r="C628" s="1">
        <v>37.369999999999997</v>
      </c>
      <c r="D628">
        <v>1433</v>
      </c>
      <c r="E628" t="str">
        <f>_xlfn.XLOOKUP(A628, 'Customer Information'!$A$1:$A$1001, 'Customer Information'!$B$1:$B$1001)</f>
        <v>Medium</v>
      </c>
      <c r="F628" t="str">
        <f>_xlfn.XLOOKUP(A628, 'Customer Information'!$A$1:$A$1001, 'Customer Information'!$C$1:$C$1001)</f>
        <v>Families</v>
      </c>
      <c r="G628" t="str">
        <f>_xlfn.XLOOKUP('Customer Information'!A628, 'Customer Information'!$A$1:$A$1001, 'Customer Information'!$D$1:$D$1001)</f>
        <v>Yes</v>
      </c>
      <c r="H628" t="str">
        <f>INDEX('Additional Product Info.'!$A$1:$C$1001, MATCH('Product Positioning'!$A628, 'Additional Product Info.'!$A$1:$A$1001, 0), MATCH('Product Positioning'!H$1, 'Additional Product Info.'!$A$1:$C$1, 0))</f>
        <v>Front of Store</v>
      </c>
      <c r="I628" t="str">
        <f>INDEX('Additional Product Info.'!$A$1:$C$1001, MATCH('Product Positioning'!$A628, 'Additional Product Info.'!$A$1:$A$1001, 0), MATCH('Product Positioning'!I$1, 'Additional Product Info.'!$A$1:$C$1, 0))</f>
        <v>Food</v>
      </c>
      <c r="J628" t="str">
        <f>_xlfn.XLOOKUP(A628, $A$1:$A$1001, 'Additional Product Info.'!$D$1:$D$1001)</f>
        <v>No</v>
      </c>
      <c r="K628" s="1">
        <f t="shared" si="18"/>
        <v>54224.720000000008</v>
      </c>
      <c r="L628" s="1">
        <f t="shared" si="19"/>
        <v>0.47000000000000597</v>
      </c>
      <c r="M628" t="str">
        <f>IF(L628&lt;=Statistics!$E$6,"Low Difference",IF('Product Positioning'!L628&gt;=Statistics!$E$4,"High Difference","Moderate Difference"))</f>
        <v>Low Difference</v>
      </c>
    </row>
    <row r="629" spans="1:13" x14ac:dyDescent="0.2">
      <c r="A629">
        <v>126954</v>
      </c>
      <c r="B629" s="1">
        <v>41.39</v>
      </c>
      <c r="C629" s="1">
        <v>39.6</v>
      </c>
      <c r="D629">
        <v>1640</v>
      </c>
      <c r="E629" t="str">
        <f>_xlfn.XLOOKUP(A629, 'Customer Information'!$A$1:$A$1001, 'Customer Information'!$B$1:$B$1001)</f>
        <v>Medium</v>
      </c>
      <c r="F629" t="str">
        <f>_xlfn.XLOOKUP(A629, 'Customer Information'!$A$1:$A$1001, 'Customer Information'!$C$1:$C$1001)</f>
        <v>Seniors</v>
      </c>
      <c r="G629" t="str">
        <f>_xlfn.XLOOKUP('Customer Information'!A629, 'Customer Information'!$A$1:$A$1001, 'Customer Information'!$D$1:$D$1001)</f>
        <v>No</v>
      </c>
      <c r="H629" t="str">
        <f>INDEX('Additional Product Info.'!$A$1:$C$1001, MATCH('Product Positioning'!$A629, 'Additional Product Info.'!$A$1:$A$1001, 0), MATCH('Product Positioning'!H$1, 'Additional Product Info.'!$A$1:$C$1, 0))</f>
        <v>Aisle</v>
      </c>
      <c r="I629" t="str">
        <f>INDEX('Additional Product Info.'!$A$1:$C$1001, MATCH('Product Positioning'!$A629, 'Additional Product Info.'!$A$1:$A$1001, 0), MATCH('Product Positioning'!I$1, 'Additional Product Info.'!$A$1:$C$1, 0))</f>
        <v>Electronics</v>
      </c>
      <c r="J629" t="str">
        <f>_xlfn.XLOOKUP(A629, $A$1:$A$1001, 'Additional Product Info.'!$D$1:$D$1001)</f>
        <v>Yes</v>
      </c>
      <c r="K629" s="1">
        <f t="shared" si="18"/>
        <v>67879.600000000006</v>
      </c>
      <c r="L629" s="1">
        <f t="shared" si="19"/>
        <v>1.7899999999999991</v>
      </c>
      <c r="M629" t="str">
        <f>IF(L629&lt;=Statistics!$E$6,"Low Difference",IF('Product Positioning'!L629&gt;=Statistics!$E$4,"High Difference","Moderate Difference"))</f>
        <v>Moderate Difference</v>
      </c>
    </row>
    <row r="630" spans="1:13" x14ac:dyDescent="0.2">
      <c r="A630">
        <v>161127</v>
      </c>
      <c r="B630" s="1">
        <v>11.47</v>
      </c>
      <c r="C630" s="1">
        <v>7.46</v>
      </c>
      <c r="D630">
        <v>954</v>
      </c>
      <c r="E630" t="str">
        <f>_xlfn.XLOOKUP(A630, 'Customer Information'!$A$1:$A$1001, 'Customer Information'!$B$1:$B$1001)</f>
        <v>Medium</v>
      </c>
      <c r="F630" t="str">
        <f>_xlfn.XLOOKUP(A630, 'Customer Information'!$A$1:$A$1001, 'Customer Information'!$C$1:$C$1001)</f>
        <v>Seniors</v>
      </c>
      <c r="G630" t="str">
        <f>_xlfn.XLOOKUP('Customer Information'!A630, 'Customer Information'!$A$1:$A$1001, 'Customer Information'!$D$1:$D$1001)</f>
        <v>No</v>
      </c>
      <c r="H630" t="str">
        <f>INDEX('Additional Product Info.'!$A$1:$C$1001, MATCH('Product Positioning'!$A630, 'Additional Product Info.'!$A$1:$A$1001, 0), MATCH('Product Positioning'!H$1, 'Additional Product Info.'!$A$1:$C$1, 0))</f>
        <v>End-cap</v>
      </c>
      <c r="I630" t="str">
        <f>INDEX('Additional Product Info.'!$A$1:$C$1001, MATCH('Product Positioning'!$A630, 'Additional Product Info.'!$A$1:$A$1001, 0), MATCH('Product Positioning'!I$1, 'Additional Product Info.'!$A$1:$C$1, 0))</f>
        <v>Food</v>
      </c>
      <c r="J630" t="str">
        <f>_xlfn.XLOOKUP(A630, $A$1:$A$1001, 'Additional Product Info.'!$D$1:$D$1001)</f>
        <v>No</v>
      </c>
      <c r="K630" s="1">
        <f t="shared" si="18"/>
        <v>10942.380000000001</v>
      </c>
      <c r="L630" s="1">
        <f t="shared" si="19"/>
        <v>4.0100000000000007</v>
      </c>
      <c r="M630" t="str">
        <f>IF(L630&lt;=Statistics!$E$6,"Low Difference",IF('Product Positioning'!L630&gt;=Statistics!$E$4,"High Difference","Moderate Difference"))</f>
        <v>High Difference</v>
      </c>
    </row>
    <row r="631" spans="1:13" x14ac:dyDescent="0.2">
      <c r="A631">
        <v>192871</v>
      </c>
      <c r="B631" s="1">
        <v>6.39</v>
      </c>
      <c r="C631" s="1">
        <v>3.99</v>
      </c>
      <c r="D631">
        <v>1654</v>
      </c>
      <c r="E631" t="str">
        <f>_xlfn.XLOOKUP(A631, 'Customer Information'!$A$1:$A$1001, 'Customer Information'!$B$1:$B$1001)</f>
        <v>Low</v>
      </c>
      <c r="F631" t="str">
        <f>_xlfn.XLOOKUP(A631, 'Customer Information'!$A$1:$A$1001, 'Customer Information'!$C$1:$C$1001)</f>
        <v>College students</v>
      </c>
      <c r="G631" t="str">
        <f>_xlfn.XLOOKUP('Customer Information'!A631, 'Customer Information'!$A$1:$A$1001, 'Customer Information'!$D$1:$D$1001)</f>
        <v>No</v>
      </c>
      <c r="H631" t="str">
        <f>INDEX('Additional Product Info.'!$A$1:$C$1001, MATCH('Product Positioning'!$A631, 'Additional Product Info.'!$A$1:$A$1001, 0), MATCH('Product Positioning'!H$1, 'Additional Product Info.'!$A$1:$C$1, 0))</f>
        <v>Front of Store</v>
      </c>
      <c r="I631" t="str">
        <f>INDEX('Additional Product Info.'!$A$1:$C$1001, MATCH('Product Positioning'!$A631, 'Additional Product Info.'!$A$1:$A$1001, 0), MATCH('Product Positioning'!I$1, 'Additional Product Info.'!$A$1:$C$1, 0))</f>
        <v>Clothing</v>
      </c>
      <c r="J631" t="str">
        <f>_xlfn.XLOOKUP(A631, $A$1:$A$1001, 'Additional Product Info.'!$D$1:$D$1001)</f>
        <v>Yes</v>
      </c>
      <c r="K631" s="1">
        <f t="shared" si="18"/>
        <v>10569.06</v>
      </c>
      <c r="L631" s="1">
        <f t="shared" si="19"/>
        <v>2.3999999999999995</v>
      </c>
      <c r="M631" t="str">
        <f>IF(L631&lt;=Statistics!$E$6,"Low Difference",IF('Product Positioning'!L631&gt;=Statistics!$E$4,"High Difference","Moderate Difference"))</f>
        <v>Moderate Difference</v>
      </c>
    </row>
    <row r="632" spans="1:13" x14ac:dyDescent="0.2">
      <c r="A632">
        <v>196774</v>
      </c>
      <c r="B632" s="1">
        <v>40.99</v>
      </c>
      <c r="C632" s="1">
        <v>37.67</v>
      </c>
      <c r="D632">
        <v>1303</v>
      </c>
      <c r="E632" t="str">
        <f>_xlfn.XLOOKUP(A632, 'Customer Information'!$A$1:$A$1001, 'Customer Information'!$B$1:$B$1001)</f>
        <v>Low</v>
      </c>
      <c r="F632" t="str">
        <f>_xlfn.XLOOKUP(A632, 'Customer Information'!$A$1:$A$1001, 'Customer Information'!$C$1:$C$1001)</f>
        <v>College students</v>
      </c>
      <c r="G632" t="str">
        <f>_xlfn.XLOOKUP('Customer Information'!A632, 'Customer Information'!$A$1:$A$1001, 'Customer Information'!$D$1:$D$1001)</f>
        <v>No</v>
      </c>
      <c r="H632" t="str">
        <f>INDEX('Additional Product Info.'!$A$1:$C$1001, MATCH('Product Positioning'!$A632, 'Additional Product Info.'!$A$1:$A$1001, 0), MATCH('Product Positioning'!H$1, 'Additional Product Info.'!$A$1:$C$1, 0))</f>
        <v>Front of Store</v>
      </c>
      <c r="I632" t="str">
        <f>INDEX('Additional Product Info.'!$A$1:$C$1001, MATCH('Product Positioning'!$A632, 'Additional Product Info.'!$A$1:$A$1001, 0), MATCH('Product Positioning'!I$1, 'Additional Product Info.'!$A$1:$C$1, 0))</f>
        <v>Electronics</v>
      </c>
      <c r="J632" t="str">
        <f>_xlfn.XLOOKUP(A632, $A$1:$A$1001, 'Additional Product Info.'!$D$1:$D$1001)</f>
        <v>Yes</v>
      </c>
      <c r="K632" s="1">
        <f t="shared" si="18"/>
        <v>53409.97</v>
      </c>
      <c r="L632" s="1">
        <f t="shared" si="19"/>
        <v>3.3200000000000003</v>
      </c>
      <c r="M632" t="str">
        <f>IF(L632&lt;=Statistics!$E$6,"Low Difference",IF('Product Positioning'!L632&gt;=Statistics!$E$4,"High Difference","Moderate Difference"))</f>
        <v>Moderate Difference</v>
      </c>
    </row>
    <row r="633" spans="1:13" x14ac:dyDescent="0.2">
      <c r="A633">
        <v>179265</v>
      </c>
      <c r="B633" s="1">
        <v>40.07</v>
      </c>
      <c r="C633" s="1">
        <v>39.770000000000003</v>
      </c>
      <c r="D633">
        <v>921</v>
      </c>
      <c r="E633" t="str">
        <f>_xlfn.XLOOKUP(A633, 'Customer Information'!$A$1:$A$1001, 'Customer Information'!$B$1:$B$1001)</f>
        <v>Medium</v>
      </c>
      <c r="F633" t="str">
        <f>_xlfn.XLOOKUP(A633, 'Customer Information'!$A$1:$A$1001, 'Customer Information'!$C$1:$C$1001)</f>
        <v>Seniors</v>
      </c>
      <c r="G633" t="str">
        <f>_xlfn.XLOOKUP('Customer Information'!A633, 'Customer Information'!$A$1:$A$1001, 'Customer Information'!$D$1:$D$1001)</f>
        <v>Yes</v>
      </c>
      <c r="H633" t="str">
        <f>INDEX('Additional Product Info.'!$A$1:$C$1001, MATCH('Product Positioning'!$A633, 'Additional Product Info.'!$A$1:$A$1001, 0), MATCH('Product Positioning'!H$1, 'Additional Product Info.'!$A$1:$C$1, 0))</f>
        <v>Front of Store</v>
      </c>
      <c r="I633" t="str">
        <f>INDEX('Additional Product Info.'!$A$1:$C$1001, MATCH('Product Positioning'!$A633, 'Additional Product Info.'!$A$1:$A$1001, 0), MATCH('Product Positioning'!I$1, 'Additional Product Info.'!$A$1:$C$1, 0))</f>
        <v>Electronics</v>
      </c>
      <c r="J633" t="str">
        <f>_xlfn.XLOOKUP(A633, $A$1:$A$1001, 'Additional Product Info.'!$D$1:$D$1001)</f>
        <v>No</v>
      </c>
      <c r="K633" s="1">
        <f t="shared" si="18"/>
        <v>36904.47</v>
      </c>
      <c r="L633" s="1">
        <f t="shared" si="19"/>
        <v>0.29999999999999716</v>
      </c>
      <c r="M633" t="str">
        <f>IF(L633&lt;=Statistics!$E$6,"Low Difference",IF('Product Positioning'!L633&gt;=Statistics!$E$4,"High Difference","Moderate Difference"))</f>
        <v>Low Difference</v>
      </c>
    </row>
    <row r="634" spans="1:13" x14ac:dyDescent="0.2">
      <c r="A634">
        <v>127161</v>
      </c>
      <c r="B634" s="1">
        <v>47.2</v>
      </c>
      <c r="C634" s="1">
        <v>44.38</v>
      </c>
      <c r="D634">
        <v>2388</v>
      </c>
      <c r="E634" t="str">
        <f>_xlfn.XLOOKUP(A634, 'Customer Information'!$A$1:$A$1001, 'Customer Information'!$B$1:$B$1001)</f>
        <v>Medium</v>
      </c>
      <c r="F634" t="str">
        <f>_xlfn.XLOOKUP(A634, 'Customer Information'!$A$1:$A$1001, 'Customer Information'!$C$1:$C$1001)</f>
        <v>Seniors</v>
      </c>
      <c r="G634" t="str">
        <f>_xlfn.XLOOKUP('Customer Information'!A634, 'Customer Information'!$A$1:$A$1001, 'Customer Information'!$D$1:$D$1001)</f>
        <v>Yes</v>
      </c>
      <c r="H634" t="str">
        <f>INDEX('Additional Product Info.'!$A$1:$C$1001, MATCH('Product Positioning'!$A634, 'Additional Product Info.'!$A$1:$A$1001, 0), MATCH('Product Positioning'!H$1, 'Additional Product Info.'!$A$1:$C$1, 0))</f>
        <v>End-cap</v>
      </c>
      <c r="I634" t="str">
        <f>INDEX('Additional Product Info.'!$A$1:$C$1001, MATCH('Product Positioning'!$A634, 'Additional Product Info.'!$A$1:$A$1001, 0), MATCH('Product Positioning'!I$1, 'Additional Product Info.'!$A$1:$C$1, 0))</f>
        <v>Food</v>
      </c>
      <c r="J634" t="str">
        <f>_xlfn.XLOOKUP(A634, $A$1:$A$1001, 'Additional Product Info.'!$D$1:$D$1001)</f>
        <v>Yes</v>
      </c>
      <c r="K634" s="1">
        <f t="shared" si="18"/>
        <v>112713.60000000001</v>
      </c>
      <c r="L634" s="1">
        <f t="shared" si="19"/>
        <v>2.8200000000000003</v>
      </c>
      <c r="M634" t="str">
        <f>IF(L634&lt;=Statistics!$E$6,"Low Difference",IF('Product Positioning'!L634&gt;=Statistics!$E$4,"High Difference","Moderate Difference"))</f>
        <v>Moderate Difference</v>
      </c>
    </row>
    <row r="635" spans="1:13" x14ac:dyDescent="0.2">
      <c r="A635">
        <v>167455</v>
      </c>
      <c r="B635" s="1">
        <v>44.42</v>
      </c>
      <c r="C635" s="1">
        <v>43.37</v>
      </c>
      <c r="D635">
        <v>2494</v>
      </c>
      <c r="E635" t="str">
        <f>_xlfn.XLOOKUP(A635, 'Customer Information'!$A$1:$A$1001, 'Customer Information'!$B$1:$B$1001)</f>
        <v>Medium</v>
      </c>
      <c r="F635" t="str">
        <f>_xlfn.XLOOKUP(A635, 'Customer Information'!$A$1:$A$1001, 'Customer Information'!$C$1:$C$1001)</f>
        <v>Families</v>
      </c>
      <c r="G635" t="str">
        <f>_xlfn.XLOOKUP('Customer Information'!A635, 'Customer Information'!$A$1:$A$1001, 'Customer Information'!$D$1:$D$1001)</f>
        <v>No</v>
      </c>
      <c r="H635" t="str">
        <f>INDEX('Additional Product Info.'!$A$1:$C$1001, MATCH('Product Positioning'!$A635, 'Additional Product Info.'!$A$1:$A$1001, 0), MATCH('Product Positioning'!H$1, 'Additional Product Info.'!$A$1:$C$1, 0))</f>
        <v>Aisle</v>
      </c>
      <c r="I635" t="str">
        <f>INDEX('Additional Product Info.'!$A$1:$C$1001, MATCH('Product Positioning'!$A635, 'Additional Product Info.'!$A$1:$A$1001, 0), MATCH('Product Positioning'!I$1, 'Additional Product Info.'!$A$1:$C$1, 0))</f>
        <v>Food</v>
      </c>
      <c r="J635" t="str">
        <f>_xlfn.XLOOKUP(A635, $A$1:$A$1001, 'Additional Product Info.'!$D$1:$D$1001)</f>
        <v>No</v>
      </c>
      <c r="K635" s="1">
        <f t="shared" si="18"/>
        <v>110783.48000000001</v>
      </c>
      <c r="L635" s="1">
        <f t="shared" si="19"/>
        <v>1.0500000000000043</v>
      </c>
      <c r="M635" t="str">
        <f>IF(L635&lt;=Statistics!$E$6,"Low Difference",IF('Product Positioning'!L635&gt;=Statistics!$E$4,"High Difference","Moderate Difference"))</f>
        <v>Low Difference</v>
      </c>
    </row>
    <row r="636" spans="1:13" x14ac:dyDescent="0.2">
      <c r="A636">
        <v>126083</v>
      </c>
      <c r="B636" s="1">
        <v>9.2899999999999991</v>
      </c>
      <c r="C636" s="1">
        <v>5.86</v>
      </c>
      <c r="D636">
        <v>1079</v>
      </c>
      <c r="E636" t="str">
        <f>_xlfn.XLOOKUP(A636, 'Customer Information'!$A$1:$A$1001, 'Customer Information'!$B$1:$B$1001)</f>
        <v>High</v>
      </c>
      <c r="F636" t="str">
        <f>_xlfn.XLOOKUP(A636, 'Customer Information'!$A$1:$A$1001, 'Customer Information'!$C$1:$C$1001)</f>
        <v>Families</v>
      </c>
      <c r="G636" t="str">
        <f>_xlfn.XLOOKUP('Customer Information'!A636, 'Customer Information'!$A$1:$A$1001, 'Customer Information'!$D$1:$D$1001)</f>
        <v>No</v>
      </c>
      <c r="H636" t="str">
        <f>INDEX('Additional Product Info.'!$A$1:$C$1001, MATCH('Product Positioning'!$A636, 'Additional Product Info.'!$A$1:$A$1001, 0), MATCH('Product Positioning'!H$1, 'Additional Product Info.'!$A$1:$C$1, 0))</f>
        <v>End-cap</v>
      </c>
      <c r="I636" t="str">
        <f>INDEX('Additional Product Info.'!$A$1:$C$1001, MATCH('Product Positioning'!$A636, 'Additional Product Info.'!$A$1:$A$1001, 0), MATCH('Product Positioning'!I$1, 'Additional Product Info.'!$A$1:$C$1, 0))</f>
        <v>Electronics</v>
      </c>
      <c r="J636" t="str">
        <f>_xlfn.XLOOKUP(A636, $A$1:$A$1001, 'Additional Product Info.'!$D$1:$D$1001)</f>
        <v>No</v>
      </c>
      <c r="K636" s="1">
        <f t="shared" si="18"/>
        <v>10023.91</v>
      </c>
      <c r="L636" s="1">
        <f t="shared" si="19"/>
        <v>3.4299999999999988</v>
      </c>
      <c r="M636" t="str">
        <f>IF(L636&lt;=Statistics!$E$6,"Low Difference",IF('Product Positioning'!L636&gt;=Statistics!$E$4,"High Difference","Moderate Difference"))</f>
        <v>Moderate Difference</v>
      </c>
    </row>
    <row r="637" spans="1:13" x14ac:dyDescent="0.2">
      <c r="A637">
        <v>191442</v>
      </c>
      <c r="B637" s="1">
        <v>38.26</v>
      </c>
      <c r="C637" s="1">
        <v>38.26</v>
      </c>
      <c r="D637">
        <v>604</v>
      </c>
      <c r="E637" t="str">
        <f>_xlfn.XLOOKUP(A637, 'Customer Information'!$A$1:$A$1001, 'Customer Information'!$B$1:$B$1001)</f>
        <v>High</v>
      </c>
      <c r="F637" t="str">
        <f>_xlfn.XLOOKUP(A637, 'Customer Information'!$A$1:$A$1001, 'Customer Information'!$C$1:$C$1001)</f>
        <v>Seniors</v>
      </c>
      <c r="G637" t="str">
        <f>_xlfn.XLOOKUP('Customer Information'!A637, 'Customer Information'!$A$1:$A$1001, 'Customer Information'!$D$1:$D$1001)</f>
        <v>Yes</v>
      </c>
      <c r="H637" t="str">
        <f>INDEX('Additional Product Info.'!$A$1:$C$1001, MATCH('Product Positioning'!$A637, 'Additional Product Info.'!$A$1:$A$1001, 0), MATCH('Product Positioning'!H$1, 'Additional Product Info.'!$A$1:$C$1, 0))</f>
        <v>Aisle</v>
      </c>
      <c r="I637" t="str">
        <f>INDEX('Additional Product Info.'!$A$1:$C$1001, MATCH('Product Positioning'!$A637, 'Additional Product Info.'!$A$1:$A$1001, 0), MATCH('Product Positioning'!I$1, 'Additional Product Info.'!$A$1:$C$1, 0))</f>
        <v>Clothing</v>
      </c>
      <c r="J637" t="str">
        <f>_xlfn.XLOOKUP(A637, $A$1:$A$1001, 'Additional Product Info.'!$D$1:$D$1001)</f>
        <v>Yes</v>
      </c>
      <c r="K637" s="1">
        <f t="shared" si="18"/>
        <v>23109.039999999997</v>
      </c>
      <c r="L637" s="1">
        <f t="shared" si="19"/>
        <v>0</v>
      </c>
      <c r="M637" t="str">
        <f>IF(L637&lt;=Statistics!$E$6,"Low Difference",IF('Product Positioning'!L637&gt;=Statistics!$E$4,"High Difference","Moderate Difference"))</f>
        <v>Low Difference</v>
      </c>
    </row>
    <row r="638" spans="1:13" x14ac:dyDescent="0.2">
      <c r="A638">
        <v>157324</v>
      </c>
      <c r="B638" s="1">
        <v>36.450000000000003</v>
      </c>
      <c r="C638" s="1">
        <v>32.200000000000003</v>
      </c>
      <c r="D638">
        <v>1482</v>
      </c>
      <c r="E638" t="str">
        <f>_xlfn.XLOOKUP(A638, 'Customer Information'!$A$1:$A$1001, 'Customer Information'!$B$1:$B$1001)</f>
        <v>High</v>
      </c>
      <c r="F638" t="str">
        <f>_xlfn.XLOOKUP(A638, 'Customer Information'!$A$1:$A$1001, 'Customer Information'!$C$1:$C$1001)</f>
        <v>Seniors</v>
      </c>
      <c r="G638" t="str">
        <f>_xlfn.XLOOKUP('Customer Information'!A638, 'Customer Information'!$A$1:$A$1001, 'Customer Information'!$D$1:$D$1001)</f>
        <v>No</v>
      </c>
      <c r="H638" t="str">
        <f>INDEX('Additional Product Info.'!$A$1:$C$1001, MATCH('Product Positioning'!$A638, 'Additional Product Info.'!$A$1:$A$1001, 0), MATCH('Product Positioning'!H$1, 'Additional Product Info.'!$A$1:$C$1, 0))</f>
        <v>Front of Store</v>
      </c>
      <c r="I638" t="str">
        <f>INDEX('Additional Product Info.'!$A$1:$C$1001, MATCH('Product Positioning'!$A638, 'Additional Product Info.'!$A$1:$A$1001, 0), MATCH('Product Positioning'!I$1, 'Additional Product Info.'!$A$1:$C$1, 0))</f>
        <v>Food</v>
      </c>
      <c r="J638" t="str">
        <f>_xlfn.XLOOKUP(A638, $A$1:$A$1001, 'Additional Product Info.'!$D$1:$D$1001)</f>
        <v>Yes</v>
      </c>
      <c r="K638" s="1">
        <f t="shared" si="18"/>
        <v>54018.9</v>
      </c>
      <c r="L638" s="1">
        <f t="shared" si="19"/>
        <v>4.25</v>
      </c>
      <c r="M638" t="str">
        <f>IF(L638&lt;=Statistics!$E$6,"Low Difference",IF('Product Positioning'!L638&gt;=Statistics!$E$4,"High Difference","Moderate Difference"))</f>
        <v>High Difference</v>
      </c>
    </row>
    <row r="639" spans="1:13" x14ac:dyDescent="0.2">
      <c r="A639">
        <v>196863</v>
      </c>
      <c r="B639" s="1">
        <v>42.68</v>
      </c>
      <c r="C639" s="1">
        <v>42.34</v>
      </c>
      <c r="D639">
        <v>2751</v>
      </c>
      <c r="E639" t="str">
        <f>_xlfn.XLOOKUP(A639, 'Customer Information'!$A$1:$A$1001, 'Customer Information'!$B$1:$B$1001)</f>
        <v>Medium</v>
      </c>
      <c r="F639" t="str">
        <f>_xlfn.XLOOKUP(A639, 'Customer Information'!$A$1:$A$1001, 'Customer Information'!$C$1:$C$1001)</f>
        <v>College students</v>
      </c>
      <c r="G639" t="str">
        <f>_xlfn.XLOOKUP('Customer Information'!A639, 'Customer Information'!$A$1:$A$1001, 'Customer Information'!$D$1:$D$1001)</f>
        <v>No</v>
      </c>
      <c r="H639" t="str">
        <f>INDEX('Additional Product Info.'!$A$1:$C$1001, MATCH('Product Positioning'!$A639, 'Additional Product Info.'!$A$1:$A$1001, 0), MATCH('Product Positioning'!H$1, 'Additional Product Info.'!$A$1:$C$1, 0))</f>
        <v>Front of Store</v>
      </c>
      <c r="I639" t="str">
        <f>INDEX('Additional Product Info.'!$A$1:$C$1001, MATCH('Product Positioning'!$A639, 'Additional Product Info.'!$A$1:$A$1001, 0), MATCH('Product Positioning'!I$1, 'Additional Product Info.'!$A$1:$C$1, 0))</f>
        <v>Electronics</v>
      </c>
      <c r="J639" t="str">
        <f>_xlfn.XLOOKUP(A639, $A$1:$A$1001, 'Additional Product Info.'!$D$1:$D$1001)</f>
        <v>Yes</v>
      </c>
      <c r="K639" s="1">
        <f t="shared" si="18"/>
        <v>117412.68</v>
      </c>
      <c r="L639" s="1">
        <f t="shared" si="19"/>
        <v>0.33999999999999631</v>
      </c>
      <c r="M639" t="str">
        <f>IF(L639&lt;=Statistics!$E$6,"Low Difference",IF('Product Positioning'!L639&gt;=Statistics!$E$4,"High Difference","Moderate Difference"))</f>
        <v>Low Difference</v>
      </c>
    </row>
    <row r="640" spans="1:13" x14ac:dyDescent="0.2">
      <c r="A640">
        <v>125834</v>
      </c>
      <c r="B640" s="1">
        <v>37.76</v>
      </c>
      <c r="C640" s="1">
        <v>36.64</v>
      </c>
      <c r="D640">
        <v>2700</v>
      </c>
      <c r="E640" t="str">
        <f>_xlfn.XLOOKUP(A640, 'Customer Information'!$A$1:$A$1001, 'Customer Information'!$B$1:$B$1001)</f>
        <v>Medium</v>
      </c>
      <c r="F640" t="str">
        <f>_xlfn.XLOOKUP(A640, 'Customer Information'!$A$1:$A$1001, 'Customer Information'!$C$1:$C$1001)</f>
        <v>Families</v>
      </c>
      <c r="G640" t="str">
        <f>_xlfn.XLOOKUP('Customer Information'!A640, 'Customer Information'!$A$1:$A$1001, 'Customer Information'!$D$1:$D$1001)</f>
        <v>Yes</v>
      </c>
      <c r="H640" t="str">
        <f>INDEX('Additional Product Info.'!$A$1:$C$1001, MATCH('Product Positioning'!$A640, 'Additional Product Info.'!$A$1:$A$1001, 0), MATCH('Product Positioning'!H$1, 'Additional Product Info.'!$A$1:$C$1, 0))</f>
        <v>End-cap</v>
      </c>
      <c r="I640" t="str">
        <f>INDEX('Additional Product Info.'!$A$1:$C$1001, MATCH('Product Positioning'!$A640, 'Additional Product Info.'!$A$1:$A$1001, 0), MATCH('Product Positioning'!I$1, 'Additional Product Info.'!$A$1:$C$1, 0))</f>
        <v>Food</v>
      </c>
      <c r="J640" t="str">
        <f>_xlfn.XLOOKUP(A640, $A$1:$A$1001, 'Additional Product Info.'!$D$1:$D$1001)</f>
        <v>Yes</v>
      </c>
      <c r="K640" s="1">
        <f t="shared" si="18"/>
        <v>101952</v>
      </c>
      <c r="L640" s="1">
        <f t="shared" si="19"/>
        <v>1.1199999999999974</v>
      </c>
      <c r="M640" t="str">
        <f>IF(L640&lt;=Statistics!$E$6,"Low Difference",IF('Product Positioning'!L640&gt;=Statistics!$E$4,"High Difference","Moderate Difference"))</f>
        <v>Low Difference</v>
      </c>
    </row>
    <row r="641" spans="1:13" x14ac:dyDescent="0.2">
      <c r="A641">
        <v>160648</v>
      </c>
      <c r="B641" s="1">
        <v>47.47</v>
      </c>
      <c r="C641" s="1">
        <v>45.66</v>
      </c>
      <c r="D641">
        <v>1824</v>
      </c>
      <c r="E641" t="str">
        <f>_xlfn.XLOOKUP(A641, 'Customer Information'!$A$1:$A$1001, 'Customer Information'!$B$1:$B$1001)</f>
        <v>Low</v>
      </c>
      <c r="F641" t="str">
        <f>_xlfn.XLOOKUP(A641, 'Customer Information'!$A$1:$A$1001, 'Customer Information'!$C$1:$C$1001)</f>
        <v>Young adults</v>
      </c>
      <c r="G641" t="str">
        <f>_xlfn.XLOOKUP('Customer Information'!A641, 'Customer Information'!$A$1:$A$1001, 'Customer Information'!$D$1:$D$1001)</f>
        <v>No</v>
      </c>
      <c r="H641" t="str">
        <f>INDEX('Additional Product Info.'!$A$1:$C$1001, MATCH('Product Positioning'!$A641, 'Additional Product Info.'!$A$1:$A$1001, 0), MATCH('Product Positioning'!H$1, 'Additional Product Info.'!$A$1:$C$1, 0))</f>
        <v>End-cap</v>
      </c>
      <c r="I641" t="str">
        <f>INDEX('Additional Product Info.'!$A$1:$C$1001, MATCH('Product Positioning'!$A641, 'Additional Product Info.'!$A$1:$A$1001, 0), MATCH('Product Positioning'!I$1, 'Additional Product Info.'!$A$1:$C$1, 0))</f>
        <v>Electronics</v>
      </c>
      <c r="J641" t="str">
        <f>_xlfn.XLOOKUP(A641, $A$1:$A$1001, 'Additional Product Info.'!$D$1:$D$1001)</f>
        <v>No</v>
      </c>
      <c r="K641" s="1">
        <f t="shared" si="18"/>
        <v>86585.279999999999</v>
      </c>
      <c r="L641" s="1">
        <f t="shared" si="19"/>
        <v>1.8100000000000023</v>
      </c>
      <c r="M641" t="str">
        <f>IF(L641&lt;=Statistics!$E$6,"Low Difference",IF('Product Positioning'!L641&gt;=Statistics!$E$4,"High Difference","Moderate Difference"))</f>
        <v>Moderate Difference</v>
      </c>
    </row>
    <row r="642" spans="1:13" x14ac:dyDescent="0.2">
      <c r="A642">
        <v>177124</v>
      </c>
      <c r="B642" s="1">
        <v>30.28</v>
      </c>
      <c r="C642" s="1">
        <v>27.84</v>
      </c>
      <c r="D642">
        <v>1339</v>
      </c>
      <c r="E642" t="str">
        <f>_xlfn.XLOOKUP(A642, 'Customer Information'!$A$1:$A$1001, 'Customer Information'!$B$1:$B$1001)</f>
        <v>Low</v>
      </c>
      <c r="F642" t="str">
        <f>_xlfn.XLOOKUP(A642, 'Customer Information'!$A$1:$A$1001, 'Customer Information'!$C$1:$C$1001)</f>
        <v>Seniors</v>
      </c>
      <c r="G642" t="str">
        <f>_xlfn.XLOOKUP('Customer Information'!A642, 'Customer Information'!$A$1:$A$1001, 'Customer Information'!$D$1:$D$1001)</f>
        <v>No</v>
      </c>
      <c r="H642" t="str">
        <f>INDEX('Additional Product Info.'!$A$1:$C$1001, MATCH('Product Positioning'!$A642, 'Additional Product Info.'!$A$1:$A$1001, 0), MATCH('Product Positioning'!H$1, 'Additional Product Info.'!$A$1:$C$1, 0))</f>
        <v>Front of Store</v>
      </c>
      <c r="I642" t="str">
        <f>INDEX('Additional Product Info.'!$A$1:$C$1001, MATCH('Product Positioning'!$A642, 'Additional Product Info.'!$A$1:$A$1001, 0), MATCH('Product Positioning'!I$1, 'Additional Product Info.'!$A$1:$C$1, 0))</f>
        <v>Food</v>
      </c>
      <c r="J642" t="str">
        <f>_xlfn.XLOOKUP(A642, $A$1:$A$1001, 'Additional Product Info.'!$D$1:$D$1001)</f>
        <v>No</v>
      </c>
      <c r="K642" s="1">
        <f t="shared" ref="K642:K705" si="20">B642*D642</f>
        <v>40544.92</v>
      </c>
      <c r="L642" s="1">
        <f t="shared" ref="L642:L705" si="21">ABS(B642-C642)</f>
        <v>2.4400000000000013</v>
      </c>
      <c r="M642" t="str">
        <f>IF(L642&lt;=Statistics!$E$6,"Low Difference",IF('Product Positioning'!L642&gt;=Statistics!$E$4,"High Difference","Moderate Difference"))</f>
        <v>Moderate Difference</v>
      </c>
    </row>
    <row r="643" spans="1:13" x14ac:dyDescent="0.2">
      <c r="A643">
        <v>130113</v>
      </c>
      <c r="B643" s="1">
        <v>15.48</v>
      </c>
      <c r="C643" s="1">
        <v>10.95</v>
      </c>
      <c r="D643">
        <v>726</v>
      </c>
      <c r="E643" t="str">
        <f>_xlfn.XLOOKUP(A643, 'Customer Information'!$A$1:$A$1001, 'Customer Information'!$B$1:$B$1001)</f>
        <v>Low</v>
      </c>
      <c r="F643" t="str">
        <f>_xlfn.XLOOKUP(A643, 'Customer Information'!$A$1:$A$1001, 'Customer Information'!$C$1:$C$1001)</f>
        <v>College students</v>
      </c>
      <c r="G643" t="str">
        <f>_xlfn.XLOOKUP('Customer Information'!A643, 'Customer Information'!$A$1:$A$1001, 'Customer Information'!$D$1:$D$1001)</f>
        <v>Yes</v>
      </c>
      <c r="H643" t="str">
        <f>INDEX('Additional Product Info.'!$A$1:$C$1001, MATCH('Product Positioning'!$A643, 'Additional Product Info.'!$A$1:$A$1001, 0), MATCH('Product Positioning'!H$1, 'Additional Product Info.'!$A$1:$C$1, 0))</f>
        <v>End-cap</v>
      </c>
      <c r="I643" t="str">
        <f>INDEX('Additional Product Info.'!$A$1:$C$1001, MATCH('Product Positioning'!$A643, 'Additional Product Info.'!$A$1:$A$1001, 0), MATCH('Product Positioning'!I$1, 'Additional Product Info.'!$A$1:$C$1, 0))</f>
        <v>Clothing</v>
      </c>
      <c r="J643" t="str">
        <f>_xlfn.XLOOKUP(A643, $A$1:$A$1001, 'Additional Product Info.'!$D$1:$D$1001)</f>
        <v>No</v>
      </c>
      <c r="K643" s="1">
        <f t="shared" si="20"/>
        <v>11238.48</v>
      </c>
      <c r="L643" s="1">
        <f t="shared" si="21"/>
        <v>4.5300000000000011</v>
      </c>
      <c r="M643" t="str">
        <f>IF(L643&lt;=Statistics!$E$6,"Low Difference",IF('Product Positioning'!L643&gt;=Statistics!$E$4,"High Difference","Moderate Difference"))</f>
        <v>High Difference</v>
      </c>
    </row>
    <row r="644" spans="1:13" x14ac:dyDescent="0.2">
      <c r="A644">
        <v>149104</v>
      </c>
      <c r="B644" s="1">
        <v>30.51</v>
      </c>
      <c r="C644" s="1">
        <v>26.82</v>
      </c>
      <c r="D644">
        <v>1811</v>
      </c>
      <c r="E644" t="str">
        <f>_xlfn.XLOOKUP(A644, 'Customer Information'!$A$1:$A$1001, 'Customer Information'!$B$1:$B$1001)</f>
        <v>High</v>
      </c>
      <c r="F644" t="str">
        <f>_xlfn.XLOOKUP(A644, 'Customer Information'!$A$1:$A$1001, 'Customer Information'!$C$1:$C$1001)</f>
        <v>Seniors</v>
      </c>
      <c r="G644" t="str">
        <f>_xlfn.XLOOKUP('Customer Information'!A644, 'Customer Information'!$A$1:$A$1001, 'Customer Information'!$D$1:$D$1001)</f>
        <v>No</v>
      </c>
      <c r="H644" t="str">
        <f>INDEX('Additional Product Info.'!$A$1:$C$1001, MATCH('Product Positioning'!$A644, 'Additional Product Info.'!$A$1:$A$1001, 0), MATCH('Product Positioning'!H$1, 'Additional Product Info.'!$A$1:$C$1, 0))</f>
        <v>Aisle</v>
      </c>
      <c r="I644" t="str">
        <f>INDEX('Additional Product Info.'!$A$1:$C$1001, MATCH('Product Positioning'!$A644, 'Additional Product Info.'!$A$1:$A$1001, 0), MATCH('Product Positioning'!I$1, 'Additional Product Info.'!$A$1:$C$1, 0))</f>
        <v>Electronics</v>
      </c>
      <c r="J644" t="str">
        <f>_xlfn.XLOOKUP(A644, $A$1:$A$1001, 'Additional Product Info.'!$D$1:$D$1001)</f>
        <v>Yes</v>
      </c>
      <c r="K644" s="1">
        <f t="shared" si="20"/>
        <v>55253.61</v>
      </c>
      <c r="L644" s="1">
        <f t="shared" si="21"/>
        <v>3.6900000000000013</v>
      </c>
      <c r="M644" t="str">
        <f>IF(L644&lt;=Statistics!$E$6,"Low Difference",IF('Product Positioning'!L644&gt;=Statistics!$E$4,"High Difference","Moderate Difference"))</f>
        <v>Moderate Difference</v>
      </c>
    </row>
    <row r="645" spans="1:13" x14ac:dyDescent="0.2">
      <c r="A645">
        <v>131351</v>
      </c>
      <c r="B645" s="1">
        <v>13.38</v>
      </c>
      <c r="C645" s="1">
        <v>11.17</v>
      </c>
      <c r="D645">
        <v>1031</v>
      </c>
      <c r="E645" t="str">
        <f>_xlfn.XLOOKUP(A645, 'Customer Information'!$A$1:$A$1001, 'Customer Information'!$B$1:$B$1001)</f>
        <v>High</v>
      </c>
      <c r="F645" t="str">
        <f>_xlfn.XLOOKUP(A645, 'Customer Information'!$A$1:$A$1001, 'Customer Information'!$C$1:$C$1001)</f>
        <v>College students</v>
      </c>
      <c r="G645" t="str">
        <f>_xlfn.XLOOKUP('Customer Information'!A645, 'Customer Information'!$A$1:$A$1001, 'Customer Information'!$D$1:$D$1001)</f>
        <v>No</v>
      </c>
      <c r="H645" t="str">
        <f>INDEX('Additional Product Info.'!$A$1:$C$1001, MATCH('Product Positioning'!$A645, 'Additional Product Info.'!$A$1:$A$1001, 0), MATCH('Product Positioning'!H$1, 'Additional Product Info.'!$A$1:$C$1, 0))</f>
        <v>Aisle</v>
      </c>
      <c r="I645" t="str">
        <f>INDEX('Additional Product Info.'!$A$1:$C$1001, MATCH('Product Positioning'!$A645, 'Additional Product Info.'!$A$1:$A$1001, 0), MATCH('Product Positioning'!I$1, 'Additional Product Info.'!$A$1:$C$1, 0))</f>
        <v>Electronics</v>
      </c>
      <c r="J645" t="str">
        <f>_xlfn.XLOOKUP(A645, $A$1:$A$1001, 'Additional Product Info.'!$D$1:$D$1001)</f>
        <v>Yes</v>
      </c>
      <c r="K645" s="1">
        <f t="shared" si="20"/>
        <v>13794.78</v>
      </c>
      <c r="L645" s="1">
        <f t="shared" si="21"/>
        <v>2.2100000000000009</v>
      </c>
      <c r="M645" t="str">
        <f>IF(L645&lt;=Statistics!$E$6,"Low Difference",IF('Product Positioning'!L645&gt;=Statistics!$E$4,"High Difference","Moderate Difference"))</f>
        <v>Moderate Difference</v>
      </c>
    </row>
    <row r="646" spans="1:13" x14ac:dyDescent="0.2">
      <c r="A646">
        <v>163127</v>
      </c>
      <c r="B646" s="1">
        <v>40.39</v>
      </c>
      <c r="C646" s="1">
        <v>36.590000000000003</v>
      </c>
      <c r="D646">
        <v>1599</v>
      </c>
      <c r="E646" t="str">
        <f>_xlfn.XLOOKUP(A646, 'Customer Information'!$A$1:$A$1001, 'Customer Information'!$B$1:$B$1001)</f>
        <v>Medium</v>
      </c>
      <c r="F646" t="str">
        <f>_xlfn.XLOOKUP(A646, 'Customer Information'!$A$1:$A$1001, 'Customer Information'!$C$1:$C$1001)</f>
        <v>Young adults</v>
      </c>
      <c r="G646" t="str">
        <f>_xlfn.XLOOKUP('Customer Information'!A646, 'Customer Information'!$A$1:$A$1001, 'Customer Information'!$D$1:$D$1001)</f>
        <v>No</v>
      </c>
      <c r="H646" t="str">
        <f>INDEX('Additional Product Info.'!$A$1:$C$1001, MATCH('Product Positioning'!$A646, 'Additional Product Info.'!$A$1:$A$1001, 0), MATCH('Product Positioning'!H$1, 'Additional Product Info.'!$A$1:$C$1, 0))</f>
        <v>End-cap</v>
      </c>
      <c r="I646" t="str">
        <f>INDEX('Additional Product Info.'!$A$1:$C$1001, MATCH('Product Positioning'!$A646, 'Additional Product Info.'!$A$1:$A$1001, 0), MATCH('Product Positioning'!I$1, 'Additional Product Info.'!$A$1:$C$1, 0))</f>
        <v>Clothing</v>
      </c>
      <c r="J646" t="str">
        <f>_xlfn.XLOOKUP(A646, $A$1:$A$1001, 'Additional Product Info.'!$D$1:$D$1001)</f>
        <v>Yes</v>
      </c>
      <c r="K646" s="1">
        <f t="shared" si="20"/>
        <v>64583.61</v>
      </c>
      <c r="L646" s="1">
        <f t="shared" si="21"/>
        <v>3.7999999999999972</v>
      </c>
      <c r="M646" t="str">
        <f>IF(L646&lt;=Statistics!$E$6,"Low Difference",IF('Product Positioning'!L646&gt;=Statistics!$E$4,"High Difference","Moderate Difference"))</f>
        <v>High Difference</v>
      </c>
    </row>
    <row r="647" spans="1:13" x14ac:dyDescent="0.2">
      <c r="A647">
        <v>145944</v>
      </c>
      <c r="B647" s="1">
        <v>36.299999999999997</v>
      </c>
      <c r="C647" s="1">
        <v>33.01</v>
      </c>
      <c r="D647">
        <v>2219</v>
      </c>
      <c r="E647" t="str">
        <f>_xlfn.XLOOKUP(A647, 'Customer Information'!$A$1:$A$1001, 'Customer Information'!$B$1:$B$1001)</f>
        <v>Medium</v>
      </c>
      <c r="F647" t="str">
        <f>_xlfn.XLOOKUP(A647, 'Customer Information'!$A$1:$A$1001, 'Customer Information'!$C$1:$C$1001)</f>
        <v>Families</v>
      </c>
      <c r="G647" t="str">
        <f>_xlfn.XLOOKUP('Customer Information'!A647, 'Customer Information'!$A$1:$A$1001, 'Customer Information'!$D$1:$D$1001)</f>
        <v>Yes</v>
      </c>
      <c r="H647" t="str">
        <f>INDEX('Additional Product Info.'!$A$1:$C$1001, MATCH('Product Positioning'!$A647, 'Additional Product Info.'!$A$1:$A$1001, 0), MATCH('Product Positioning'!H$1, 'Additional Product Info.'!$A$1:$C$1, 0))</f>
        <v>End-cap</v>
      </c>
      <c r="I647" t="str">
        <f>INDEX('Additional Product Info.'!$A$1:$C$1001, MATCH('Product Positioning'!$A647, 'Additional Product Info.'!$A$1:$A$1001, 0), MATCH('Product Positioning'!I$1, 'Additional Product Info.'!$A$1:$C$1, 0))</f>
        <v>Food</v>
      </c>
      <c r="J647" t="str">
        <f>_xlfn.XLOOKUP(A647, $A$1:$A$1001, 'Additional Product Info.'!$D$1:$D$1001)</f>
        <v>No</v>
      </c>
      <c r="K647" s="1">
        <f t="shared" si="20"/>
        <v>80549.7</v>
      </c>
      <c r="L647" s="1">
        <f t="shared" si="21"/>
        <v>3.2899999999999991</v>
      </c>
      <c r="M647" t="str">
        <f>IF(L647&lt;=Statistics!$E$6,"Low Difference",IF('Product Positioning'!L647&gt;=Statistics!$E$4,"High Difference","Moderate Difference"))</f>
        <v>Moderate Difference</v>
      </c>
    </row>
    <row r="648" spans="1:13" x14ac:dyDescent="0.2">
      <c r="A648">
        <v>178288</v>
      </c>
      <c r="B648" s="1">
        <v>42.19</v>
      </c>
      <c r="C648" s="1">
        <v>38.49</v>
      </c>
      <c r="D648">
        <v>858</v>
      </c>
      <c r="E648" t="str">
        <f>_xlfn.XLOOKUP(A648, 'Customer Information'!$A$1:$A$1001, 'Customer Information'!$B$1:$B$1001)</f>
        <v>Medium</v>
      </c>
      <c r="F648" t="str">
        <f>_xlfn.XLOOKUP(A648, 'Customer Information'!$A$1:$A$1001, 'Customer Information'!$C$1:$C$1001)</f>
        <v>Young adults</v>
      </c>
      <c r="G648" t="str">
        <f>_xlfn.XLOOKUP('Customer Information'!A648, 'Customer Information'!$A$1:$A$1001, 'Customer Information'!$D$1:$D$1001)</f>
        <v>Yes</v>
      </c>
      <c r="H648" t="str">
        <f>INDEX('Additional Product Info.'!$A$1:$C$1001, MATCH('Product Positioning'!$A648, 'Additional Product Info.'!$A$1:$A$1001, 0), MATCH('Product Positioning'!H$1, 'Additional Product Info.'!$A$1:$C$1, 0))</f>
        <v>Aisle</v>
      </c>
      <c r="I648" t="str">
        <f>INDEX('Additional Product Info.'!$A$1:$C$1001, MATCH('Product Positioning'!$A648, 'Additional Product Info.'!$A$1:$A$1001, 0), MATCH('Product Positioning'!I$1, 'Additional Product Info.'!$A$1:$C$1, 0))</f>
        <v>Clothing</v>
      </c>
      <c r="J648" t="str">
        <f>_xlfn.XLOOKUP(A648, $A$1:$A$1001, 'Additional Product Info.'!$D$1:$D$1001)</f>
        <v>No</v>
      </c>
      <c r="K648" s="1">
        <f t="shared" si="20"/>
        <v>36199.019999999997</v>
      </c>
      <c r="L648" s="1">
        <f t="shared" si="21"/>
        <v>3.6999999999999957</v>
      </c>
      <c r="M648" t="str">
        <f>IF(L648&lt;=Statistics!$E$6,"Low Difference",IF('Product Positioning'!L648&gt;=Statistics!$E$4,"High Difference","Moderate Difference"))</f>
        <v>Moderate Difference</v>
      </c>
    </row>
    <row r="649" spans="1:13" x14ac:dyDescent="0.2">
      <c r="A649">
        <v>120721</v>
      </c>
      <c r="B649" s="1">
        <v>19.149999999999999</v>
      </c>
      <c r="C649" s="1">
        <v>14.29</v>
      </c>
      <c r="D649">
        <v>1817</v>
      </c>
      <c r="E649" t="str">
        <f>_xlfn.XLOOKUP(A649, 'Customer Information'!$A$1:$A$1001, 'Customer Information'!$B$1:$B$1001)</f>
        <v>Low</v>
      </c>
      <c r="F649" t="str">
        <f>_xlfn.XLOOKUP(A649, 'Customer Information'!$A$1:$A$1001, 'Customer Information'!$C$1:$C$1001)</f>
        <v>Young adults</v>
      </c>
      <c r="G649" t="str">
        <f>_xlfn.XLOOKUP('Customer Information'!A649, 'Customer Information'!$A$1:$A$1001, 'Customer Information'!$D$1:$D$1001)</f>
        <v>Yes</v>
      </c>
      <c r="H649" t="str">
        <f>INDEX('Additional Product Info.'!$A$1:$C$1001, MATCH('Product Positioning'!$A649, 'Additional Product Info.'!$A$1:$A$1001, 0), MATCH('Product Positioning'!H$1, 'Additional Product Info.'!$A$1:$C$1, 0))</f>
        <v>Front of Store</v>
      </c>
      <c r="I649" t="str">
        <f>INDEX('Additional Product Info.'!$A$1:$C$1001, MATCH('Product Positioning'!$A649, 'Additional Product Info.'!$A$1:$A$1001, 0), MATCH('Product Positioning'!I$1, 'Additional Product Info.'!$A$1:$C$1, 0))</f>
        <v>Electronics</v>
      </c>
      <c r="J649" t="str">
        <f>_xlfn.XLOOKUP(A649, $A$1:$A$1001, 'Additional Product Info.'!$D$1:$D$1001)</f>
        <v>Yes</v>
      </c>
      <c r="K649" s="1">
        <f t="shared" si="20"/>
        <v>34795.549999999996</v>
      </c>
      <c r="L649" s="1">
        <f t="shared" si="21"/>
        <v>4.8599999999999994</v>
      </c>
      <c r="M649" t="str">
        <f>IF(L649&lt;=Statistics!$E$6,"Low Difference",IF('Product Positioning'!L649&gt;=Statistics!$E$4,"High Difference","Moderate Difference"))</f>
        <v>High Difference</v>
      </c>
    </row>
    <row r="650" spans="1:13" x14ac:dyDescent="0.2">
      <c r="A650">
        <v>198257</v>
      </c>
      <c r="B650" s="1">
        <v>9.07</v>
      </c>
      <c r="C650" s="1">
        <v>4.34</v>
      </c>
      <c r="D650">
        <v>647</v>
      </c>
      <c r="E650" t="str">
        <f>_xlfn.XLOOKUP(A650, 'Customer Information'!$A$1:$A$1001, 'Customer Information'!$B$1:$B$1001)</f>
        <v>Medium</v>
      </c>
      <c r="F650" t="str">
        <f>_xlfn.XLOOKUP(A650, 'Customer Information'!$A$1:$A$1001, 'Customer Information'!$C$1:$C$1001)</f>
        <v>Seniors</v>
      </c>
      <c r="G650" t="str">
        <f>_xlfn.XLOOKUP('Customer Information'!A650, 'Customer Information'!$A$1:$A$1001, 'Customer Information'!$D$1:$D$1001)</f>
        <v>Yes</v>
      </c>
      <c r="H650" t="str">
        <f>INDEX('Additional Product Info.'!$A$1:$C$1001, MATCH('Product Positioning'!$A650, 'Additional Product Info.'!$A$1:$A$1001, 0), MATCH('Product Positioning'!H$1, 'Additional Product Info.'!$A$1:$C$1, 0))</f>
        <v>Front of Store</v>
      </c>
      <c r="I650" t="str">
        <f>INDEX('Additional Product Info.'!$A$1:$C$1001, MATCH('Product Positioning'!$A650, 'Additional Product Info.'!$A$1:$A$1001, 0), MATCH('Product Positioning'!I$1, 'Additional Product Info.'!$A$1:$C$1, 0))</f>
        <v>Food</v>
      </c>
      <c r="J650" t="str">
        <f>_xlfn.XLOOKUP(A650, $A$1:$A$1001, 'Additional Product Info.'!$D$1:$D$1001)</f>
        <v>Yes</v>
      </c>
      <c r="K650" s="1">
        <f t="shared" si="20"/>
        <v>5868.29</v>
      </c>
      <c r="L650" s="1">
        <f t="shared" si="21"/>
        <v>4.7300000000000004</v>
      </c>
      <c r="M650" t="str">
        <f>IF(L650&lt;=Statistics!$E$6,"Low Difference",IF('Product Positioning'!L650&gt;=Statistics!$E$4,"High Difference","Moderate Difference"))</f>
        <v>High Difference</v>
      </c>
    </row>
    <row r="651" spans="1:13" x14ac:dyDescent="0.2">
      <c r="A651">
        <v>144938</v>
      </c>
      <c r="B651" s="1">
        <v>6.71</v>
      </c>
      <c r="C651" s="1">
        <v>4.2300000000000004</v>
      </c>
      <c r="D651">
        <v>2042</v>
      </c>
      <c r="E651" t="str">
        <f>_xlfn.XLOOKUP(A651, 'Customer Information'!$A$1:$A$1001, 'Customer Information'!$B$1:$B$1001)</f>
        <v>High</v>
      </c>
      <c r="F651" t="str">
        <f>_xlfn.XLOOKUP(A651, 'Customer Information'!$A$1:$A$1001, 'Customer Information'!$C$1:$C$1001)</f>
        <v>Young adults</v>
      </c>
      <c r="G651" t="str">
        <f>_xlfn.XLOOKUP('Customer Information'!A651, 'Customer Information'!$A$1:$A$1001, 'Customer Information'!$D$1:$D$1001)</f>
        <v>No</v>
      </c>
      <c r="H651" t="str">
        <f>INDEX('Additional Product Info.'!$A$1:$C$1001, MATCH('Product Positioning'!$A651, 'Additional Product Info.'!$A$1:$A$1001, 0), MATCH('Product Positioning'!H$1, 'Additional Product Info.'!$A$1:$C$1, 0))</f>
        <v>End-cap</v>
      </c>
      <c r="I651" t="str">
        <f>INDEX('Additional Product Info.'!$A$1:$C$1001, MATCH('Product Positioning'!$A651, 'Additional Product Info.'!$A$1:$A$1001, 0), MATCH('Product Positioning'!I$1, 'Additional Product Info.'!$A$1:$C$1, 0))</f>
        <v>Food</v>
      </c>
      <c r="J651" t="str">
        <f>_xlfn.XLOOKUP(A651, $A$1:$A$1001, 'Additional Product Info.'!$D$1:$D$1001)</f>
        <v>Yes</v>
      </c>
      <c r="K651" s="1">
        <f t="shared" si="20"/>
        <v>13701.82</v>
      </c>
      <c r="L651" s="1">
        <f t="shared" si="21"/>
        <v>2.4799999999999995</v>
      </c>
      <c r="M651" t="str">
        <f>IF(L651&lt;=Statistics!$E$6,"Low Difference",IF('Product Positioning'!L651&gt;=Statistics!$E$4,"High Difference","Moderate Difference"))</f>
        <v>Moderate Difference</v>
      </c>
    </row>
    <row r="652" spans="1:13" x14ac:dyDescent="0.2">
      <c r="A652">
        <v>180786</v>
      </c>
      <c r="B652" s="1">
        <v>9.99</v>
      </c>
      <c r="C652" s="1">
        <v>6.1</v>
      </c>
      <c r="D652">
        <v>2581</v>
      </c>
      <c r="E652" t="str">
        <f>_xlfn.XLOOKUP(A652, 'Customer Information'!$A$1:$A$1001, 'Customer Information'!$B$1:$B$1001)</f>
        <v>High</v>
      </c>
      <c r="F652" t="str">
        <f>_xlfn.XLOOKUP(A652, 'Customer Information'!$A$1:$A$1001, 'Customer Information'!$C$1:$C$1001)</f>
        <v>Young adults</v>
      </c>
      <c r="G652" t="str">
        <f>_xlfn.XLOOKUP('Customer Information'!A652, 'Customer Information'!$A$1:$A$1001, 'Customer Information'!$D$1:$D$1001)</f>
        <v>No</v>
      </c>
      <c r="H652" t="str">
        <f>INDEX('Additional Product Info.'!$A$1:$C$1001, MATCH('Product Positioning'!$A652, 'Additional Product Info.'!$A$1:$A$1001, 0), MATCH('Product Positioning'!H$1, 'Additional Product Info.'!$A$1:$C$1, 0))</f>
        <v>Aisle</v>
      </c>
      <c r="I652" t="str">
        <f>INDEX('Additional Product Info.'!$A$1:$C$1001, MATCH('Product Positioning'!$A652, 'Additional Product Info.'!$A$1:$A$1001, 0), MATCH('Product Positioning'!I$1, 'Additional Product Info.'!$A$1:$C$1, 0))</f>
        <v>Electronics</v>
      </c>
      <c r="J652" t="str">
        <f>_xlfn.XLOOKUP(A652, $A$1:$A$1001, 'Additional Product Info.'!$D$1:$D$1001)</f>
        <v>No</v>
      </c>
      <c r="K652" s="1">
        <f t="shared" si="20"/>
        <v>25784.190000000002</v>
      </c>
      <c r="L652" s="1">
        <f t="shared" si="21"/>
        <v>3.8900000000000006</v>
      </c>
      <c r="M652" t="str">
        <f>IF(L652&lt;=Statistics!$E$6,"Low Difference",IF('Product Positioning'!L652&gt;=Statistics!$E$4,"High Difference","Moderate Difference"))</f>
        <v>High Difference</v>
      </c>
    </row>
    <row r="653" spans="1:13" x14ac:dyDescent="0.2">
      <c r="A653">
        <v>174984</v>
      </c>
      <c r="B653" s="1">
        <v>16.46</v>
      </c>
      <c r="C653" s="1">
        <v>15.04</v>
      </c>
      <c r="D653">
        <v>2704</v>
      </c>
      <c r="E653" t="str">
        <f>_xlfn.XLOOKUP(A653, 'Customer Information'!$A$1:$A$1001, 'Customer Information'!$B$1:$B$1001)</f>
        <v>Low</v>
      </c>
      <c r="F653" t="str">
        <f>_xlfn.XLOOKUP(A653, 'Customer Information'!$A$1:$A$1001, 'Customer Information'!$C$1:$C$1001)</f>
        <v>College students</v>
      </c>
      <c r="G653" t="str">
        <f>_xlfn.XLOOKUP('Customer Information'!A653, 'Customer Information'!$A$1:$A$1001, 'Customer Information'!$D$1:$D$1001)</f>
        <v>No</v>
      </c>
      <c r="H653" t="str">
        <f>INDEX('Additional Product Info.'!$A$1:$C$1001, MATCH('Product Positioning'!$A653, 'Additional Product Info.'!$A$1:$A$1001, 0), MATCH('Product Positioning'!H$1, 'Additional Product Info.'!$A$1:$C$1, 0))</f>
        <v>Front of Store</v>
      </c>
      <c r="I653" t="str">
        <f>INDEX('Additional Product Info.'!$A$1:$C$1001, MATCH('Product Positioning'!$A653, 'Additional Product Info.'!$A$1:$A$1001, 0), MATCH('Product Positioning'!I$1, 'Additional Product Info.'!$A$1:$C$1, 0))</f>
        <v>Clothing</v>
      </c>
      <c r="J653" t="str">
        <f>_xlfn.XLOOKUP(A653, $A$1:$A$1001, 'Additional Product Info.'!$D$1:$D$1001)</f>
        <v>No</v>
      </c>
      <c r="K653" s="1">
        <f t="shared" si="20"/>
        <v>44507.840000000004</v>
      </c>
      <c r="L653" s="1">
        <f t="shared" si="21"/>
        <v>1.4200000000000017</v>
      </c>
      <c r="M653" t="str">
        <f>IF(L653&lt;=Statistics!$E$6,"Low Difference",IF('Product Positioning'!L653&gt;=Statistics!$E$4,"High Difference","Moderate Difference"))</f>
        <v>Moderate Difference</v>
      </c>
    </row>
    <row r="654" spans="1:13" x14ac:dyDescent="0.2">
      <c r="A654">
        <v>164338</v>
      </c>
      <c r="B654" s="1">
        <v>21.67</v>
      </c>
      <c r="C654" s="1">
        <v>19.04</v>
      </c>
      <c r="D654">
        <v>2614</v>
      </c>
      <c r="E654" t="str">
        <f>_xlfn.XLOOKUP(A654, 'Customer Information'!$A$1:$A$1001, 'Customer Information'!$B$1:$B$1001)</f>
        <v>Low</v>
      </c>
      <c r="F654" t="str">
        <f>_xlfn.XLOOKUP(A654, 'Customer Information'!$A$1:$A$1001, 'Customer Information'!$C$1:$C$1001)</f>
        <v>Young adults</v>
      </c>
      <c r="G654" t="str">
        <f>_xlfn.XLOOKUP('Customer Information'!A654, 'Customer Information'!$A$1:$A$1001, 'Customer Information'!$D$1:$D$1001)</f>
        <v>Yes</v>
      </c>
      <c r="H654" t="str">
        <f>INDEX('Additional Product Info.'!$A$1:$C$1001, MATCH('Product Positioning'!$A654, 'Additional Product Info.'!$A$1:$A$1001, 0), MATCH('Product Positioning'!H$1, 'Additional Product Info.'!$A$1:$C$1, 0))</f>
        <v>Front of Store</v>
      </c>
      <c r="I654" t="str">
        <f>INDEX('Additional Product Info.'!$A$1:$C$1001, MATCH('Product Positioning'!$A654, 'Additional Product Info.'!$A$1:$A$1001, 0), MATCH('Product Positioning'!I$1, 'Additional Product Info.'!$A$1:$C$1, 0))</f>
        <v>Clothing</v>
      </c>
      <c r="J654" t="str">
        <f>_xlfn.XLOOKUP(A654, $A$1:$A$1001, 'Additional Product Info.'!$D$1:$D$1001)</f>
        <v>Yes</v>
      </c>
      <c r="K654" s="1">
        <f t="shared" si="20"/>
        <v>56645.380000000005</v>
      </c>
      <c r="L654" s="1">
        <f t="shared" si="21"/>
        <v>2.6300000000000026</v>
      </c>
      <c r="M654" t="str">
        <f>IF(L654&lt;=Statistics!$E$6,"Low Difference",IF('Product Positioning'!L654&gt;=Statistics!$E$4,"High Difference","Moderate Difference"))</f>
        <v>Moderate Difference</v>
      </c>
    </row>
    <row r="655" spans="1:13" x14ac:dyDescent="0.2">
      <c r="A655">
        <v>194730</v>
      </c>
      <c r="B655" s="1">
        <v>14.09</v>
      </c>
      <c r="C655" s="1">
        <v>10.27</v>
      </c>
      <c r="D655">
        <v>1531</v>
      </c>
      <c r="E655" t="str">
        <f>_xlfn.XLOOKUP(A655, 'Customer Information'!$A$1:$A$1001, 'Customer Information'!$B$1:$B$1001)</f>
        <v>Medium</v>
      </c>
      <c r="F655" t="str">
        <f>_xlfn.XLOOKUP(A655, 'Customer Information'!$A$1:$A$1001, 'Customer Information'!$C$1:$C$1001)</f>
        <v>Families</v>
      </c>
      <c r="G655" t="str">
        <f>_xlfn.XLOOKUP('Customer Information'!A655, 'Customer Information'!$A$1:$A$1001, 'Customer Information'!$D$1:$D$1001)</f>
        <v>No</v>
      </c>
      <c r="H655" t="str">
        <f>INDEX('Additional Product Info.'!$A$1:$C$1001, MATCH('Product Positioning'!$A655, 'Additional Product Info.'!$A$1:$A$1001, 0), MATCH('Product Positioning'!H$1, 'Additional Product Info.'!$A$1:$C$1, 0))</f>
        <v>Front of Store</v>
      </c>
      <c r="I655" t="str">
        <f>INDEX('Additional Product Info.'!$A$1:$C$1001, MATCH('Product Positioning'!$A655, 'Additional Product Info.'!$A$1:$A$1001, 0), MATCH('Product Positioning'!I$1, 'Additional Product Info.'!$A$1:$C$1, 0))</f>
        <v>Electronics</v>
      </c>
      <c r="J655" t="str">
        <f>_xlfn.XLOOKUP(A655, $A$1:$A$1001, 'Additional Product Info.'!$D$1:$D$1001)</f>
        <v>No</v>
      </c>
      <c r="K655" s="1">
        <f t="shared" si="20"/>
        <v>21571.79</v>
      </c>
      <c r="L655" s="1">
        <f t="shared" si="21"/>
        <v>3.8200000000000003</v>
      </c>
      <c r="M655" t="str">
        <f>IF(L655&lt;=Statistics!$E$6,"Low Difference",IF('Product Positioning'!L655&gt;=Statistics!$E$4,"High Difference","Moderate Difference"))</f>
        <v>High Difference</v>
      </c>
    </row>
    <row r="656" spans="1:13" x14ac:dyDescent="0.2">
      <c r="A656">
        <v>184387</v>
      </c>
      <c r="B656" s="1">
        <v>22.48</v>
      </c>
      <c r="C656" s="1">
        <v>20.5</v>
      </c>
      <c r="D656">
        <v>1862</v>
      </c>
      <c r="E656" t="str">
        <f>_xlfn.XLOOKUP(A656, 'Customer Information'!$A$1:$A$1001, 'Customer Information'!$B$1:$B$1001)</f>
        <v>High</v>
      </c>
      <c r="F656" t="str">
        <f>_xlfn.XLOOKUP(A656, 'Customer Information'!$A$1:$A$1001, 'Customer Information'!$C$1:$C$1001)</f>
        <v>Seniors</v>
      </c>
      <c r="G656" t="str">
        <f>_xlfn.XLOOKUP('Customer Information'!A656, 'Customer Information'!$A$1:$A$1001, 'Customer Information'!$D$1:$D$1001)</f>
        <v>No</v>
      </c>
      <c r="H656" t="str">
        <f>INDEX('Additional Product Info.'!$A$1:$C$1001, MATCH('Product Positioning'!$A656, 'Additional Product Info.'!$A$1:$A$1001, 0), MATCH('Product Positioning'!H$1, 'Additional Product Info.'!$A$1:$C$1, 0))</f>
        <v>Front of Store</v>
      </c>
      <c r="I656" t="str">
        <f>INDEX('Additional Product Info.'!$A$1:$C$1001, MATCH('Product Positioning'!$A656, 'Additional Product Info.'!$A$1:$A$1001, 0), MATCH('Product Positioning'!I$1, 'Additional Product Info.'!$A$1:$C$1, 0))</f>
        <v>Food</v>
      </c>
      <c r="J656" t="str">
        <f>_xlfn.XLOOKUP(A656, $A$1:$A$1001, 'Additional Product Info.'!$D$1:$D$1001)</f>
        <v>Yes</v>
      </c>
      <c r="K656" s="1">
        <f t="shared" si="20"/>
        <v>41857.760000000002</v>
      </c>
      <c r="L656" s="1">
        <f t="shared" si="21"/>
        <v>1.9800000000000004</v>
      </c>
      <c r="M656" t="str">
        <f>IF(L656&lt;=Statistics!$E$6,"Low Difference",IF('Product Positioning'!L656&gt;=Statistics!$E$4,"High Difference","Moderate Difference"))</f>
        <v>Moderate Difference</v>
      </c>
    </row>
    <row r="657" spans="1:13" x14ac:dyDescent="0.2">
      <c r="A657">
        <v>122405</v>
      </c>
      <c r="B657" s="1">
        <v>17.059999999999999</v>
      </c>
      <c r="C657" s="1">
        <v>12.21</v>
      </c>
      <c r="D657">
        <v>1312</v>
      </c>
      <c r="E657" t="str">
        <f>_xlfn.XLOOKUP(A657, 'Customer Information'!$A$1:$A$1001, 'Customer Information'!$B$1:$B$1001)</f>
        <v>High</v>
      </c>
      <c r="F657" t="str">
        <f>_xlfn.XLOOKUP(A657, 'Customer Information'!$A$1:$A$1001, 'Customer Information'!$C$1:$C$1001)</f>
        <v>Families</v>
      </c>
      <c r="G657" t="str">
        <f>_xlfn.XLOOKUP('Customer Information'!A657, 'Customer Information'!$A$1:$A$1001, 'Customer Information'!$D$1:$D$1001)</f>
        <v>No</v>
      </c>
      <c r="H657" t="str">
        <f>INDEX('Additional Product Info.'!$A$1:$C$1001, MATCH('Product Positioning'!$A657, 'Additional Product Info.'!$A$1:$A$1001, 0), MATCH('Product Positioning'!H$1, 'Additional Product Info.'!$A$1:$C$1, 0))</f>
        <v>Front of Store</v>
      </c>
      <c r="I657" t="str">
        <f>INDEX('Additional Product Info.'!$A$1:$C$1001, MATCH('Product Positioning'!$A657, 'Additional Product Info.'!$A$1:$A$1001, 0), MATCH('Product Positioning'!I$1, 'Additional Product Info.'!$A$1:$C$1, 0))</f>
        <v>Electronics</v>
      </c>
      <c r="J657" t="str">
        <f>_xlfn.XLOOKUP(A657, $A$1:$A$1001, 'Additional Product Info.'!$D$1:$D$1001)</f>
        <v>No</v>
      </c>
      <c r="K657" s="1">
        <f t="shared" si="20"/>
        <v>22382.719999999998</v>
      </c>
      <c r="L657" s="1">
        <f t="shared" si="21"/>
        <v>4.8499999999999979</v>
      </c>
      <c r="M657" t="str">
        <f>IF(L657&lt;=Statistics!$E$6,"Low Difference",IF('Product Positioning'!L657&gt;=Statistics!$E$4,"High Difference","Moderate Difference"))</f>
        <v>High Difference</v>
      </c>
    </row>
    <row r="658" spans="1:13" x14ac:dyDescent="0.2">
      <c r="A658">
        <v>155287</v>
      </c>
      <c r="B658" s="1">
        <v>20.21</v>
      </c>
      <c r="C658" s="1">
        <v>19.05</v>
      </c>
      <c r="D658">
        <v>1830</v>
      </c>
      <c r="E658" t="str">
        <f>_xlfn.XLOOKUP(A658, 'Customer Information'!$A$1:$A$1001, 'Customer Information'!$B$1:$B$1001)</f>
        <v>Low</v>
      </c>
      <c r="F658" t="str">
        <f>_xlfn.XLOOKUP(A658, 'Customer Information'!$A$1:$A$1001, 'Customer Information'!$C$1:$C$1001)</f>
        <v>Seniors</v>
      </c>
      <c r="G658" t="str">
        <f>_xlfn.XLOOKUP('Customer Information'!A658, 'Customer Information'!$A$1:$A$1001, 'Customer Information'!$D$1:$D$1001)</f>
        <v>Yes</v>
      </c>
      <c r="H658" t="str">
        <f>INDEX('Additional Product Info.'!$A$1:$C$1001, MATCH('Product Positioning'!$A658, 'Additional Product Info.'!$A$1:$A$1001, 0), MATCH('Product Positioning'!H$1, 'Additional Product Info.'!$A$1:$C$1, 0))</f>
        <v>End-cap</v>
      </c>
      <c r="I658" t="str">
        <f>INDEX('Additional Product Info.'!$A$1:$C$1001, MATCH('Product Positioning'!$A658, 'Additional Product Info.'!$A$1:$A$1001, 0), MATCH('Product Positioning'!I$1, 'Additional Product Info.'!$A$1:$C$1, 0))</f>
        <v>Clothing</v>
      </c>
      <c r="J658" t="str">
        <f>_xlfn.XLOOKUP(A658, $A$1:$A$1001, 'Additional Product Info.'!$D$1:$D$1001)</f>
        <v>Yes</v>
      </c>
      <c r="K658" s="1">
        <f t="shared" si="20"/>
        <v>36984.300000000003</v>
      </c>
      <c r="L658" s="1">
        <f t="shared" si="21"/>
        <v>1.1600000000000001</v>
      </c>
      <c r="M658" t="str">
        <f>IF(L658&lt;=Statistics!$E$6,"Low Difference",IF('Product Positioning'!L658&gt;=Statistics!$E$4,"High Difference","Moderate Difference"))</f>
        <v>Low Difference</v>
      </c>
    </row>
    <row r="659" spans="1:13" x14ac:dyDescent="0.2">
      <c r="A659">
        <v>135629</v>
      </c>
      <c r="B659" s="1">
        <v>19.14</v>
      </c>
      <c r="C659" s="1">
        <v>14.98</v>
      </c>
      <c r="D659">
        <v>926</v>
      </c>
      <c r="E659" t="str">
        <f>_xlfn.XLOOKUP(A659, 'Customer Information'!$A$1:$A$1001, 'Customer Information'!$B$1:$B$1001)</f>
        <v>Low</v>
      </c>
      <c r="F659" t="str">
        <f>_xlfn.XLOOKUP(A659, 'Customer Information'!$A$1:$A$1001, 'Customer Information'!$C$1:$C$1001)</f>
        <v>Seniors</v>
      </c>
      <c r="G659" t="str">
        <f>_xlfn.XLOOKUP('Customer Information'!A659, 'Customer Information'!$A$1:$A$1001, 'Customer Information'!$D$1:$D$1001)</f>
        <v>Yes</v>
      </c>
      <c r="H659" t="str">
        <f>INDEX('Additional Product Info.'!$A$1:$C$1001, MATCH('Product Positioning'!$A659, 'Additional Product Info.'!$A$1:$A$1001, 0), MATCH('Product Positioning'!H$1, 'Additional Product Info.'!$A$1:$C$1, 0))</f>
        <v>End-cap</v>
      </c>
      <c r="I659" t="str">
        <f>INDEX('Additional Product Info.'!$A$1:$C$1001, MATCH('Product Positioning'!$A659, 'Additional Product Info.'!$A$1:$A$1001, 0), MATCH('Product Positioning'!I$1, 'Additional Product Info.'!$A$1:$C$1, 0))</f>
        <v>Electronics</v>
      </c>
      <c r="J659" t="str">
        <f>_xlfn.XLOOKUP(A659, $A$1:$A$1001, 'Additional Product Info.'!$D$1:$D$1001)</f>
        <v>Yes</v>
      </c>
      <c r="K659" s="1">
        <f t="shared" si="20"/>
        <v>17723.64</v>
      </c>
      <c r="L659" s="1">
        <f t="shared" si="21"/>
        <v>4.16</v>
      </c>
      <c r="M659" t="str">
        <f>IF(L659&lt;=Statistics!$E$6,"Low Difference",IF('Product Positioning'!L659&gt;=Statistics!$E$4,"High Difference","Moderate Difference"))</f>
        <v>High Difference</v>
      </c>
    </row>
    <row r="660" spans="1:13" x14ac:dyDescent="0.2">
      <c r="A660">
        <v>161695</v>
      </c>
      <c r="B660" s="1">
        <v>43.33</v>
      </c>
      <c r="C660" s="1">
        <v>39.35</v>
      </c>
      <c r="D660">
        <v>2463</v>
      </c>
      <c r="E660" t="str">
        <f>_xlfn.XLOOKUP(A660, 'Customer Information'!$A$1:$A$1001, 'Customer Information'!$B$1:$B$1001)</f>
        <v>Medium</v>
      </c>
      <c r="F660" t="str">
        <f>_xlfn.XLOOKUP(A660, 'Customer Information'!$A$1:$A$1001, 'Customer Information'!$C$1:$C$1001)</f>
        <v>Seniors</v>
      </c>
      <c r="G660" t="str">
        <f>_xlfn.XLOOKUP('Customer Information'!A660, 'Customer Information'!$A$1:$A$1001, 'Customer Information'!$D$1:$D$1001)</f>
        <v>No</v>
      </c>
      <c r="H660" t="str">
        <f>INDEX('Additional Product Info.'!$A$1:$C$1001, MATCH('Product Positioning'!$A660, 'Additional Product Info.'!$A$1:$A$1001, 0), MATCH('Product Positioning'!H$1, 'Additional Product Info.'!$A$1:$C$1, 0))</f>
        <v>Aisle</v>
      </c>
      <c r="I660" t="str">
        <f>INDEX('Additional Product Info.'!$A$1:$C$1001, MATCH('Product Positioning'!$A660, 'Additional Product Info.'!$A$1:$A$1001, 0), MATCH('Product Positioning'!I$1, 'Additional Product Info.'!$A$1:$C$1, 0))</f>
        <v>Clothing</v>
      </c>
      <c r="J660" t="str">
        <f>_xlfn.XLOOKUP(A660, $A$1:$A$1001, 'Additional Product Info.'!$D$1:$D$1001)</f>
        <v>No</v>
      </c>
      <c r="K660" s="1">
        <f t="shared" si="20"/>
        <v>106721.79</v>
      </c>
      <c r="L660" s="1">
        <f t="shared" si="21"/>
        <v>3.9799999999999969</v>
      </c>
      <c r="M660" t="str">
        <f>IF(L660&lt;=Statistics!$E$6,"Low Difference",IF('Product Positioning'!L660&gt;=Statistics!$E$4,"High Difference","Moderate Difference"))</f>
        <v>High Difference</v>
      </c>
    </row>
    <row r="661" spans="1:13" x14ac:dyDescent="0.2">
      <c r="A661">
        <v>188585</v>
      </c>
      <c r="B661" s="1">
        <v>24.47</v>
      </c>
      <c r="C661" s="1">
        <v>20.48</v>
      </c>
      <c r="D661">
        <v>2376</v>
      </c>
      <c r="E661" t="str">
        <f>_xlfn.XLOOKUP(A661, 'Customer Information'!$A$1:$A$1001, 'Customer Information'!$B$1:$B$1001)</f>
        <v>Low</v>
      </c>
      <c r="F661" t="str">
        <f>_xlfn.XLOOKUP(A661, 'Customer Information'!$A$1:$A$1001, 'Customer Information'!$C$1:$C$1001)</f>
        <v>Young adults</v>
      </c>
      <c r="G661" t="str">
        <f>_xlfn.XLOOKUP('Customer Information'!A661, 'Customer Information'!$A$1:$A$1001, 'Customer Information'!$D$1:$D$1001)</f>
        <v>Yes</v>
      </c>
      <c r="H661" t="str">
        <f>INDEX('Additional Product Info.'!$A$1:$C$1001, MATCH('Product Positioning'!$A661, 'Additional Product Info.'!$A$1:$A$1001, 0), MATCH('Product Positioning'!H$1, 'Additional Product Info.'!$A$1:$C$1, 0))</f>
        <v>Aisle</v>
      </c>
      <c r="I661" t="str">
        <f>INDEX('Additional Product Info.'!$A$1:$C$1001, MATCH('Product Positioning'!$A661, 'Additional Product Info.'!$A$1:$A$1001, 0), MATCH('Product Positioning'!I$1, 'Additional Product Info.'!$A$1:$C$1, 0))</f>
        <v>Electronics</v>
      </c>
      <c r="J661" t="str">
        <f>_xlfn.XLOOKUP(A661, $A$1:$A$1001, 'Additional Product Info.'!$D$1:$D$1001)</f>
        <v>No</v>
      </c>
      <c r="K661" s="1">
        <f t="shared" si="20"/>
        <v>58140.719999999994</v>
      </c>
      <c r="L661" s="1">
        <f t="shared" si="21"/>
        <v>3.9899999999999984</v>
      </c>
      <c r="M661" t="str">
        <f>IF(L661&lt;=Statistics!$E$6,"Low Difference",IF('Product Positioning'!L661&gt;=Statistics!$E$4,"High Difference","Moderate Difference"))</f>
        <v>High Difference</v>
      </c>
    </row>
    <row r="662" spans="1:13" x14ac:dyDescent="0.2">
      <c r="A662">
        <v>199050</v>
      </c>
      <c r="B662" s="1">
        <v>9.4700000000000006</v>
      </c>
      <c r="C662" s="1">
        <v>6.1</v>
      </c>
      <c r="D662">
        <v>1352</v>
      </c>
      <c r="E662" t="str">
        <f>_xlfn.XLOOKUP(A662, 'Customer Information'!$A$1:$A$1001, 'Customer Information'!$B$1:$B$1001)</f>
        <v>Medium</v>
      </c>
      <c r="F662" t="str">
        <f>_xlfn.XLOOKUP(A662, 'Customer Information'!$A$1:$A$1001, 'Customer Information'!$C$1:$C$1001)</f>
        <v>College students</v>
      </c>
      <c r="G662" t="str">
        <f>_xlfn.XLOOKUP('Customer Information'!A662, 'Customer Information'!$A$1:$A$1001, 'Customer Information'!$D$1:$D$1001)</f>
        <v>No</v>
      </c>
      <c r="H662" t="str">
        <f>INDEX('Additional Product Info.'!$A$1:$C$1001, MATCH('Product Positioning'!$A662, 'Additional Product Info.'!$A$1:$A$1001, 0), MATCH('Product Positioning'!H$1, 'Additional Product Info.'!$A$1:$C$1, 0))</f>
        <v>End-cap</v>
      </c>
      <c r="I662" t="str">
        <f>INDEX('Additional Product Info.'!$A$1:$C$1001, MATCH('Product Positioning'!$A662, 'Additional Product Info.'!$A$1:$A$1001, 0), MATCH('Product Positioning'!I$1, 'Additional Product Info.'!$A$1:$C$1, 0))</f>
        <v>Electronics</v>
      </c>
      <c r="J662" t="str">
        <f>_xlfn.XLOOKUP(A662, $A$1:$A$1001, 'Additional Product Info.'!$D$1:$D$1001)</f>
        <v>No</v>
      </c>
      <c r="K662" s="1">
        <f t="shared" si="20"/>
        <v>12803.44</v>
      </c>
      <c r="L662" s="1">
        <f t="shared" si="21"/>
        <v>3.370000000000001</v>
      </c>
      <c r="M662" t="str">
        <f>IF(L662&lt;=Statistics!$E$6,"Low Difference",IF('Product Positioning'!L662&gt;=Statistics!$E$4,"High Difference","Moderate Difference"))</f>
        <v>Moderate Difference</v>
      </c>
    </row>
    <row r="663" spans="1:13" x14ac:dyDescent="0.2">
      <c r="A663">
        <v>126957</v>
      </c>
      <c r="B663" s="1">
        <v>16.68</v>
      </c>
      <c r="C663" s="1">
        <v>16.440000000000001</v>
      </c>
      <c r="D663">
        <v>1941</v>
      </c>
      <c r="E663" t="str">
        <f>_xlfn.XLOOKUP(A663, 'Customer Information'!$A$1:$A$1001, 'Customer Information'!$B$1:$B$1001)</f>
        <v>High</v>
      </c>
      <c r="F663" t="str">
        <f>_xlfn.XLOOKUP(A663, 'Customer Information'!$A$1:$A$1001, 'Customer Information'!$C$1:$C$1001)</f>
        <v>Families</v>
      </c>
      <c r="G663" t="str">
        <f>_xlfn.XLOOKUP('Customer Information'!A663, 'Customer Information'!$A$1:$A$1001, 'Customer Information'!$D$1:$D$1001)</f>
        <v>No</v>
      </c>
      <c r="H663" t="str">
        <f>INDEX('Additional Product Info.'!$A$1:$C$1001, MATCH('Product Positioning'!$A663, 'Additional Product Info.'!$A$1:$A$1001, 0), MATCH('Product Positioning'!H$1, 'Additional Product Info.'!$A$1:$C$1, 0))</f>
        <v>Front of Store</v>
      </c>
      <c r="I663" t="str">
        <f>INDEX('Additional Product Info.'!$A$1:$C$1001, MATCH('Product Positioning'!$A663, 'Additional Product Info.'!$A$1:$A$1001, 0), MATCH('Product Positioning'!I$1, 'Additional Product Info.'!$A$1:$C$1, 0))</f>
        <v>Clothing</v>
      </c>
      <c r="J663" t="str">
        <f>_xlfn.XLOOKUP(A663, $A$1:$A$1001, 'Additional Product Info.'!$D$1:$D$1001)</f>
        <v>Yes</v>
      </c>
      <c r="K663" s="1">
        <f t="shared" si="20"/>
        <v>32375.88</v>
      </c>
      <c r="L663" s="1">
        <f t="shared" si="21"/>
        <v>0.23999999999999844</v>
      </c>
      <c r="M663" t="str">
        <f>IF(L663&lt;=Statistics!$E$6,"Low Difference",IF('Product Positioning'!L663&gt;=Statistics!$E$4,"High Difference","Moderate Difference"))</f>
        <v>Low Difference</v>
      </c>
    </row>
    <row r="664" spans="1:13" x14ac:dyDescent="0.2">
      <c r="A664">
        <v>140298</v>
      </c>
      <c r="B664" s="1">
        <v>28.83</v>
      </c>
      <c r="C664" s="1">
        <v>25.5</v>
      </c>
      <c r="D664">
        <v>1039</v>
      </c>
      <c r="E664" t="str">
        <f>_xlfn.XLOOKUP(A664, 'Customer Information'!$A$1:$A$1001, 'Customer Information'!$B$1:$B$1001)</f>
        <v>Low</v>
      </c>
      <c r="F664" t="str">
        <f>_xlfn.XLOOKUP(A664, 'Customer Information'!$A$1:$A$1001, 'Customer Information'!$C$1:$C$1001)</f>
        <v>Seniors</v>
      </c>
      <c r="G664" t="str">
        <f>_xlfn.XLOOKUP('Customer Information'!A664, 'Customer Information'!$A$1:$A$1001, 'Customer Information'!$D$1:$D$1001)</f>
        <v>No</v>
      </c>
      <c r="H664" t="str">
        <f>INDEX('Additional Product Info.'!$A$1:$C$1001, MATCH('Product Positioning'!$A664, 'Additional Product Info.'!$A$1:$A$1001, 0), MATCH('Product Positioning'!H$1, 'Additional Product Info.'!$A$1:$C$1, 0))</f>
        <v>Aisle</v>
      </c>
      <c r="I664" t="str">
        <f>INDEX('Additional Product Info.'!$A$1:$C$1001, MATCH('Product Positioning'!$A664, 'Additional Product Info.'!$A$1:$A$1001, 0), MATCH('Product Positioning'!I$1, 'Additional Product Info.'!$A$1:$C$1, 0))</f>
        <v>Clothing</v>
      </c>
      <c r="J664" t="str">
        <f>_xlfn.XLOOKUP(A664, $A$1:$A$1001, 'Additional Product Info.'!$D$1:$D$1001)</f>
        <v>Yes</v>
      </c>
      <c r="K664" s="1">
        <f t="shared" si="20"/>
        <v>29954.37</v>
      </c>
      <c r="L664" s="1">
        <f t="shared" si="21"/>
        <v>3.3299999999999983</v>
      </c>
      <c r="M664" t="str">
        <f>IF(L664&lt;=Statistics!$E$6,"Low Difference",IF('Product Positioning'!L664&gt;=Statistics!$E$4,"High Difference","Moderate Difference"))</f>
        <v>Moderate Difference</v>
      </c>
    </row>
    <row r="665" spans="1:13" x14ac:dyDescent="0.2">
      <c r="A665">
        <v>143161</v>
      </c>
      <c r="B665" s="1">
        <v>35.54</v>
      </c>
      <c r="C665" s="1">
        <v>33.58</v>
      </c>
      <c r="D665">
        <v>946</v>
      </c>
      <c r="E665" t="str">
        <f>_xlfn.XLOOKUP(A665, 'Customer Information'!$A$1:$A$1001, 'Customer Information'!$B$1:$B$1001)</f>
        <v>Low</v>
      </c>
      <c r="F665" t="str">
        <f>_xlfn.XLOOKUP(A665, 'Customer Information'!$A$1:$A$1001, 'Customer Information'!$C$1:$C$1001)</f>
        <v>Seniors</v>
      </c>
      <c r="G665" t="str">
        <f>_xlfn.XLOOKUP('Customer Information'!A665, 'Customer Information'!$A$1:$A$1001, 'Customer Information'!$D$1:$D$1001)</f>
        <v>Yes</v>
      </c>
      <c r="H665" t="str">
        <f>INDEX('Additional Product Info.'!$A$1:$C$1001, MATCH('Product Positioning'!$A665, 'Additional Product Info.'!$A$1:$A$1001, 0), MATCH('Product Positioning'!H$1, 'Additional Product Info.'!$A$1:$C$1, 0))</f>
        <v>End-cap</v>
      </c>
      <c r="I665" t="str">
        <f>INDEX('Additional Product Info.'!$A$1:$C$1001, MATCH('Product Positioning'!$A665, 'Additional Product Info.'!$A$1:$A$1001, 0), MATCH('Product Positioning'!I$1, 'Additional Product Info.'!$A$1:$C$1, 0))</f>
        <v>Clothing</v>
      </c>
      <c r="J665" t="str">
        <f>_xlfn.XLOOKUP(A665, $A$1:$A$1001, 'Additional Product Info.'!$D$1:$D$1001)</f>
        <v>No</v>
      </c>
      <c r="K665" s="1">
        <f t="shared" si="20"/>
        <v>33620.839999999997</v>
      </c>
      <c r="L665" s="1">
        <f t="shared" si="21"/>
        <v>1.9600000000000009</v>
      </c>
      <c r="M665" t="str">
        <f>IF(L665&lt;=Statistics!$E$6,"Low Difference",IF('Product Positioning'!L665&gt;=Statistics!$E$4,"High Difference","Moderate Difference"))</f>
        <v>Moderate Difference</v>
      </c>
    </row>
    <row r="666" spans="1:13" x14ac:dyDescent="0.2">
      <c r="A666">
        <v>126549</v>
      </c>
      <c r="B666" s="1">
        <v>42.47</v>
      </c>
      <c r="C666" s="1">
        <v>40.119999999999997</v>
      </c>
      <c r="D666">
        <v>1648</v>
      </c>
      <c r="E666" t="str">
        <f>_xlfn.XLOOKUP(A666, 'Customer Information'!$A$1:$A$1001, 'Customer Information'!$B$1:$B$1001)</f>
        <v>High</v>
      </c>
      <c r="F666" t="str">
        <f>_xlfn.XLOOKUP(A666, 'Customer Information'!$A$1:$A$1001, 'Customer Information'!$C$1:$C$1001)</f>
        <v>Seniors</v>
      </c>
      <c r="G666" t="str">
        <f>_xlfn.XLOOKUP('Customer Information'!A666, 'Customer Information'!$A$1:$A$1001, 'Customer Information'!$D$1:$D$1001)</f>
        <v>Yes</v>
      </c>
      <c r="H666" t="str">
        <f>INDEX('Additional Product Info.'!$A$1:$C$1001, MATCH('Product Positioning'!$A666, 'Additional Product Info.'!$A$1:$A$1001, 0), MATCH('Product Positioning'!H$1, 'Additional Product Info.'!$A$1:$C$1, 0))</f>
        <v>Front of Store</v>
      </c>
      <c r="I666" t="str">
        <f>INDEX('Additional Product Info.'!$A$1:$C$1001, MATCH('Product Positioning'!$A666, 'Additional Product Info.'!$A$1:$A$1001, 0), MATCH('Product Positioning'!I$1, 'Additional Product Info.'!$A$1:$C$1, 0))</f>
        <v>Clothing</v>
      </c>
      <c r="J666" t="str">
        <f>_xlfn.XLOOKUP(A666, $A$1:$A$1001, 'Additional Product Info.'!$D$1:$D$1001)</f>
        <v>No</v>
      </c>
      <c r="K666" s="1">
        <f t="shared" si="20"/>
        <v>69990.559999999998</v>
      </c>
      <c r="L666" s="1">
        <f t="shared" si="21"/>
        <v>2.3500000000000014</v>
      </c>
      <c r="M666" t="str">
        <f>IF(L666&lt;=Statistics!$E$6,"Low Difference",IF('Product Positioning'!L666&gt;=Statistics!$E$4,"High Difference","Moderate Difference"))</f>
        <v>Moderate Difference</v>
      </c>
    </row>
    <row r="667" spans="1:13" x14ac:dyDescent="0.2">
      <c r="A667">
        <v>199013</v>
      </c>
      <c r="B667" s="1">
        <v>49.97</v>
      </c>
      <c r="C667" s="1">
        <v>45.21</v>
      </c>
      <c r="D667">
        <v>2894</v>
      </c>
      <c r="E667" t="str">
        <f>_xlfn.XLOOKUP(A667, 'Customer Information'!$A$1:$A$1001, 'Customer Information'!$B$1:$B$1001)</f>
        <v>Medium</v>
      </c>
      <c r="F667" t="str">
        <f>_xlfn.XLOOKUP(A667, 'Customer Information'!$A$1:$A$1001, 'Customer Information'!$C$1:$C$1001)</f>
        <v>College students</v>
      </c>
      <c r="G667" t="str">
        <f>_xlfn.XLOOKUP('Customer Information'!A667, 'Customer Information'!$A$1:$A$1001, 'Customer Information'!$D$1:$D$1001)</f>
        <v>No</v>
      </c>
      <c r="H667" t="str">
        <f>INDEX('Additional Product Info.'!$A$1:$C$1001, MATCH('Product Positioning'!$A667, 'Additional Product Info.'!$A$1:$A$1001, 0), MATCH('Product Positioning'!H$1, 'Additional Product Info.'!$A$1:$C$1, 0))</f>
        <v>Aisle</v>
      </c>
      <c r="I667" t="str">
        <f>INDEX('Additional Product Info.'!$A$1:$C$1001, MATCH('Product Positioning'!$A667, 'Additional Product Info.'!$A$1:$A$1001, 0), MATCH('Product Positioning'!I$1, 'Additional Product Info.'!$A$1:$C$1, 0))</f>
        <v>Clothing</v>
      </c>
      <c r="J667" t="str">
        <f>_xlfn.XLOOKUP(A667, $A$1:$A$1001, 'Additional Product Info.'!$D$1:$D$1001)</f>
        <v>No</v>
      </c>
      <c r="K667" s="1">
        <f t="shared" si="20"/>
        <v>144613.18</v>
      </c>
      <c r="L667" s="1">
        <f t="shared" si="21"/>
        <v>4.759999999999998</v>
      </c>
      <c r="M667" t="str">
        <f>IF(L667&lt;=Statistics!$E$6,"Low Difference",IF('Product Positioning'!L667&gt;=Statistics!$E$4,"High Difference","Moderate Difference"))</f>
        <v>High Difference</v>
      </c>
    </row>
    <row r="668" spans="1:13" x14ac:dyDescent="0.2">
      <c r="A668">
        <v>120994</v>
      </c>
      <c r="B668" s="1">
        <v>11.43</v>
      </c>
      <c r="C668" s="1">
        <v>8.77</v>
      </c>
      <c r="D668">
        <v>2633</v>
      </c>
      <c r="E668" t="str">
        <f>_xlfn.XLOOKUP(A668, 'Customer Information'!$A$1:$A$1001, 'Customer Information'!$B$1:$B$1001)</f>
        <v>Low</v>
      </c>
      <c r="F668" t="str">
        <f>_xlfn.XLOOKUP(A668, 'Customer Information'!$A$1:$A$1001, 'Customer Information'!$C$1:$C$1001)</f>
        <v>College students</v>
      </c>
      <c r="G668" t="str">
        <f>_xlfn.XLOOKUP('Customer Information'!A668, 'Customer Information'!$A$1:$A$1001, 'Customer Information'!$D$1:$D$1001)</f>
        <v>No</v>
      </c>
      <c r="H668" t="str">
        <f>INDEX('Additional Product Info.'!$A$1:$C$1001, MATCH('Product Positioning'!$A668, 'Additional Product Info.'!$A$1:$A$1001, 0), MATCH('Product Positioning'!H$1, 'Additional Product Info.'!$A$1:$C$1, 0))</f>
        <v>End-cap</v>
      </c>
      <c r="I668" t="str">
        <f>INDEX('Additional Product Info.'!$A$1:$C$1001, MATCH('Product Positioning'!$A668, 'Additional Product Info.'!$A$1:$A$1001, 0), MATCH('Product Positioning'!I$1, 'Additional Product Info.'!$A$1:$C$1, 0))</f>
        <v>Electronics</v>
      </c>
      <c r="J668" t="str">
        <f>_xlfn.XLOOKUP(A668, $A$1:$A$1001, 'Additional Product Info.'!$D$1:$D$1001)</f>
        <v>No</v>
      </c>
      <c r="K668" s="1">
        <f t="shared" si="20"/>
        <v>30095.19</v>
      </c>
      <c r="L668" s="1">
        <f t="shared" si="21"/>
        <v>2.66</v>
      </c>
      <c r="M668" t="str">
        <f>IF(L668&lt;=Statistics!$E$6,"Low Difference",IF('Product Positioning'!L668&gt;=Statistics!$E$4,"High Difference","Moderate Difference"))</f>
        <v>Moderate Difference</v>
      </c>
    </row>
    <row r="669" spans="1:13" x14ac:dyDescent="0.2">
      <c r="A669">
        <v>123549</v>
      </c>
      <c r="B669" s="1">
        <v>10.54</v>
      </c>
      <c r="C669" s="1">
        <v>5.99</v>
      </c>
      <c r="D669">
        <v>637</v>
      </c>
      <c r="E669" t="str">
        <f>_xlfn.XLOOKUP(A669, 'Customer Information'!$A$1:$A$1001, 'Customer Information'!$B$1:$B$1001)</f>
        <v>Low</v>
      </c>
      <c r="F669" t="str">
        <f>_xlfn.XLOOKUP(A669, 'Customer Information'!$A$1:$A$1001, 'Customer Information'!$C$1:$C$1001)</f>
        <v>Families</v>
      </c>
      <c r="G669" t="str">
        <f>_xlfn.XLOOKUP('Customer Information'!A669, 'Customer Information'!$A$1:$A$1001, 'Customer Information'!$D$1:$D$1001)</f>
        <v>No</v>
      </c>
      <c r="H669" t="str">
        <f>INDEX('Additional Product Info.'!$A$1:$C$1001, MATCH('Product Positioning'!$A669, 'Additional Product Info.'!$A$1:$A$1001, 0), MATCH('Product Positioning'!H$1, 'Additional Product Info.'!$A$1:$C$1, 0))</f>
        <v>End-cap</v>
      </c>
      <c r="I669" t="str">
        <f>INDEX('Additional Product Info.'!$A$1:$C$1001, MATCH('Product Positioning'!$A669, 'Additional Product Info.'!$A$1:$A$1001, 0), MATCH('Product Positioning'!I$1, 'Additional Product Info.'!$A$1:$C$1, 0))</f>
        <v>Food</v>
      </c>
      <c r="J669" t="str">
        <f>_xlfn.XLOOKUP(A669, $A$1:$A$1001, 'Additional Product Info.'!$D$1:$D$1001)</f>
        <v>No</v>
      </c>
      <c r="K669" s="1">
        <f t="shared" si="20"/>
        <v>6713.98</v>
      </c>
      <c r="L669" s="1">
        <f t="shared" si="21"/>
        <v>4.5499999999999989</v>
      </c>
      <c r="M669" t="str">
        <f>IF(L669&lt;=Statistics!$E$6,"Low Difference",IF('Product Positioning'!L669&gt;=Statistics!$E$4,"High Difference","Moderate Difference"))</f>
        <v>High Difference</v>
      </c>
    </row>
    <row r="670" spans="1:13" x14ac:dyDescent="0.2">
      <c r="A670">
        <v>191501</v>
      </c>
      <c r="B670" s="1">
        <v>40.75</v>
      </c>
      <c r="C670" s="1">
        <v>37.549999999999997</v>
      </c>
      <c r="D670">
        <v>2794</v>
      </c>
      <c r="E670" t="str">
        <f>_xlfn.XLOOKUP(A670, 'Customer Information'!$A$1:$A$1001, 'Customer Information'!$B$1:$B$1001)</f>
        <v>Low</v>
      </c>
      <c r="F670" t="str">
        <f>_xlfn.XLOOKUP(A670, 'Customer Information'!$A$1:$A$1001, 'Customer Information'!$C$1:$C$1001)</f>
        <v>Families</v>
      </c>
      <c r="G670" t="str">
        <f>_xlfn.XLOOKUP('Customer Information'!A670, 'Customer Information'!$A$1:$A$1001, 'Customer Information'!$D$1:$D$1001)</f>
        <v>No</v>
      </c>
      <c r="H670" t="str">
        <f>INDEX('Additional Product Info.'!$A$1:$C$1001, MATCH('Product Positioning'!$A670, 'Additional Product Info.'!$A$1:$A$1001, 0), MATCH('Product Positioning'!H$1, 'Additional Product Info.'!$A$1:$C$1, 0))</f>
        <v>Front of Store</v>
      </c>
      <c r="I670" t="str">
        <f>INDEX('Additional Product Info.'!$A$1:$C$1001, MATCH('Product Positioning'!$A670, 'Additional Product Info.'!$A$1:$A$1001, 0), MATCH('Product Positioning'!I$1, 'Additional Product Info.'!$A$1:$C$1, 0))</f>
        <v>Food</v>
      </c>
      <c r="J670" t="str">
        <f>_xlfn.XLOOKUP(A670, $A$1:$A$1001, 'Additional Product Info.'!$D$1:$D$1001)</f>
        <v>No</v>
      </c>
      <c r="K670" s="1">
        <f t="shared" si="20"/>
        <v>113855.5</v>
      </c>
      <c r="L670" s="1">
        <f t="shared" si="21"/>
        <v>3.2000000000000028</v>
      </c>
      <c r="M670" t="str">
        <f>IF(L670&lt;=Statistics!$E$6,"Low Difference",IF('Product Positioning'!L670&gt;=Statistics!$E$4,"High Difference","Moderate Difference"))</f>
        <v>Moderate Difference</v>
      </c>
    </row>
    <row r="671" spans="1:13" x14ac:dyDescent="0.2">
      <c r="A671">
        <v>137441</v>
      </c>
      <c r="B671" s="1">
        <v>38.57</v>
      </c>
      <c r="C671" s="1">
        <v>34.840000000000003</v>
      </c>
      <c r="D671">
        <v>1425</v>
      </c>
      <c r="E671" t="str">
        <f>_xlfn.XLOOKUP(A671, 'Customer Information'!$A$1:$A$1001, 'Customer Information'!$B$1:$B$1001)</f>
        <v>Low</v>
      </c>
      <c r="F671" t="str">
        <f>_xlfn.XLOOKUP(A671, 'Customer Information'!$A$1:$A$1001, 'Customer Information'!$C$1:$C$1001)</f>
        <v>Seniors</v>
      </c>
      <c r="G671" t="str">
        <f>_xlfn.XLOOKUP('Customer Information'!A671, 'Customer Information'!$A$1:$A$1001, 'Customer Information'!$D$1:$D$1001)</f>
        <v>No</v>
      </c>
      <c r="H671" t="str">
        <f>INDEX('Additional Product Info.'!$A$1:$C$1001, MATCH('Product Positioning'!$A671, 'Additional Product Info.'!$A$1:$A$1001, 0), MATCH('Product Positioning'!H$1, 'Additional Product Info.'!$A$1:$C$1, 0))</f>
        <v>End-cap</v>
      </c>
      <c r="I671" t="str">
        <f>INDEX('Additional Product Info.'!$A$1:$C$1001, MATCH('Product Positioning'!$A671, 'Additional Product Info.'!$A$1:$A$1001, 0), MATCH('Product Positioning'!I$1, 'Additional Product Info.'!$A$1:$C$1, 0))</f>
        <v>Electronics</v>
      </c>
      <c r="J671" t="str">
        <f>_xlfn.XLOOKUP(A671, $A$1:$A$1001, 'Additional Product Info.'!$D$1:$D$1001)</f>
        <v>Yes</v>
      </c>
      <c r="K671" s="1">
        <f t="shared" si="20"/>
        <v>54962.25</v>
      </c>
      <c r="L671" s="1">
        <f t="shared" si="21"/>
        <v>3.7299999999999969</v>
      </c>
      <c r="M671" t="str">
        <f>IF(L671&lt;=Statistics!$E$6,"Low Difference",IF('Product Positioning'!L671&gt;=Statistics!$E$4,"High Difference","Moderate Difference"))</f>
        <v>High Difference</v>
      </c>
    </row>
    <row r="672" spans="1:13" x14ac:dyDescent="0.2">
      <c r="A672">
        <v>174639</v>
      </c>
      <c r="B672" s="1">
        <v>32.42</v>
      </c>
      <c r="C672" s="1">
        <v>27.95</v>
      </c>
      <c r="D672">
        <v>1865</v>
      </c>
      <c r="E672" t="str">
        <f>_xlfn.XLOOKUP(A672, 'Customer Information'!$A$1:$A$1001, 'Customer Information'!$B$1:$B$1001)</f>
        <v>Low</v>
      </c>
      <c r="F672" t="str">
        <f>_xlfn.XLOOKUP(A672, 'Customer Information'!$A$1:$A$1001, 'Customer Information'!$C$1:$C$1001)</f>
        <v>College students</v>
      </c>
      <c r="G672" t="str">
        <f>_xlfn.XLOOKUP('Customer Information'!A672, 'Customer Information'!$A$1:$A$1001, 'Customer Information'!$D$1:$D$1001)</f>
        <v>No</v>
      </c>
      <c r="H672" t="str">
        <f>INDEX('Additional Product Info.'!$A$1:$C$1001, MATCH('Product Positioning'!$A672, 'Additional Product Info.'!$A$1:$A$1001, 0), MATCH('Product Positioning'!H$1, 'Additional Product Info.'!$A$1:$C$1, 0))</f>
        <v>Aisle</v>
      </c>
      <c r="I672" t="str">
        <f>INDEX('Additional Product Info.'!$A$1:$C$1001, MATCH('Product Positioning'!$A672, 'Additional Product Info.'!$A$1:$A$1001, 0), MATCH('Product Positioning'!I$1, 'Additional Product Info.'!$A$1:$C$1, 0))</f>
        <v>Food</v>
      </c>
      <c r="J672" t="str">
        <f>_xlfn.XLOOKUP(A672, $A$1:$A$1001, 'Additional Product Info.'!$D$1:$D$1001)</f>
        <v>Yes</v>
      </c>
      <c r="K672" s="1">
        <f t="shared" si="20"/>
        <v>60463.3</v>
      </c>
      <c r="L672" s="1">
        <f t="shared" si="21"/>
        <v>4.4700000000000024</v>
      </c>
      <c r="M672" t="str">
        <f>IF(L672&lt;=Statistics!$E$6,"Low Difference",IF('Product Positioning'!L672&gt;=Statistics!$E$4,"High Difference","Moderate Difference"))</f>
        <v>High Difference</v>
      </c>
    </row>
    <row r="673" spans="1:13" x14ac:dyDescent="0.2">
      <c r="A673">
        <v>126334</v>
      </c>
      <c r="B673" s="1">
        <v>43.81</v>
      </c>
      <c r="C673" s="1">
        <v>39.96</v>
      </c>
      <c r="D673">
        <v>718</v>
      </c>
      <c r="E673" t="str">
        <f>_xlfn.XLOOKUP(A673, 'Customer Information'!$A$1:$A$1001, 'Customer Information'!$B$1:$B$1001)</f>
        <v>High</v>
      </c>
      <c r="F673" t="str">
        <f>_xlfn.XLOOKUP(A673, 'Customer Information'!$A$1:$A$1001, 'Customer Information'!$C$1:$C$1001)</f>
        <v>College students</v>
      </c>
      <c r="G673" t="str">
        <f>_xlfn.XLOOKUP('Customer Information'!A673, 'Customer Information'!$A$1:$A$1001, 'Customer Information'!$D$1:$D$1001)</f>
        <v>No</v>
      </c>
      <c r="H673" t="str">
        <f>INDEX('Additional Product Info.'!$A$1:$C$1001, MATCH('Product Positioning'!$A673, 'Additional Product Info.'!$A$1:$A$1001, 0), MATCH('Product Positioning'!H$1, 'Additional Product Info.'!$A$1:$C$1, 0))</f>
        <v>End-cap</v>
      </c>
      <c r="I673" t="str">
        <f>INDEX('Additional Product Info.'!$A$1:$C$1001, MATCH('Product Positioning'!$A673, 'Additional Product Info.'!$A$1:$A$1001, 0), MATCH('Product Positioning'!I$1, 'Additional Product Info.'!$A$1:$C$1, 0))</f>
        <v>Clothing</v>
      </c>
      <c r="J673" t="str">
        <f>_xlfn.XLOOKUP(A673, $A$1:$A$1001, 'Additional Product Info.'!$D$1:$D$1001)</f>
        <v>No</v>
      </c>
      <c r="K673" s="1">
        <f t="shared" si="20"/>
        <v>31455.58</v>
      </c>
      <c r="L673" s="1">
        <f t="shared" si="21"/>
        <v>3.8500000000000014</v>
      </c>
      <c r="M673" t="str">
        <f>IF(L673&lt;=Statistics!$E$6,"Low Difference",IF('Product Positioning'!L673&gt;=Statistics!$E$4,"High Difference","Moderate Difference"))</f>
        <v>High Difference</v>
      </c>
    </row>
    <row r="674" spans="1:13" x14ac:dyDescent="0.2">
      <c r="A674">
        <v>158294</v>
      </c>
      <c r="B674" s="1">
        <v>5.15</v>
      </c>
      <c r="C674" s="1">
        <v>5.01</v>
      </c>
      <c r="D674">
        <v>1252</v>
      </c>
      <c r="E674" t="str">
        <f>_xlfn.XLOOKUP(A674, 'Customer Information'!$A$1:$A$1001, 'Customer Information'!$B$1:$B$1001)</f>
        <v>Medium</v>
      </c>
      <c r="F674" t="str">
        <f>_xlfn.XLOOKUP(A674, 'Customer Information'!$A$1:$A$1001, 'Customer Information'!$C$1:$C$1001)</f>
        <v>Seniors</v>
      </c>
      <c r="G674" t="str">
        <f>_xlfn.XLOOKUP('Customer Information'!A674, 'Customer Information'!$A$1:$A$1001, 'Customer Information'!$D$1:$D$1001)</f>
        <v>No</v>
      </c>
      <c r="H674" t="str">
        <f>INDEX('Additional Product Info.'!$A$1:$C$1001, MATCH('Product Positioning'!$A674, 'Additional Product Info.'!$A$1:$A$1001, 0), MATCH('Product Positioning'!H$1, 'Additional Product Info.'!$A$1:$C$1, 0))</f>
        <v>Aisle</v>
      </c>
      <c r="I674" t="str">
        <f>INDEX('Additional Product Info.'!$A$1:$C$1001, MATCH('Product Positioning'!$A674, 'Additional Product Info.'!$A$1:$A$1001, 0), MATCH('Product Positioning'!I$1, 'Additional Product Info.'!$A$1:$C$1, 0))</f>
        <v>Food</v>
      </c>
      <c r="J674" t="str">
        <f>_xlfn.XLOOKUP(A674, $A$1:$A$1001, 'Additional Product Info.'!$D$1:$D$1001)</f>
        <v>No</v>
      </c>
      <c r="K674" s="1">
        <f t="shared" si="20"/>
        <v>6447.8</v>
      </c>
      <c r="L674" s="1">
        <f t="shared" si="21"/>
        <v>0.14000000000000057</v>
      </c>
      <c r="M674" t="str">
        <f>IF(L674&lt;=Statistics!$E$6,"Low Difference",IF('Product Positioning'!L674&gt;=Statistics!$E$4,"High Difference","Moderate Difference"))</f>
        <v>Low Difference</v>
      </c>
    </row>
    <row r="675" spans="1:13" x14ac:dyDescent="0.2">
      <c r="A675">
        <v>171653</v>
      </c>
      <c r="B675" s="1">
        <v>36.869999999999997</v>
      </c>
      <c r="C675" s="1">
        <v>34.47</v>
      </c>
      <c r="D675">
        <v>2951</v>
      </c>
      <c r="E675" t="str">
        <f>_xlfn.XLOOKUP(A675, 'Customer Information'!$A$1:$A$1001, 'Customer Information'!$B$1:$B$1001)</f>
        <v>Medium</v>
      </c>
      <c r="F675" t="str">
        <f>_xlfn.XLOOKUP(A675, 'Customer Information'!$A$1:$A$1001, 'Customer Information'!$C$1:$C$1001)</f>
        <v>Young adults</v>
      </c>
      <c r="G675" t="str">
        <f>_xlfn.XLOOKUP('Customer Information'!A675, 'Customer Information'!$A$1:$A$1001, 'Customer Information'!$D$1:$D$1001)</f>
        <v>No</v>
      </c>
      <c r="H675" t="str">
        <f>INDEX('Additional Product Info.'!$A$1:$C$1001, MATCH('Product Positioning'!$A675, 'Additional Product Info.'!$A$1:$A$1001, 0), MATCH('Product Positioning'!H$1, 'Additional Product Info.'!$A$1:$C$1, 0))</f>
        <v>End-cap</v>
      </c>
      <c r="I675" t="str">
        <f>INDEX('Additional Product Info.'!$A$1:$C$1001, MATCH('Product Positioning'!$A675, 'Additional Product Info.'!$A$1:$A$1001, 0), MATCH('Product Positioning'!I$1, 'Additional Product Info.'!$A$1:$C$1, 0))</f>
        <v>Food</v>
      </c>
      <c r="J675" t="str">
        <f>_xlfn.XLOOKUP(A675, $A$1:$A$1001, 'Additional Product Info.'!$D$1:$D$1001)</f>
        <v>Yes</v>
      </c>
      <c r="K675" s="1">
        <f t="shared" si="20"/>
        <v>108803.37</v>
      </c>
      <c r="L675" s="1">
        <f t="shared" si="21"/>
        <v>2.3999999999999986</v>
      </c>
      <c r="M675" t="str">
        <f>IF(L675&lt;=Statistics!$E$6,"Low Difference",IF('Product Positioning'!L675&gt;=Statistics!$E$4,"High Difference","Moderate Difference"))</f>
        <v>Moderate Difference</v>
      </c>
    </row>
    <row r="676" spans="1:13" x14ac:dyDescent="0.2">
      <c r="A676">
        <v>113784</v>
      </c>
      <c r="B676" s="1">
        <v>27.14</v>
      </c>
      <c r="C676" s="1">
        <v>23.32</v>
      </c>
      <c r="D676">
        <v>920</v>
      </c>
      <c r="E676" t="str">
        <f>_xlfn.XLOOKUP(A676, 'Customer Information'!$A$1:$A$1001, 'Customer Information'!$B$1:$B$1001)</f>
        <v>Low</v>
      </c>
      <c r="F676" t="str">
        <f>_xlfn.XLOOKUP(A676, 'Customer Information'!$A$1:$A$1001, 'Customer Information'!$C$1:$C$1001)</f>
        <v>College students</v>
      </c>
      <c r="G676" t="str">
        <f>_xlfn.XLOOKUP('Customer Information'!A676, 'Customer Information'!$A$1:$A$1001, 'Customer Information'!$D$1:$D$1001)</f>
        <v>No</v>
      </c>
      <c r="H676" t="str">
        <f>INDEX('Additional Product Info.'!$A$1:$C$1001, MATCH('Product Positioning'!$A676, 'Additional Product Info.'!$A$1:$A$1001, 0), MATCH('Product Positioning'!H$1, 'Additional Product Info.'!$A$1:$C$1, 0))</f>
        <v>Front of Store</v>
      </c>
      <c r="I676" t="str">
        <f>INDEX('Additional Product Info.'!$A$1:$C$1001, MATCH('Product Positioning'!$A676, 'Additional Product Info.'!$A$1:$A$1001, 0), MATCH('Product Positioning'!I$1, 'Additional Product Info.'!$A$1:$C$1, 0))</f>
        <v>Clothing</v>
      </c>
      <c r="J676" t="str">
        <f>_xlfn.XLOOKUP(A676, $A$1:$A$1001, 'Additional Product Info.'!$D$1:$D$1001)</f>
        <v>No</v>
      </c>
      <c r="K676" s="1">
        <f t="shared" si="20"/>
        <v>24968.799999999999</v>
      </c>
      <c r="L676" s="1">
        <f t="shared" si="21"/>
        <v>3.8200000000000003</v>
      </c>
      <c r="M676" t="str">
        <f>IF(L676&lt;=Statistics!$E$6,"Low Difference",IF('Product Positioning'!L676&gt;=Statistics!$E$4,"High Difference","Moderate Difference"))</f>
        <v>High Difference</v>
      </c>
    </row>
    <row r="677" spans="1:13" x14ac:dyDescent="0.2">
      <c r="A677">
        <v>195374</v>
      </c>
      <c r="B677" s="1">
        <v>46.16</v>
      </c>
      <c r="C677" s="1">
        <v>42.84</v>
      </c>
      <c r="D677">
        <v>1844</v>
      </c>
      <c r="E677" t="str">
        <f>_xlfn.XLOOKUP(A677, 'Customer Information'!$A$1:$A$1001, 'Customer Information'!$B$1:$B$1001)</f>
        <v>Low</v>
      </c>
      <c r="F677" t="str">
        <f>_xlfn.XLOOKUP(A677, 'Customer Information'!$A$1:$A$1001, 'Customer Information'!$C$1:$C$1001)</f>
        <v>College students</v>
      </c>
      <c r="G677" t="str">
        <f>_xlfn.XLOOKUP('Customer Information'!A677, 'Customer Information'!$A$1:$A$1001, 'Customer Information'!$D$1:$D$1001)</f>
        <v>Yes</v>
      </c>
      <c r="H677" t="str">
        <f>INDEX('Additional Product Info.'!$A$1:$C$1001, MATCH('Product Positioning'!$A677, 'Additional Product Info.'!$A$1:$A$1001, 0), MATCH('Product Positioning'!H$1, 'Additional Product Info.'!$A$1:$C$1, 0))</f>
        <v>Front of Store</v>
      </c>
      <c r="I677" t="str">
        <f>INDEX('Additional Product Info.'!$A$1:$C$1001, MATCH('Product Positioning'!$A677, 'Additional Product Info.'!$A$1:$A$1001, 0), MATCH('Product Positioning'!I$1, 'Additional Product Info.'!$A$1:$C$1, 0))</f>
        <v>Electronics</v>
      </c>
      <c r="J677" t="str">
        <f>_xlfn.XLOOKUP(A677, $A$1:$A$1001, 'Additional Product Info.'!$D$1:$D$1001)</f>
        <v>No</v>
      </c>
      <c r="K677" s="1">
        <f t="shared" si="20"/>
        <v>85119.039999999994</v>
      </c>
      <c r="L677" s="1">
        <f t="shared" si="21"/>
        <v>3.3199999999999932</v>
      </c>
      <c r="M677" t="str">
        <f>IF(L677&lt;=Statistics!$E$6,"Low Difference",IF('Product Positioning'!L677&gt;=Statistics!$E$4,"High Difference","Moderate Difference"))</f>
        <v>Moderate Difference</v>
      </c>
    </row>
    <row r="678" spans="1:13" x14ac:dyDescent="0.2">
      <c r="A678">
        <v>171712</v>
      </c>
      <c r="B678" s="1">
        <v>44.95</v>
      </c>
      <c r="C678" s="1">
        <v>43.96</v>
      </c>
      <c r="D678">
        <v>835</v>
      </c>
      <c r="E678" t="str">
        <f>_xlfn.XLOOKUP(A678, 'Customer Information'!$A$1:$A$1001, 'Customer Information'!$B$1:$B$1001)</f>
        <v>Medium</v>
      </c>
      <c r="F678" t="str">
        <f>_xlfn.XLOOKUP(A678, 'Customer Information'!$A$1:$A$1001, 'Customer Information'!$C$1:$C$1001)</f>
        <v>College students</v>
      </c>
      <c r="G678" t="str">
        <f>_xlfn.XLOOKUP('Customer Information'!A678, 'Customer Information'!$A$1:$A$1001, 'Customer Information'!$D$1:$D$1001)</f>
        <v>No</v>
      </c>
      <c r="H678" t="str">
        <f>INDEX('Additional Product Info.'!$A$1:$C$1001, MATCH('Product Positioning'!$A678, 'Additional Product Info.'!$A$1:$A$1001, 0), MATCH('Product Positioning'!H$1, 'Additional Product Info.'!$A$1:$C$1, 0))</f>
        <v>End-cap</v>
      </c>
      <c r="I678" t="str">
        <f>INDEX('Additional Product Info.'!$A$1:$C$1001, MATCH('Product Positioning'!$A678, 'Additional Product Info.'!$A$1:$A$1001, 0), MATCH('Product Positioning'!I$1, 'Additional Product Info.'!$A$1:$C$1, 0))</f>
        <v>Clothing</v>
      </c>
      <c r="J678" t="str">
        <f>_xlfn.XLOOKUP(A678, $A$1:$A$1001, 'Additional Product Info.'!$D$1:$D$1001)</f>
        <v>Yes</v>
      </c>
      <c r="K678" s="1">
        <f t="shared" si="20"/>
        <v>37533.25</v>
      </c>
      <c r="L678" s="1">
        <f t="shared" si="21"/>
        <v>0.99000000000000199</v>
      </c>
      <c r="M678" t="str">
        <f>IF(L678&lt;=Statistics!$E$6,"Low Difference",IF('Product Positioning'!L678&gt;=Statistics!$E$4,"High Difference","Moderate Difference"))</f>
        <v>Low Difference</v>
      </c>
    </row>
    <row r="679" spans="1:13" x14ac:dyDescent="0.2">
      <c r="A679">
        <v>148331</v>
      </c>
      <c r="B679" s="1">
        <v>44.38</v>
      </c>
      <c r="C679" s="1">
        <v>40.68</v>
      </c>
      <c r="D679">
        <v>1322</v>
      </c>
      <c r="E679" t="str">
        <f>_xlfn.XLOOKUP(A679, 'Customer Information'!$A$1:$A$1001, 'Customer Information'!$B$1:$B$1001)</f>
        <v>Low</v>
      </c>
      <c r="F679" t="str">
        <f>_xlfn.XLOOKUP(A679, 'Customer Information'!$A$1:$A$1001, 'Customer Information'!$C$1:$C$1001)</f>
        <v>Young adults</v>
      </c>
      <c r="G679" t="str">
        <f>_xlfn.XLOOKUP('Customer Information'!A679, 'Customer Information'!$A$1:$A$1001, 'Customer Information'!$D$1:$D$1001)</f>
        <v>Yes</v>
      </c>
      <c r="H679" t="str">
        <f>INDEX('Additional Product Info.'!$A$1:$C$1001, MATCH('Product Positioning'!$A679, 'Additional Product Info.'!$A$1:$A$1001, 0), MATCH('Product Positioning'!H$1, 'Additional Product Info.'!$A$1:$C$1, 0))</f>
        <v>Front of Store</v>
      </c>
      <c r="I679" t="str">
        <f>INDEX('Additional Product Info.'!$A$1:$C$1001, MATCH('Product Positioning'!$A679, 'Additional Product Info.'!$A$1:$A$1001, 0), MATCH('Product Positioning'!I$1, 'Additional Product Info.'!$A$1:$C$1, 0))</f>
        <v>Clothing</v>
      </c>
      <c r="J679" t="str">
        <f>_xlfn.XLOOKUP(A679, $A$1:$A$1001, 'Additional Product Info.'!$D$1:$D$1001)</f>
        <v>Yes</v>
      </c>
      <c r="K679" s="1">
        <f t="shared" si="20"/>
        <v>58670.36</v>
      </c>
      <c r="L679" s="1">
        <f t="shared" si="21"/>
        <v>3.7000000000000028</v>
      </c>
      <c r="M679" t="str">
        <f>IF(L679&lt;=Statistics!$E$6,"Low Difference",IF('Product Positioning'!L679&gt;=Statistics!$E$4,"High Difference","Moderate Difference"))</f>
        <v>Moderate Difference</v>
      </c>
    </row>
    <row r="680" spans="1:13" x14ac:dyDescent="0.2">
      <c r="A680">
        <v>123478</v>
      </c>
      <c r="B680" s="1">
        <v>25.59</v>
      </c>
      <c r="C680" s="1">
        <v>24.27</v>
      </c>
      <c r="D680">
        <v>700</v>
      </c>
      <c r="E680" t="str">
        <f>_xlfn.XLOOKUP(A680, 'Customer Information'!$A$1:$A$1001, 'Customer Information'!$B$1:$B$1001)</f>
        <v>Low</v>
      </c>
      <c r="F680" t="str">
        <f>_xlfn.XLOOKUP(A680, 'Customer Information'!$A$1:$A$1001, 'Customer Information'!$C$1:$C$1001)</f>
        <v>Seniors</v>
      </c>
      <c r="G680" t="str">
        <f>_xlfn.XLOOKUP('Customer Information'!A680, 'Customer Information'!$A$1:$A$1001, 'Customer Information'!$D$1:$D$1001)</f>
        <v>No</v>
      </c>
      <c r="H680" t="str">
        <f>INDEX('Additional Product Info.'!$A$1:$C$1001, MATCH('Product Positioning'!$A680, 'Additional Product Info.'!$A$1:$A$1001, 0), MATCH('Product Positioning'!H$1, 'Additional Product Info.'!$A$1:$C$1, 0))</f>
        <v>Aisle</v>
      </c>
      <c r="I680" t="str">
        <f>INDEX('Additional Product Info.'!$A$1:$C$1001, MATCH('Product Positioning'!$A680, 'Additional Product Info.'!$A$1:$A$1001, 0), MATCH('Product Positioning'!I$1, 'Additional Product Info.'!$A$1:$C$1, 0))</f>
        <v>Electronics</v>
      </c>
      <c r="J680" t="str">
        <f>_xlfn.XLOOKUP(A680, $A$1:$A$1001, 'Additional Product Info.'!$D$1:$D$1001)</f>
        <v>Yes</v>
      </c>
      <c r="K680" s="1">
        <f t="shared" si="20"/>
        <v>17913</v>
      </c>
      <c r="L680" s="1">
        <f t="shared" si="21"/>
        <v>1.3200000000000003</v>
      </c>
      <c r="M680" t="str">
        <f>IF(L680&lt;=Statistics!$E$6,"Low Difference",IF('Product Positioning'!L680&gt;=Statistics!$E$4,"High Difference","Moderate Difference"))</f>
        <v>Moderate Difference</v>
      </c>
    </row>
    <row r="681" spans="1:13" x14ac:dyDescent="0.2">
      <c r="A681">
        <v>164043</v>
      </c>
      <c r="B681" s="1">
        <v>11.02</v>
      </c>
      <c r="C681" s="1">
        <v>10.23</v>
      </c>
      <c r="D681">
        <v>2075</v>
      </c>
      <c r="E681" t="str">
        <f>_xlfn.XLOOKUP(A681, 'Customer Information'!$A$1:$A$1001, 'Customer Information'!$B$1:$B$1001)</f>
        <v>High</v>
      </c>
      <c r="F681" t="str">
        <f>_xlfn.XLOOKUP(A681, 'Customer Information'!$A$1:$A$1001, 'Customer Information'!$C$1:$C$1001)</f>
        <v>Young adults</v>
      </c>
      <c r="G681" t="str">
        <f>_xlfn.XLOOKUP('Customer Information'!A681, 'Customer Information'!$A$1:$A$1001, 'Customer Information'!$D$1:$D$1001)</f>
        <v>No</v>
      </c>
      <c r="H681" t="str">
        <f>INDEX('Additional Product Info.'!$A$1:$C$1001, MATCH('Product Positioning'!$A681, 'Additional Product Info.'!$A$1:$A$1001, 0), MATCH('Product Positioning'!H$1, 'Additional Product Info.'!$A$1:$C$1, 0))</f>
        <v>Aisle</v>
      </c>
      <c r="I681" t="str">
        <f>INDEX('Additional Product Info.'!$A$1:$C$1001, MATCH('Product Positioning'!$A681, 'Additional Product Info.'!$A$1:$A$1001, 0), MATCH('Product Positioning'!I$1, 'Additional Product Info.'!$A$1:$C$1, 0))</f>
        <v>Food</v>
      </c>
      <c r="J681" t="str">
        <f>_xlfn.XLOOKUP(A681, $A$1:$A$1001, 'Additional Product Info.'!$D$1:$D$1001)</f>
        <v>No</v>
      </c>
      <c r="K681" s="1">
        <f t="shared" si="20"/>
        <v>22866.5</v>
      </c>
      <c r="L681" s="1">
        <f t="shared" si="21"/>
        <v>0.78999999999999915</v>
      </c>
      <c r="M681" t="str">
        <f>IF(L681&lt;=Statistics!$E$6,"Low Difference",IF('Product Positioning'!L681&gt;=Statistics!$E$4,"High Difference","Moderate Difference"))</f>
        <v>Low Difference</v>
      </c>
    </row>
    <row r="682" spans="1:13" x14ac:dyDescent="0.2">
      <c r="A682">
        <v>158938</v>
      </c>
      <c r="B682" s="1">
        <v>39.31</v>
      </c>
      <c r="C682" s="1">
        <v>37.18</v>
      </c>
      <c r="D682">
        <v>703</v>
      </c>
      <c r="E682" t="str">
        <f>_xlfn.XLOOKUP(A682, 'Customer Information'!$A$1:$A$1001, 'Customer Information'!$B$1:$B$1001)</f>
        <v>High</v>
      </c>
      <c r="F682" t="str">
        <f>_xlfn.XLOOKUP(A682, 'Customer Information'!$A$1:$A$1001, 'Customer Information'!$C$1:$C$1001)</f>
        <v>Seniors</v>
      </c>
      <c r="G682" t="str">
        <f>_xlfn.XLOOKUP('Customer Information'!A682, 'Customer Information'!$A$1:$A$1001, 'Customer Information'!$D$1:$D$1001)</f>
        <v>Yes</v>
      </c>
      <c r="H682" t="str">
        <f>INDEX('Additional Product Info.'!$A$1:$C$1001, MATCH('Product Positioning'!$A682, 'Additional Product Info.'!$A$1:$A$1001, 0), MATCH('Product Positioning'!H$1, 'Additional Product Info.'!$A$1:$C$1, 0))</f>
        <v>Front of Store</v>
      </c>
      <c r="I682" t="str">
        <f>INDEX('Additional Product Info.'!$A$1:$C$1001, MATCH('Product Positioning'!$A682, 'Additional Product Info.'!$A$1:$A$1001, 0), MATCH('Product Positioning'!I$1, 'Additional Product Info.'!$A$1:$C$1, 0))</f>
        <v>Clothing</v>
      </c>
      <c r="J682" t="str">
        <f>_xlfn.XLOOKUP(A682, $A$1:$A$1001, 'Additional Product Info.'!$D$1:$D$1001)</f>
        <v>No</v>
      </c>
      <c r="K682" s="1">
        <f t="shared" si="20"/>
        <v>27634.93</v>
      </c>
      <c r="L682" s="1">
        <f t="shared" si="21"/>
        <v>2.1300000000000026</v>
      </c>
      <c r="M682" t="str">
        <f>IF(L682&lt;=Statistics!$E$6,"Low Difference",IF('Product Positioning'!L682&gt;=Statistics!$E$4,"High Difference","Moderate Difference"))</f>
        <v>Moderate Difference</v>
      </c>
    </row>
    <row r="683" spans="1:13" x14ac:dyDescent="0.2">
      <c r="A683">
        <v>118260</v>
      </c>
      <c r="B683" s="1">
        <v>20.5</v>
      </c>
      <c r="C683" s="1">
        <v>17.079999999999998</v>
      </c>
      <c r="D683">
        <v>2653</v>
      </c>
      <c r="E683" t="str">
        <f>_xlfn.XLOOKUP(A683, 'Customer Information'!$A$1:$A$1001, 'Customer Information'!$B$1:$B$1001)</f>
        <v>Medium</v>
      </c>
      <c r="F683" t="str">
        <f>_xlfn.XLOOKUP(A683, 'Customer Information'!$A$1:$A$1001, 'Customer Information'!$C$1:$C$1001)</f>
        <v>Families</v>
      </c>
      <c r="G683" t="str">
        <f>_xlfn.XLOOKUP('Customer Information'!A683, 'Customer Information'!$A$1:$A$1001, 'Customer Information'!$D$1:$D$1001)</f>
        <v>No</v>
      </c>
      <c r="H683" t="str">
        <f>INDEX('Additional Product Info.'!$A$1:$C$1001, MATCH('Product Positioning'!$A683, 'Additional Product Info.'!$A$1:$A$1001, 0), MATCH('Product Positioning'!H$1, 'Additional Product Info.'!$A$1:$C$1, 0))</f>
        <v>End-cap</v>
      </c>
      <c r="I683" t="str">
        <f>INDEX('Additional Product Info.'!$A$1:$C$1001, MATCH('Product Positioning'!$A683, 'Additional Product Info.'!$A$1:$A$1001, 0), MATCH('Product Positioning'!I$1, 'Additional Product Info.'!$A$1:$C$1, 0))</f>
        <v>Food</v>
      </c>
      <c r="J683" t="str">
        <f>_xlfn.XLOOKUP(A683, $A$1:$A$1001, 'Additional Product Info.'!$D$1:$D$1001)</f>
        <v>Yes</v>
      </c>
      <c r="K683" s="1">
        <f t="shared" si="20"/>
        <v>54386.5</v>
      </c>
      <c r="L683" s="1">
        <f t="shared" si="21"/>
        <v>3.4200000000000017</v>
      </c>
      <c r="M683" t="str">
        <f>IF(L683&lt;=Statistics!$E$6,"Low Difference",IF('Product Positioning'!L683&gt;=Statistics!$E$4,"High Difference","Moderate Difference"))</f>
        <v>Moderate Difference</v>
      </c>
    </row>
    <row r="684" spans="1:13" x14ac:dyDescent="0.2">
      <c r="A684">
        <v>168970</v>
      </c>
      <c r="B684" s="1">
        <v>13.49</v>
      </c>
      <c r="C684" s="1">
        <v>10.1</v>
      </c>
      <c r="D684">
        <v>2819</v>
      </c>
      <c r="E684" t="str">
        <f>_xlfn.XLOOKUP(A684, 'Customer Information'!$A$1:$A$1001, 'Customer Information'!$B$1:$B$1001)</f>
        <v>Medium</v>
      </c>
      <c r="F684" t="str">
        <f>_xlfn.XLOOKUP(A684, 'Customer Information'!$A$1:$A$1001, 'Customer Information'!$C$1:$C$1001)</f>
        <v>Seniors</v>
      </c>
      <c r="G684" t="str">
        <f>_xlfn.XLOOKUP('Customer Information'!A684, 'Customer Information'!$A$1:$A$1001, 'Customer Information'!$D$1:$D$1001)</f>
        <v>No</v>
      </c>
      <c r="H684" t="str">
        <f>INDEX('Additional Product Info.'!$A$1:$C$1001, MATCH('Product Positioning'!$A684, 'Additional Product Info.'!$A$1:$A$1001, 0), MATCH('Product Positioning'!H$1, 'Additional Product Info.'!$A$1:$C$1, 0))</f>
        <v>End-cap</v>
      </c>
      <c r="I684" t="str">
        <f>INDEX('Additional Product Info.'!$A$1:$C$1001, MATCH('Product Positioning'!$A684, 'Additional Product Info.'!$A$1:$A$1001, 0), MATCH('Product Positioning'!I$1, 'Additional Product Info.'!$A$1:$C$1, 0))</f>
        <v>Clothing</v>
      </c>
      <c r="J684" t="str">
        <f>_xlfn.XLOOKUP(A684, $A$1:$A$1001, 'Additional Product Info.'!$D$1:$D$1001)</f>
        <v>No</v>
      </c>
      <c r="K684" s="1">
        <f t="shared" si="20"/>
        <v>38028.31</v>
      </c>
      <c r="L684" s="1">
        <f t="shared" si="21"/>
        <v>3.3900000000000006</v>
      </c>
      <c r="M684" t="str">
        <f>IF(L684&lt;=Statistics!$E$6,"Low Difference",IF('Product Positioning'!L684&gt;=Statistics!$E$4,"High Difference","Moderate Difference"))</f>
        <v>Moderate Difference</v>
      </c>
    </row>
    <row r="685" spans="1:13" x14ac:dyDescent="0.2">
      <c r="A685">
        <v>160301</v>
      </c>
      <c r="B685" s="1">
        <v>15.5</v>
      </c>
      <c r="C685" s="1">
        <v>13.36</v>
      </c>
      <c r="D685">
        <v>1056</v>
      </c>
      <c r="E685" t="str">
        <f>_xlfn.XLOOKUP(A685, 'Customer Information'!$A$1:$A$1001, 'Customer Information'!$B$1:$B$1001)</f>
        <v>Medium</v>
      </c>
      <c r="F685" t="str">
        <f>_xlfn.XLOOKUP(A685, 'Customer Information'!$A$1:$A$1001, 'Customer Information'!$C$1:$C$1001)</f>
        <v>College students</v>
      </c>
      <c r="G685" t="str">
        <f>_xlfn.XLOOKUP('Customer Information'!A685, 'Customer Information'!$A$1:$A$1001, 'Customer Information'!$D$1:$D$1001)</f>
        <v>No</v>
      </c>
      <c r="H685" t="str">
        <f>INDEX('Additional Product Info.'!$A$1:$C$1001, MATCH('Product Positioning'!$A685, 'Additional Product Info.'!$A$1:$A$1001, 0), MATCH('Product Positioning'!H$1, 'Additional Product Info.'!$A$1:$C$1, 0))</f>
        <v>Front of Store</v>
      </c>
      <c r="I685" t="str">
        <f>INDEX('Additional Product Info.'!$A$1:$C$1001, MATCH('Product Positioning'!$A685, 'Additional Product Info.'!$A$1:$A$1001, 0), MATCH('Product Positioning'!I$1, 'Additional Product Info.'!$A$1:$C$1, 0))</f>
        <v>Food</v>
      </c>
      <c r="J685" t="str">
        <f>_xlfn.XLOOKUP(A685, $A$1:$A$1001, 'Additional Product Info.'!$D$1:$D$1001)</f>
        <v>No</v>
      </c>
      <c r="K685" s="1">
        <f t="shared" si="20"/>
        <v>16368</v>
      </c>
      <c r="L685" s="1">
        <f t="shared" si="21"/>
        <v>2.1400000000000006</v>
      </c>
      <c r="M685" t="str">
        <f>IF(L685&lt;=Statistics!$E$6,"Low Difference",IF('Product Positioning'!L685&gt;=Statistics!$E$4,"High Difference","Moderate Difference"))</f>
        <v>Moderate Difference</v>
      </c>
    </row>
    <row r="686" spans="1:13" x14ac:dyDescent="0.2">
      <c r="A686">
        <v>134598</v>
      </c>
      <c r="B686" s="1">
        <v>5.66</v>
      </c>
      <c r="C686" s="1">
        <v>1.62</v>
      </c>
      <c r="D686">
        <v>1475</v>
      </c>
      <c r="E686" t="str">
        <f>_xlfn.XLOOKUP(A686, 'Customer Information'!$A$1:$A$1001, 'Customer Information'!$B$1:$B$1001)</f>
        <v>Low</v>
      </c>
      <c r="F686" t="str">
        <f>_xlfn.XLOOKUP(A686, 'Customer Information'!$A$1:$A$1001, 'Customer Information'!$C$1:$C$1001)</f>
        <v>Families</v>
      </c>
      <c r="G686" t="str">
        <f>_xlfn.XLOOKUP('Customer Information'!A686, 'Customer Information'!$A$1:$A$1001, 'Customer Information'!$D$1:$D$1001)</f>
        <v>Yes</v>
      </c>
      <c r="H686" t="str">
        <f>INDEX('Additional Product Info.'!$A$1:$C$1001, MATCH('Product Positioning'!$A686, 'Additional Product Info.'!$A$1:$A$1001, 0), MATCH('Product Positioning'!H$1, 'Additional Product Info.'!$A$1:$C$1, 0))</f>
        <v>Aisle</v>
      </c>
      <c r="I686" t="str">
        <f>INDEX('Additional Product Info.'!$A$1:$C$1001, MATCH('Product Positioning'!$A686, 'Additional Product Info.'!$A$1:$A$1001, 0), MATCH('Product Positioning'!I$1, 'Additional Product Info.'!$A$1:$C$1, 0))</f>
        <v>Electronics</v>
      </c>
      <c r="J686" t="str">
        <f>_xlfn.XLOOKUP(A686, $A$1:$A$1001, 'Additional Product Info.'!$D$1:$D$1001)</f>
        <v>No</v>
      </c>
      <c r="K686" s="1">
        <f t="shared" si="20"/>
        <v>8348.5</v>
      </c>
      <c r="L686" s="1">
        <f t="shared" si="21"/>
        <v>4.04</v>
      </c>
      <c r="M686" t="str">
        <f>IF(L686&lt;=Statistics!$E$6,"Low Difference",IF('Product Positioning'!L686&gt;=Statistics!$E$4,"High Difference","Moderate Difference"))</f>
        <v>High Difference</v>
      </c>
    </row>
    <row r="687" spans="1:13" x14ac:dyDescent="0.2">
      <c r="A687">
        <v>140548</v>
      </c>
      <c r="B687" s="1">
        <v>9.7100000000000009</v>
      </c>
      <c r="C687" s="1">
        <v>5.57</v>
      </c>
      <c r="D687">
        <v>2971</v>
      </c>
      <c r="E687" t="str">
        <f>_xlfn.XLOOKUP(A687, 'Customer Information'!$A$1:$A$1001, 'Customer Information'!$B$1:$B$1001)</f>
        <v>High</v>
      </c>
      <c r="F687" t="str">
        <f>_xlfn.XLOOKUP(A687, 'Customer Information'!$A$1:$A$1001, 'Customer Information'!$C$1:$C$1001)</f>
        <v>College students</v>
      </c>
      <c r="G687" t="str">
        <f>_xlfn.XLOOKUP('Customer Information'!A687, 'Customer Information'!$A$1:$A$1001, 'Customer Information'!$D$1:$D$1001)</f>
        <v>Yes</v>
      </c>
      <c r="H687" t="str">
        <f>INDEX('Additional Product Info.'!$A$1:$C$1001, MATCH('Product Positioning'!$A687, 'Additional Product Info.'!$A$1:$A$1001, 0), MATCH('Product Positioning'!H$1, 'Additional Product Info.'!$A$1:$C$1, 0))</f>
        <v>Aisle</v>
      </c>
      <c r="I687" t="str">
        <f>INDEX('Additional Product Info.'!$A$1:$C$1001, MATCH('Product Positioning'!$A687, 'Additional Product Info.'!$A$1:$A$1001, 0), MATCH('Product Positioning'!I$1, 'Additional Product Info.'!$A$1:$C$1, 0))</f>
        <v>Clothing</v>
      </c>
      <c r="J687" t="str">
        <f>_xlfn.XLOOKUP(A687, $A$1:$A$1001, 'Additional Product Info.'!$D$1:$D$1001)</f>
        <v>No</v>
      </c>
      <c r="K687" s="1">
        <f t="shared" si="20"/>
        <v>28848.410000000003</v>
      </c>
      <c r="L687" s="1">
        <f t="shared" si="21"/>
        <v>4.1400000000000006</v>
      </c>
      <c r="M687" t="str">
        <f>IF(L687&lt;=Statistics!$E$6,"Low Difference",IF('Product Positioning'!L687&gt;=Statistics!$E$4,"High Difference","Moderate Difference"))</f>
        <v>High Difference</v>
      </c>
    </row>
    <row r="688" spans="1:13" x14ac:dyDescent="0.2">
      <c r="A688">
        <v>119282</v>
      </c>
      <c r="B688" s="1">
        <v>17.05</v>
      </c>
      <c r="C688" s="1">
        <v>16.010000000000002</v>
      </c>
      <c r="D688">
        <v>2136</v>
      </c>
      <c r="E688" t="str">
        <f>_xlfn.XLOOKUP(A688, 'Customer Information'!$A$1:$A$1001, 'Customer Information'!$B$1:$B$1001)</f>
        <v>High</v>
      </c>
      <c r="F688" t="str">
        <f>_xlfn.XLOOKUP(A688, 'Customer Information'!$A$1:$A$1001, 'Customer Information'!$C$1:$C$1001)</f>
        <v>Families</v>
      </c>
      <c r="G688" t="str">
        <f>_xlfn.XLOOKUP('Customer Information'!A688, 'Customer Information'!$A$1:$A$1001, 'Customer Information'!$D$1:$D$1001)</f>
        <v>No</v>
      </c>
      <c r="H688" t="str">
        <f>INDEX('Additional Product Info.'!$A$1:$C$1001, MATCH('Product Positioning'!$A688, 'Additional Product Info.'!$A$1:$A$1001, 0), MATCH('Product Positioning'!H$1, 'Additional Product Info.'!$A$1:$C$1, 0))</f>
        <v>Front of Store</v>
      </c>
      <c r="I688" t="str">
        <f>INDEX('Additional Product Info.'!$A$1:$C$1001, MATCH('Product Positioning'!$A688, 'Additional Product Info.'!$A$1:$A$1001, 0), MATCH('Product Positioning'!I$1, 'Additional Product Info.'!$A$1:$C$1, 0))</f>
        <v>Electronics</v>
      </c>
      <c r="J688" t="str">
        <f>_xlfn.XLOOKUP(A688, $A$1:$A$1001, 'Additional Product Info.'!$D$1:$D$1001)</f>
        <v>No</v>
      </c>
      <c r="K688" s="1">
        <f t="shared" si="20"/>
        <v>36418.800000000003</v>
      </c>
      <c r="L688" s="1">
        <f t="shared" si="21"/>
        <v>1.0399999999999991</v>
      </c>
      <c r="M688" t="str">
        <f>IF(L688&lt;=Statistics!$E$6,"Low Difference",IF('Product Positioning'!L688&gt;=Statistics!$E$4,"High Difference","Moderate Difference"))</f>
        <v>Low Difference</v>
      </c>
    </row>
    <row r="689" spans="1:13" x14ac:dyDescent="0.2">
      <c r="A689">
        <v>155744</v>
      </c>
      <c r="B689" s="1">
        <v>33.53</v>
      </c>
      <c r="C689" s="1">
        <v>28.67</v>
      </c>
      <c r="D689">
        <v>2663</v>
      </c>
      <c r="E689" t="str">
        <f>_xlfn.XLOOKUP(A689, 'Customer Information'!$A$1:$A$1001, 'Customer Information'!$B$1:$B$1001)</f>
        <v>Medium</v>
      </c>
      <c r="F689" t="str">
        <f>_xlfn.XLOOKUP(A689, 'Customer Information'!$A$1:$A$1001, 'Customer Information'!$C$1:$C$1001)</f>
        <v>Families</v>
      </c>
      <c r="G689" t="str">
        <f>_xlfn.XLOOKUP('Customer Information'!A689, 'Customer Information'!$A$1:$A$1001, 'Customer Information'!$D$1:$D$1001)</f>
        <v>Yes</v>
      </c>
      <c r="H689" t="str">
        <f>INDEX('Additional Product Info.'!$A$1:$C$1001, MATCH('Product Positioning'!$A689, 'Additional Product Info.'!$A$1:$A$1001, 0), MATCH('Product Positioning'!H$1, 'Additional Product Info.'!$A$1:$C$1, 0))</f>
        <v>Aisle</v>
      </c>
      <c r="I689" t="str">
        <f>INDEX('Additional Product Info.'!$A$1:$C$1001, MATCH('Product Positioning'!$A689, 'Additional Product Info.'!$A$1:$A$1001, 0), MATCH('Product Positioning'!I$1, 'Additional Product Info.'!$A$1:$C$1, 0))</f>
        <v>Clothing</v>
      </c>
      <c r="J689" t="str">
        <f>_xlfn.XLOOKUP(A689, $A$1:$A$1001, 'Additional Product Info.'!$D$1:$D$1001)</f>
        <v>Yes</v>
      </c>
      <c r="K689" s="1">
        <f t="shared" si="20"/>
        <v>89290.39</v>
      </c>
      <c r="L689" s="1">
        <f t="shared" si="21"/>
        <v>4.8599999999999994</v>
      </c>
      <c r="M689" t="str">
        <f>IF(L689&lt;=Statistics!$E$6,"Low Difference",IF('Product Positioning'!L689&gt;=Statistics!$E$4,"High Difference","Moderate Difference"))</f>
        <v>High Difference</v>
      </c>
    </row>
    <row r="690" spans="1:13" x14ac:dyDescent="0.2">
      <c r="A690">
        <v>188805</v>
      </c>
      <c r="B690" s="1">
        <v>11.42</v>
      </c>
      <c r="C690" s="1">
        <v>8.5399999999999991</v>
      </c>
      <c r="D690">
        <v>1324</v>
      </c>
      <c r="E690" t="str">
        <f>_xlfn.XLOOKUP(A690, 'Customer Information'!$A$1:$A$1001, 'Customer Information'!$B$1:$B$1001)</f>
        <v>High</v>
      </c>
      <c r="F690" t="str">
        <f>_xlfn.XLOOKUP(A690, 'Customer Information'!$A$1:$A$1001, 'Customer Information'!$C$1:$C$1001)</f>
        <v>Families</v>
      </c>
      <c r="G690" t="str">
        <f>_xlfn.XLOOKUP('Customer Information'!A690, 'Customer Information'!$A$1:$A$1001, 'Customer Information'!$D$1:$D$1001)</f>
        <v>Yes</v>
      </c>
      <c r="H690" t="str">
        <f>INDEX('Additional Product Info.'!$A$1:$C$1001, MATCH('Product Positioning'!$A690, 'Additional Product Info.'!$A$1:$A$1001, 0), MATCH('Product Positioning'!H$1, 'Additional Product Info.'!$A$1:$C$1, 0))</f>
        <v>Aisle</v>
      </c>
      <c r="I690" t="str">
        <f>INDEX('Additional Product Info.'!$A$1:$C$1001, MATCH('Product Positioning'!$A690, 'Additional Product Info.'!$A$1:$A$1001, 0), MATCH('Product Positioning'!I$1, 'Additional Product Info.'!$A$1:$C$1, 0))</f>
        <v>Clothing</v>
      </c>
      <c r="J690" t="str">
        <f>_xlfn.XLOOKUP(A690, $A$1:$A$1001, 'Additional Product Info.'!$D$1:$D$1001)</f>
        <v>No</v>
      </c>
      <c r="K690" s="1">
        <f t="shared" si="20"/>
        <v>15120.08</v>
      </c>
      <c r="L690" s="1">
        <f t="shared" si="21"/>
        <v>2.8800000000000008</v>
      </c>
      <c r="M690" t="str">
        <f>IF(L690&lt;=Statistics!$E$6,"Low Difference",IF('Product Positioning'!L690&gt;=Statistics!$E$4,"High Difference","Moderate Difference"))</f>
        <v>Moderate Difference</v>
      </c>
    </row>
    <row r="691" spans="1:13" x14ac:dyDescent="0.2">
      <c r="A691">
        <v>194198</v>
      </c>
      <c r="B691" s="1">
        <v>44.88</v>
      </c>
      <c r="C691" s="1">
        <v>41.36</v>
      </c>
      <c r="D691">
        <v>2363</v>
      </c>
      <c r="E691" t="str">
        <f>_xlfn.XLOOKUP(A691, 'Customer Information'!$A$1:$A$1001, 'Customer Information'!$B$1:$B$1001)</f>
        <v>High</v>
      </c>
      <c r="F691" t="str">
        <f>_xlfn.XLOOKUP(A691, 'Customer Information'!$A$1:$A$1001, 'Customer Information'!$C$1:$C$1001)</f>
        <v>College students</v>
      </c>
      <c r="G691" t="str">
        <f>_xlfn.XLOOKUP('Customer Information'!A691, 'Customer Information'!$A$1:$A$1001, 'Customer Information'!$D$1:$D$1001)</f>
        <v>Yes</v>
      </c>
      <c r="H691" t="str">
        <f>INDEX('Additional Product Info.'!$A$1:$C$1001, MATCH('Product Positioning'!$A691, 'Additional Product Info.'!$A$1:$A$1001, 0), MATCH('Product Positioning'!H$1, 'Additional Product Info.'!$A$1:$C$1, 0))</f>
        <v>Aisle</v>
      </c>
      <c r="I691" t="str">
        <f>INDEX('Additional Product Info.'!$A$1:$C$1001, MATCH('Product Positioning'!$A691, 'Additional Product Info.'!$A$1:$A$1001, 0), MATCH('Product Positioning'!I$1, 'Additional Product Info.'!$A$1:$C$1, 0))</f>
        <v>Food</v>
      </c>
      <c r="J691" t="str">
        <f>_xlfn.XLOOKUP(A691, $A$1:$A$1001, 'Additional Product Info.'!$D$1:$D$1001)</f>
        <v>Yes</v>
      </c>
      <c r="K691" s="1">
        <f t="shared" si="20"/>
        <v>106051.44</v>
      </c>
      <c r="L691" s="1">
        <f t="shared" si="21"/>
        <v>3.5200000000000031</v>
      </c>
      <c r="M691" t="str">
        <f>IF(L691&lt;=Statistics!$E$6,"Low Difference",IF('Product Positioning'!L691&gt;=Statistics!$E$4,"High Difference","Moderate Difference"))</f>
        <v>Moderate Difference</v>
      </c>
    </row>
    <row r="692" spans="1:13" x14ac:dyDescent="0.2">
      <c r="A692">
        <v>158917</v>
      </c>
      <c r="B692" s="1">
        <v>15.84</v>
      </c>
      <c r="C692" s="1">
        <v>11.45</v>
      </c>
      <c r="D692">
        <v>2042</v>
      </c>
      <c r="E692" t="str">
        <f>_xlfn.XLOOKUP(A692, 'Customer Information'!$A$1:$A$1001, 'Customer Information'!$B$1:$B$1001)</f>
        <v>High</v>
      </c>
      <c r="F692" t="str">
        <f>_xlfn.XLOOKUP(A692, 'Customer Information'!$A$1:$A$1001, 'Customer Information'!$C$1:$C$1001)</f>
        <v>Seniors</v>
      </c>
      <c r="G692" t="str">
        <f>_xlfn.XLOOKUP('Customer Information'!A692, 'Customer Information'!$A$1:$A$1001, 'Customer Information'!$D$1:$D$1001)</f>
        <v>Yes</v>
      </c>
      <c r="H692" t="str">
        <f>INDEX('Additional Product Info.'!$A$1:$C$1001, MATCH('Product Positioning'!$A692, 'Additional Product Info.'!$A$1:$A$1001, 0), MATCH('Product Positioning'!H$1, 'Additional Product Info.'!$A$1:$C$1, 0))</f>
        <v>Front of Store</v>
      </c>
      <c r="I692" t="str">
        <f>INDEX('Additional Product Info.'!$A$1:$C$1001, MATCH('Product Positioning'!$A692, 'Additional Product Info.'!$A$1:$A$1001, 0), MATCH('Product Positioning'!I$1, 'Additional Product Info.'!$A$1:$C$1, 0))</f>
        <v>Clothing</v>
      </c>
      <c r="J692" t="str">
        <f>_xlfn.XLOOKUP(A692, $A$1:$A$1001, 'Additional Product Info.'!$D$1:$D$1001)</f>
        <v>Yes</v>
      </c>
      <c r="K692" s="1">
        <f t="shared" si="20"/>
        <v>32345.279999999999</v>
      </c>
      <c r="L692" s="1">
        <f t="shared" si="21"/>
        <v>4.3900000000000006</v>
      </c>
      <c r="M692" t="str">
        <f>IF(L692&lt;=Statistics!$E$6,"Low Difference",IF('Product Positioning'!L692&gt;=Statistics!$E$4,"High Difference","Moderate Difference"))</f>
        <v>High Difference</v>
      </c>
    </row>
    <row r="693" spans="1:13" x14ac:dyDescent="0.2">
      <c r="A693">
        <v>119182</v>
      </c>
      <c r="B693" s="1">
        <v>16.46</v>
      </c>
      <c r="C693" s="1">
        <v>13.91</v>
      </c>
      <c r="D693">
        <v>2578</v>
      </c>
      <c r="E693" t="str">
        <f>_xlfn.XLOOKUP(A693, 'Customer Information'!$A$1:$A$1001, 'Customer Information'!$B$1:$B$1001)</f>
        <v>Low</v>
      </c>
      <c r="F693" t="str">
        <f>_xlfn.XLOOKUP(A693, 'Customer Information'!$A$1:$A$1001, 'Customer Information'!$C$1:$C$1001)</f>
        <v>Families</v>
      </c>
      <c r="G693" t="str">
        <f>_xlfn.XLOOKUP('Customer Information'!A693, 'Customer Information'!$A$1:$A$1001, 'Customer Information'!$D$1:$D$1001)</f>
        <v>Yes</v>
      </c>
      <c r="H693" t="str">
        <f>INDEX('Additional Product Info.'!$A$1:$C$1001, MATCH('Product Positioning'!$A693, 'Additional Product Info.'!$A$1:$A$1001, 0), MATCH('Product Positioning'!H$1, 'Additional Product Info.'!$A$1:$C$1, 0))</f>
        <v>Front of Store</v>
      </c>
      <c r="I693" t="str">
        <f>INDEX('Additional Product Info.'!$A$1:$C$1001, MATCH('Product Positioning'!$A693, 'Additional Product Info.'!$A$1:$A$1001, 0), MATCH('Product Positioning'!I$1, 'Additional Product Info.'!$A$1:$C$1, 0))</f>
        <v>Food</v>
      </c>
      <c r="J693" t="str">
        <f>_xlfn.XLOOKUP(A693, $A$1:$A$1001, 'Additional Product Info.'!$D$1:$D$1001)</f>
        <v>No</v>
      </c>
      <c r="K693" s="1">
        <f t="shared" si="20"/>
        <v>42433.880000000005</v>
      </c>
      <c r="L693" s="1">
        <f t="shared" si="21"/>
        <v>2.5500000000000007</v>
      </c>
      <c r="M693" t="str">
        <f>IF(L693&lt;=Statistics!$E$6,"Low Difference",IF('Product Positioning'!L693&gt;=Statistics!$E$4,"High Difference","Moderate Difference"))</f>
        <v>Moderate Difference</v>
      </c>
    </row>
    <row r="694" spans="1:13" x14ac:dyDescent="0.2">
      <c r="A694">
        <v>177843</v>
      </c>
      <c r="B694" s="1">
        <v>22.29</v>
      </c>
      <c r="C694" s="1">
        <v>21.55</v>
      </c>
      <c r="D694">
        <v>1898</v>
      </c>
      <c r="E694" t="str">
        <f>_xlfn.XLOOKUP(A694, 'Customer Information'!$A$1:$A$1001, 'Customer Information'!$B$1:$B$1001)</f>
        <v>Low</v>
      </c>
      <c r="F694" t="str">
        <f>_xlfn.XLOOKUP(A694, 'Customer Information'!$A$1:$A$1001, 'Customer Information'!$C$1:$C$1001)</f>
        <v>Families</v>
      </c>
      <c r="G694" t="str">
        <f>_xlfn.XLOOKUP('Customer Information'!A694, 'Customer Information'!$A$1:$A$1001, 'Customer Information'!$D$1:$D$1001)</f>
        <v>Yes</v>
      </c>
      <c r="H694" t="str">
        <f>INDEX('Additional Product Info.'!$A$1:$C$1001, MATCH('Product Positioning'!$A694, 'Additional Product Info.'!$A$1:$A$1001, 0), MATCH('Product Positioning'!H$1, 'Additional Product Info.'!$A$1:$C$1, 0))</f>
        <v>End-cap</v>
      </c>
      <c r="I694" t="str">
        <f>INDEX('Additional Product Info.'!$A$1:$C$1001, MATCH('Product Positioning'!$A694, 'Additional Product Info.'!$A$1:$A$1001, 0), MATCH('Product Positioning'!I$1, 'Additional Product Info.'!$A$1:$C$1, 0))</f>
        <v>Clothing</v>
      </c>
      <c r="J694" t="str">
        <f>_xlfn.XLOOKUP(A694, $A$1:$A$1001, 'Additional Product Info.'!$D$1:$D$1001)</f>
        <v>No</v>
      </c>
      <c r="K694" s="1">
        <f t="shared" si="20"/>
        <v>42306.42</v>
      </c>
      <c r="L694" s="1">
        <f t="shared" si="21"/>
        <v>0.73999999999999844</v>
      </c>
      <c r="M694" t="str">
        <f>IF(L694&lt;=Statistics!$E$6,"Low Difference",IF('Product Positioning'!L694&gt;=Statistics!$E$4,"High Difference","Moderate Difference"))</f>
        <v>Low Difference</v>
      </c>
    </row>
    <row r="695" spans="1:13" x14ac:dyDescent="0.2">
      <c r="A695">
        <v>175135</v>
      </c>
      <c r="B695" s="1">
        <v>30.9</v>
      </c>
      <c r="C695" s="1">
        <v>29.78</v>
      </c>
      <c r="D695">
        <v>1732</v>
      </c>
      <c r="E695" t="str">
        <f>_xlfn.XLOOKUP(A695, 'Customer Information'!$A$1:$A$1001, 'Customer Information'!$B$1:$B$1001)</f>
        <v>High</v>
      </c>
      <c r="F695" t="str">
        <f>_xlfn.XLOOKUP(A695, 'Customer Information'!$A$1:$A$1001, 'Customer Information'!$C$1:$C$1001)</f>
        <v>Seniors</v>
      </c>
      <c r="G695" t="str">
        <f>_xlfn.XLOOKUP('Customer Information'!A695, 'Customer Information'!$A$1:$A$1001, 'Customer Information'!$D$1:$D$1001)</f>
        <v>No</v>
      </c>
      <c r="H695" t="str">
        <f>INDEX('Additional Product Info.'!$A$1:$C$1001, MATCH('Product Positioning'!$A695, 'Additional Product Info.'!$A$1:$A$1001, 0), MATCH('Product Positioning'!H$1, 'Additional Product Info.'!$A$1:$C$1, 0))</f>
        <v>Front of Store</v>
      </c>
      <c r="I695" t="str">
        <f>INDEX('Additional Product Info.'!$A$1:$C$1001, MATCH('Product Positioning'!$A695, 'Additional Product Info.'!$A$1:$A$1001, 0), MATCH('Product Positioning'!I$1, 'Additional Product Info.'!$A$1:$C$1, 0))</f>
        <v>Food</v>
      </c>
      <c r="J695" t="str">
        <f>_xlfn.XLOOKUP(A695, $A$1:$A$1001, 'Additional Product Info.'!$D$1:$D$1001)</f>
        <v>No</v>
      </c>
      <c r="K695" s="1">
        <f t="shared" si="20"/>
        <v>53518.799999999996</v>
      </c>
      <c r="L695" s="1">
        <f t="shared" si="21"/>
        <v>1.1199999999999974</v>
      </c>
      <c r="M695" t="str">
        <f>IF(L695&lt;=Statistics!$E$6,"Low Difference",IF('Product Positioning'!L695&gt;=Statistics!$E$4,"High Difference","Moderate Difference"))</f>
        <v>Low Difference</v>
      </c>
    </row>
    <row r="696" spans="1:13" x14ac:dyDescent="0.2">
      <c r="A696">
        <v>162886</v>
      </c>
      <c r="B696" s="1">
        <v>20.54</v>
      </c>
      <c r="C696" s="1">
        <v>17.989999999999998</v>
      </c>
      <c r="D696">
        <v>2192</v>
      </c>
      <c r="E696" t="str">
        <f>_xlfn.XLOOKUP(A696, 'Customer Information'!$A$1:$A$1001, 'Customer Information'!$B$1:$B$1001)</f>
        <v>Medium</v>
      </c>
      <c r="F696" t="str">
        <f>_xlfn.XLOOKUP(A696, 'Customer Information'!$A$1:$A$1001, 'Customer Information'!$C$1:$C$1001)</f>
        <v>College students</v>
      </c>
      <c r="G696" t="str">
        <f>_xlfn.XLOOKUP('Customer Information'!A696, 'Customer Information'!$A$1:$A$1001, 'Customer Information'!$D$1:$D$1001)</f>
        <v>No</v>
      </c>
      <c r="H696" t="str">
        <f>INDEX('Additional Product Info.'!$A$1:$C$1001, MATCH('Product Positioning'!$A696, 'Additional Product Info.'!$A$1:$A$1001, 0), MATCH('Product Positioning'!H$1, 'Additional Product Info.'!$A$1:$C$1, 0))</f>
        <v>Front of Store</v>
      </c>
      <c r="I696" t="str">
        <f>INDEX('Additional Product Info.'!$A$1:$C$1001, MATCH('Product Positioning'!$A696, 'Additional Product Info.'!$A$1:$A$1001, 0), MATCH('Product Positioning'!I$1, 'Additional Product Info.'!$A$1:$C$1, 0))</f>
        <v>Clothing</v>
      </c>
      <c r="J696" t="str">
        <f>_xlfn.XLOOKUP(A696, $A$1:$A$1001, 'Additional Product Info.'!$D$1:$D$1001)</f>
        <v>Yes</v>
      </c>
      <c r="K696" s="1">
        <f t="shared" si="20"/>
        <v>45023.68</v>
      </c>
      <c r="L696" s="1">
        <f t="shared" si="21"/>
        <v>2.5500000000000007</v>
      </c>
      <c r="M696" t="str">
        <f>IF(L696&lt;=Statistics!$E$6,"Low Difference",IF('Product Positioning'!L696&gt;=Statistics!$E$4,"High Difference","Moderate Difference"))</f>
        <v>Moderate Difference</v>
      </c>
    </row>
    <row r="697" spans="1:13" x14ac:dyDescent="0.2">
      <c r="A697">
        <v>162663</v>
      </c>
      <c r="B697" s="1">
        <v>34.96</v>
      </c>
      <c r="C697" s="1">
        <v>34.770000000000003</v>
      </c>
      <c r="D697">
        <v>2231</v>
      </c>
      <c r="E697" t="str">
        <f>_xlfn.XLOOKUP(A697, 'Customer Information'!$A$1:$A$1001, 'Customer Information'!$B$1:$B$1001)</f>
        <v>High</v>
      </c>
      <c r="F697" t="str">
        <f>_xlfn.XLOOKUP(A697, 'Customer Information'!$A$1:$A$1001, 'Customer Information'!$C$1:$C$1001)</f>
        <v>Young adults</v>
      </c>
      <c r="G697" t="str">
        <f>_xlfn.XLOOKUP('Customer Information'!A697, 'Customer Information'!$A$1:$A$1001, 'Customer Information'!$D$1:$D$1001)</f>
        <v>No</v>
      </c>
      <c r="H697" t="str">
        <f>INDEX('Additional Product Info.'!$A$1:$C$1001, MATCH('Product Positioning'!$A697, 'Additional Product Info.'!$A$1:$A$1001, 0), MATCH('Product Positioning'!H$1, 'Additional Product Info.'!$A$1:$C$1, 0))</f>
        <v>Aisle</v>
      </c>
      <c r="I697" t="str">
        <f>INDEX('Additional Product Info.'!$A$1:$C$1001, MATCH('Product Positioning'!$A697, 'Additional Product Info.'!$A$1:$A$1001, 0), MATCH('Product Positioning'!I$1, 'Additional Product Info.'!$A$1:$C$1, 0))</f>
        <v>Electronics</v>
      </c>
      <c r="J697" t="str">
        <f>_xlfn.XLOOKUP(A697, $A$1:$A$1001, 'Additional Product Info.'!$D$1:$D$1001)</f>
        <v>No</v>
      </c>
      <c r="K697" s="1">
        <f t="shared" si="20"/>
        <v>77995.759999999995</v>
      </c>
      <c r="L697" s="1">
        <f t="shared" si="21"/>
        <v>0.18999999999999773</v>
      </c>
      <c r="M697" t="str">
        <f>IF(L697&lt;=Statistics!$E$6,"Low Difference",IF('Product Positioning'!L697&gt;=Statistics!$E$4,"High Difference","Moderate Difference"))</f>
        <v>Low Difference</v>
      </c>
    </row>
    <row r="698" spans="1:13" x14ac:dyDescent="0.2">
      <c r="A698">
        <v>148513</v>
      </c>
      <c r="B698" s="1">
        <v>28.81</v>
      </c>
      <c r="C698" s="1">
        <v>24.72</v>
      </c>
      <c r="D698">
        <v>980</v>
      </c>
      <c r="E698" t="str">
        <f>_xlfn.XLOOKUP(A698, 'Customer Information'!$A$1:$A$1001, 'Customer Information'!$B$1:$B$1001)</f>
        <v>High</v>
      </c>
      <c r="F698" t="str">
        <f>_xlfn.XLOOKUP(A698, 'Customer Information'!$A$1:$A$1001, 'Customer Information'!$C$1:$C$1001)</f>
        <v>Seniors</v>
      </c>
      <c r="G698" t="str">
        <f>_xlfn.XLOOKUP('Customer Information'!A698, 'Customer Information'!$A$1:$A$1001, 'Customer Information'!$D$1:$D$1001)</f>
        <v>Yes</v>
      </c>
      <c r="H698" t="str">
        <f>INDEX('Additional Product Info.'!$A$1:$C$1001, MATCH('Product Positioning'!$A698, 'Additional Product Info.'!$A$1:$A$1001, 0), MATCH('Product Positioning'!H$1, 'Additional Product Info.'!$A$1:$C$1, 0))</f>
        <v>Front of Store</v>
      </c>
      <c r="I698" t="str">
        <f>INDEX('Additional Product Info.'!$A$1:$C$1001, MATCH('Product Positioning'!$A698, 'Additional Product Info.'!$A$1:$A$1001, 0), MATCH('Product Positioning'!I$1, 'Additional Product Info.'!$A$1:$C$1, 0))</f>
        <v>Food</v>
      </c>
      <c r="J698" t="str">
        <f>_xlfn.XLOOKUP(A698, $A$1:$A$1001, 'Additional Product Info.'!$D$1:$D$1001)</f>
        <v>Yes</v>
      </c>
      <c r="K698" s="1">
        <f t="shared" si="20"/>
        <v>28233.8</v>
      </c>
      <c r="L698" s="1">
        <f t="shared" si="21"/>
        <v>4.09</v>
      </c>
      <c r="M698" t="str">
        <f>IF(L698&lt;=Statistics!$E$6,"Low Difference",IF('Product Positioning'!L698&gt;=Statistics!$E$4,"High Difference","Moderate Difference"))</f>
        <v>High Difference</v>
      </c>
    </row>
    <row r="699" spans="1:13" x14ac:dyDescent="0.2">
      <c r="A699">
        <v>127550</v>
      </c>
      <c r="B699" s="1">
        <v>45.28</v>
      </c>
      <c r="C699" s="1">
        <v>42.69</v>
      </c>
      <c r="D699">
        <v>2605</v>
      </c>
      <c r="E699" t="str">
        <f>_xlfn.XLOOKUP(A699, 'Customer Information'!$A$1:$A$1001, 'Customer Information'!$B$1:$B$1001)</f>
        <v>Low</v>
      </c>
      <c r="F699" t="str">
        <f>_xlfn.XLOOKUP(A699, 'Customer Information'!$A$1:$A$1001, 'Customer Information'!$C$1:$C$1001)</f>
        <v>Families</v>
      </c>
      <c r="G699" t="str">
        <f>_xlfn.XLOOKUP('Customer Information'!A699, 'Customer Information'!$A$1:$A$1001, 'Customer Information'!$D$1:$D$1001)</f>
        <v>Yes</v>
      </c>
      <c r="H699" t="str">
        <f>INDEX('Additional Product Info.'!$A$1:$C$1001, MATCH('Product Positioning'!$A699, 'Additional Product Info.'!$A$1:$A$1001, 0), MATCH('Product Positioning'!H$1, 'Additional Product Info.'!$A$1:$C$1, 0))</f>
        <v>Front of Store</v>
      </c>
      <c r="I699" t="str">
        <f>INDEX('Additional Product Info.'!$A$1:$C$1001, MATCH('Product Positioning'!$A699, 'Additional Product Info.'!$A$1:$A$1001, 0), MATCH('Product Positioning'!I$1, 'Additional Product Info.'!$A$1:$C$1, 0))</f>
        <v>Clothing</v>
      </c>
      <c r="J699" t="str">
        <f>_xlfn.XLOOKUP(A699, $A$1:$A$1001, 'Additional Product Info.'!$D$1:$D$1001)</f>
        <v>Yes</v>
      </c>
      <c r="K699" s="1">
        <f t="shared" si="20"/>
        <v>117954.40000000001</v>
      </c>
      <c r="L699" s="1">
        <f t="shared" si="21"/>
        <v>2.5900000000000034</v>
      </c>
      <c r="M699" t="str">
        <f>IF(L699&lt;=Statistics!$E$6,"Low Difference",IF('Product Positioning'!L699&gt;=Statistics!$E$4,"High Difference","Moderate Difference"))</f>
        <v>Moderate Difference</v>
      </c>
    </row>
    <row r="700" spans="1:13" x14ac:dyDescent="0.2">
      <c r="A700">
        <v>123557</v>
      </c>
      <c r="B700" s="1">
        <v>15.14</v>
      </c>
      <c r="C700" s="1">
        <v>11.49</v>
      </c>
      <c r="D700">
        <v>1035</v>
      </c>
      <c r="E700" t="str">
        <f>_xlfn.XLOOKUP(A700, 'Customer Information'!$A$1:$A$1001, 'Customer Information'!$B$1:$B$1001)</f>
        <v>Low</v>
      </c>
      <c r="F700" t="str">
        <f>_xlfn.XLOOKUP(A700, 'Customer Information'!$A$1:$A$1001, 'Customer Information'!$C$1:$C$1001)</f>
        <v>Seniors</v>
      </c>
      <c r="G700" t="str">
        <f>_xlfn.XLOOKUP('Customer Information'!A700, 'Customer Information'!$A$1:$A$1001, 'Customer Information'!$D$1:$D$1001)</f>
        <v>No</v>
      </c>
      <c r="H700" t="str">
        <f>INDEX('Additional Product Info.'!$A$1:$C$1001, MATCH('Product Positioning'!$A700, 'Additional Product Info.'!$A$1:$A$1001, 0), MATCH('Product Positioning'!H$1, 'Additional Product Info.'!$A$1:$C$1, 0))</f>
        <v>Front of Store</v>
      </c>
      <c r="I700" t="str">
        <f>INDEX('Additional Product Info.'!$A$1:$C$1001, MATCH('Product Positioning'!$A700, 'Additional Product Info.'!$A$1:$A$1001, 0), MATCH('Product Positioning'!I$1, 'Additional Product Info.'!$A$1:$C$1, 0))</f>
        <v>Food</v>
      </c>
      <c r="J700" t="str">
        <f>_xlfn.XLOOKUP(A700, $A$1:$A$1001, 'Additional Product Info.'!$D$1:$D$1001)</f>
        <v>Yes</v>
      </c>
      <c r="K700" s="1">
        <f t="shared" si="20"/>
        <v>15669.900000000001</v>
      </c>
      <c r="L700" s="1">
        <f t="shared" si="21"/>
        <v>3.6500000000000004</v>
      </c>
      <c r="M700" t="str">
        <f>IF(L700&lt;=Statistics!$E$6,"Low Difference",IF('Product Positioning'!L700&gt;=Statistics!$E$4,"High Difference","Moderate Difference"))</f>
        <v>Moderate Difference</v>
      </c>
    </row>
    <row r="701" spans="1:13" x14ac:dyDescent="0.2">
      <c r="A701">
        <v>140118</v>
      </c>
      <c r="B701" s="1">
        <v>41.12</v>
      </c>
      <c r="C701" s="1">
        <v>39.94</v>
      </c>
      <c r="D701">
        <v>2063</v>
      </c>
      <c r="E701" t="str">
        <f>_xlfn.XLOOKUP(A701, 'Customer Information'!$A$1:$A$1001, 'Customer Information'!$B$1:$B$1001)</f>
        <v>Medium</v>
      </c>
      <c r="F701" t="str">
        <f>_xlfn.XLOOKUP(A701, 'Customer Information'!$A$1:$A$1001, 'Customer Information'!$C$1:$C$1001)</f>
        <v>College students</v>
      </c>
      <c r="G701" t="str">
        <f>_xlfn.XLOOKUP('Customer Information'!A701, 'Customer Information'!$A$1:$A$1001, 'Customer Information'!$D$1:$D$1001)</f>
        <v>No</v>
      </c>
      <c r="H701" t="str">
        <f>INDEX('Additional Product Info.'!$A$1:$C$1001, MATCH('Product Positioning'!$A701, 'Additional Product Info.'!$A$1:$A$1001, 0), MATCH('Product Positioning'!H$1, 'Additional Product Info.'!$A$1:$C$1, 0))</f>
        <v>Aisle</v>
      </c>
      <c r="I701" t="str">
        <f>INDEX('Additional Product Info.'!$A$1:$C$1001, MATCH('Product Positioning'!$A701, 'Additional Product Info.'!$A$1:$A$1001, 0), MATCH('Product Positioning'!I$1, 'Additional Product Info.'!$A$1:$C$1, 0))</f>
        <v>Electronics</v>
      </c>
      <c r="J701" t="str">
        <f>_xlfn.XLOOKUP(A701, $A$1:$A$1001, 'Additional Product Info.'!$D$1:$D$1001)</f>
        <v>Yes</v>
      </c>
      <c r="K701" s="1">
        <f t="shared" si="20"/>
        <v>84830.56</v>
      </c>
      <c r="L701" s="1">
        <f t="shared" si="21"/>
        <v>1.1799999999999997</v>
      </c>
      <c r="M701" t="str">
        <f>IF(L701&lt;=Statistics!$E$6,"Low Difference",IF('Product Positioning'!L701&gt;=Statistics!$E$4,"High Difference","Moderate Difference"))</f>
        <v>Moderate Difference</v>
      </c>
    </row>
    <row r="702" spans="1:13" x14ac:dyDescent="0.2">
      <c r="A702">
        <v>172912</v>
      </c>
      <c r="B702" s="1">
        <v>40.01</v>
      </c>
      <c r="C702" s="1">
        <v>38.86</v>
      </c>
      <c r="D702">
        <v>2551</v>
      </c>
      <c r="E702" t="str">
        <f>_xlfn.XLOOKUP(A702, 'Customer Information'!$A$1:$A$1001, 'Customer Information'!$B$1:$B$1001)</f>
        <v>High</v>
      </c>
      <c r="F702" t="str">
        <f>_xlfn.XLOOKUP(A702, 'Customer Information'!$A$1:$A$1001, 'Customer Information'!$C$1:$C$1001)</f>
        <v>College students</v>
      </c>
      <c r="G702" t="str">
        <f>_xlfn.XLOOKUP('Customer Information'!A702, 'Customer Information'!$A$1:$A$1001, 'Customer Information'!$D$1:$D$1001)</f>
        <v>Yes</v>
      </c>
      <c r="H702" t="str">
        <f>INDEX('Additional Product Info.'!$A$1:$C$1001, MATCH('Product Positioning'!$A702, 'Additional Product Info.'!$A$1:$A$1001, 0), MATCH('Product Positioning'!H$1, 'Additional Product Info.'!$A$1:$C$1, 0))</f>
        <v>Front of Store</v>
      </c>
      <c r="I702" t="str">
        <f>INDEX('Additional Product Info.'!$A$1:$C$1001, MATCH('Product Positioning'!$A702, 'Additional Product Info.'!$A$1:$A$1001, 0), MATCH('Product Positioning'!I$1, 'Additional Product Info.'!$A$1:$C$1, 0))</f>
        <v>Clothing</v>
      </c>
      <c r="J702" t="str">
        <f>_xlfn.XLOOKUP(A702, $A$1:$A$1001, 'Additional Product Info.'!$D$1:$D$1001)</f>
        <v>No</v>
      </c>
      <c r="K702" s="1">
        <f t="shared" si="20"/>
        <v>102065.51</v>
      </c>
      <c r="L702" s="1">
        <f t="shared" si="21"/>
        <v>1.1499999999999986</v>
      </c>
      <c r="M702" t="str">
        <f>IF(L702&lt;=Statistics!$E$6,"Low Difference",IF('Product Positioning'!L702&gt;=Statistics!$E$4,"High Difference","Moderate Difference"))</f>
        <v>Low Difference</v>
      </c>
    </row>
    <row r="703" spans="1:13" x14ac:dyDescent="0.2">
      <c r="A703">
        <v>155610</v>
      </c>
      <c r="B703" s="1">
        <v>5.1100000000000003</v>
      </c>
      <c r="C703" s="1">
        <v>1.28</v>
      </c>
      <c r="D703">
        <v>2807</v>
      </c>
      <c r="E703" t="str">
        <f>_xlfn.XLOOKUP(A703, 'Customer Information'!$A$1:$A$1001, 'Customer Information'!$B$1:$B$1001)</f>
        <v>Low</v>
      </c>
      <c r="F703" t="str">
        <f>_xlfn.XLOOKUP(A703, 'Customer Information'!$A$1:$A$1001, 'Customer Information'!$C$1:$C$1001)</f>
        <v>College students</v>
      </c>
      <c r="G703" t="str">
        <f>_xlfn.XLOOKUP('Customer Information'!A703, 'Customer Information'!$A$1:$A$1001, 'Customer Information'!$D$1:$D$1001)</f>
        <v>No</v>
      </c>
      <c r="H703" t="str">
        <f>INDEX('Additional Product Info.'!$A$1:$C$1001, MATCH('Product Positioning'!$A703, 'Additional Product Info.'!$A$1:$A$1001, 0), MATCH('Product Positioning'!H$1, 'Additional Product Info.'!$A$1:$C$1, 0))</f>
        <v>Front of Store</v>
      </c>
      <c r="I703" t="str">
        <f>INDEX('Additional Product Info.'!$A$1:$C$1001, MATCH('Product Positioning'!$A703, 'Additional Product Info.'!$A$1:$A$1001, 0), MATCH('Product Positioning'!I$1, 'Additional Product Info.'!$A$1:$C$1, 0))</f>
        <v>Electronics</v>
      </c>
      <c r="J703" t="str">
        <f>_xlfn.XLOOKUP(A703, $A$1:$A$1001, 'Additional Product Info.'!$D$1:$D$1001)</f>
        <v>Yes</v>
      </c>
      <c r="K703" s="1">
        <f t="shared" si="20"/>
        <v>14343.77</v>
      </c>
      <c r="L703" s="1">
        <f t="shared" si="21"/>
        <v>3.83</v>
      </c>
      <c r="M703" t="str">
        <f>IF(L703&lt;=Statistics!$E$6,"Low Difference",IF('Product Positioning'!L703&gt;=Statistics!$E$4,"High Difference","Moderate Difference"))</f>
        <v>High Difference</v>
      </c>
    </row>
    <row r="704" spans="1:13" x14ac:dyDescent="0.2">
      <c r="A704">
        <v>160544</v>
      </c>
      <c r="B704" s="1">
        <v>45.47</v>
      </c>
      <c r="C704" s="1">
        <v>41.47</v>
      </c>
      <c r="D704">
        <v>2687</v>
      </c>
      <c r="E704" t="str">
        <f>_xlfn.XLOOKUP(A704, 'Customer Information'!$A$1:$A$1001, 'Customer Information'!$B$1:$B$1001)</f>
        <v>Medium</v>
      </c>
      <c r="F704" t="str">
        <f>_xlfn.XLOOKUP(A704, 'Customer Information'!$A$1:$A$1001, 'Customer Information'!$C$1:$C$1001)</f>
        <v>College students</v>
      </c>
      <c r="G704" t="str">
        <f>_xlfn.XLOOKUP('Customer Information'!A704, 'Customer Information'!$A$1:$A$1001, 'Customer Information'!$D$1:$D$1001)</f>
        <v>Yes</v>
      </c>
      <c r="H704" t="str">
        <f>INDEX('Additional Product Info.'!$A$1:$C$1001, MATCH('Product Positioning'!$A704, 'Additional Product Info.'!$A$1:$A$1001, 0), MATCH('Product Positioning'!H$1, 'Additional Product Info.'!$A$1:$C$1, 0))</f>
        <v>End-cap</v>
      </c>
      <c r="I704" t="str">
        <f>INDEX('Additional Product Info.'!$A$1:$C$1001, MATCH('Product Positioning'!$A704, 'Additional Product Info.'!$A$1:$A$1001, 0), MATCH('Product Positioning'!I$1, 'Additional Product Info.'!$A$1:$C$1, 0))</f>
        <v>Food</v>
      </c>
      <c r="J704" t="str">
        <f>_xlfn.XLOOKUP(A704, $A$1:$A$1001, 'Additional Product Info.'!$D$1:$D$1001)</f>
        <v>No</v>
      </c>
      <c r="K704" s="1">
        <f t="shared" si="20"/>
        <v>122177.89</v>
      </c>
      <c r="L704" s="1">
        <f t="shared" si="21"/>
        <v>4</v>
      </c>
      <c r="M704" t="str">
        <f>IF(L704&lt;=Statistics!$E$6,"Low Difference",IF('Product Positioning'!L704&gt;=Statistics!$E$4,"High Difference","Moderate Difference"))</f>
        <v>High Difference</v>
      </c>
    </row>
    <row r="705" spans="1:13" x14ac:dyDescent="0.2">
      <c r="A705">
        <v>177721</v>
      </c>
      <c r="B705" s="1">
        <v>25.2</v>
      </c>
      <c r="C705" s="1">
        <v>20.82</v>
      </c>
      <c r="D705">
        <v>2731</v>
      </c>
      <c r="E705" t="str">
        <f>_xlfn.XLOOKUP(A705, 'Customer Information'!$A$1:$A$1001, 'Customer Information'!$B$1:$B$1001)</f>
        <v>Medium</v>
      </c>
      <c r="F705" t="str">
        <f>_xlfn.XLOOKUP(A705, 'Customer Information'!$A$1:$A$1001, 'Customer Information'!$C$1:$C$1001)</f>
        <v>Seniors</v>
      </c>
      <c r="G705" t="str">
        <f>_xlfn.XLOOKUP('Customer Information'!A705, 'Customer Information'!$A$1:$A$1001, 'Customer Information'!$D$1:$D$1001)</f>
        <v>Yes</v>
      </c>
      <c r="H705" t="str">
        <f>INDEX('Additional Product Info.'!$A$1:$C$1001, MATCH('Product Positioning'!$A705, 'Additional Product Info.'!$A$1:$A$1001, 0), MATCH('Product Positioning'!H$1, 'Additional Product Info.'!$A$1:$C$1, 0))</f>
        <v>End-cap</v>
      </c>
      <c r="I705" t="str">
        <f>INDEX('Additional Product Info.'!$A$1:$C$1001, MATCH('Product Positioning'!$A705, 'Additional Product Info.'!$A$1:$A$1001, 0), MATCH('Product Positioning'!I$1, 'Additional Product Info.'!$A$1:$C$1, 0))</f>
        <v>Electronics</v>
      </c>
      <c r="J705" t="str">
        <f>_xlfn.XLOOKUP(A705, $A$1:$A$1001, 'Additional Product Info.'!$D$1:$D$1001)</f>
        <v>No</v>
      </c>
      <c r="K705" s="1">
        <f t="shared" si="20"/>
        <v>68821.2</v>
      </c>
      <c r="L705" s="1">
        <f t="shared" si="21"/>
        <v>4.379999999999999</v>
      </c>
      <c r="M705" t="str">
        <f>IF(L705&lt;=Statistics!$E$6,"Low Difference",IF('Product Positioning'!L705&gt;=Statistics!$E$4,"High Difference","Moderate Difference"))</f>
        <v>High Difference</v>
      </c>
    </row>
    <row r="706" spans="1:13" x14ac:dyDescent="0.2">
      <c r="A706">
        <v>199735</v>
      </c>
      <c r="B706" s="1">
        <v>41</v>
      </c>
      <c r="C706" s="1">
        <v>40.35</v>
      </c>
      <c r="D706">
        <v>1176</v>
      </c>
      <c r="E706" t="str">
        <f>_xlfn.XLOOKUP(A706, 'Customer Information'!$A$1:$A$1001, 'Customer Information'!$B$1:$B$1001)</f>
        <v>Low</v>
      </c>
      <c r="F706" t="str">
        <f>_xlfn.XLOOKUP(A706, 'Customer Information'!$A$1:$A$1001, 'Customer Information'!$C$1:$C$1001)</f>
        <v>Seniors</v>
      </c>
      <c r="G706" t="str">
        <f>_xlfn.XLOOKUP('Customer Information'!A706, 'Customer Information'!$A$1:$A$1001, 'Customer Information'!$D$1:$D$1001)</f>
        <v>Yes</v>
      </c>
      <c r="H706" t="str">
        <f>INDEX('Additional Product Info.'!$A$1:$C$1001, MATCH('Product Positioning'!$A706, 'Additional Product Info.'!$A$1:$A$1001, 0), MATCH('Product Positioning'!H$1, 'Additional Product Info.'!$A$1:$C$1, 0))</f>
        <v>Aisle</v>
      </c>
      <c r="I706" t="str">
        <f>INDEX('Additional Product Info.'!$A$1:$C$1001, MATCH('Product Positioning'!$A706, 'Additional Product Info.'!$A$1:$A$1001, 0), MATCH('Product Positioning'!I$1, 'Additional Product Info.'!$A$1:$C$1, 0))</f>
        <v>Electronics</v>
      </c>
      <c r="J706" t="str">
        <f>_xlfn.XLOOKUP(A706, $A$1:$A$1001, 'Additional Product Info.'!$D$1:$D$1001)</f>
        <v>No</v>
      </c>
      <c r="K706" s="1">
        <f t="shared" ref="K706:K769" si="22">B706*D706</f>
        <v>48216</v>
      </c>
      <c r="L706" s="1">
        <f t="shared" ref="L706:L769" si="23">ABS(B706-C706)</f>
        <v>0.64999999999999858</v>
      </c>
      <c r="M706" t="str">
        <f>IF(L706&lt;=Statistics!$E$6,"Low Difference",IF('Product Positioning'!L706&gt;=Statistics!$E$4,"High Difference","Moderate Difference"))</f>
        <v>Low Difference</v>
      </c>
    </row>
    <row r="707" spans="1:13" x14ac:dyDescent="0.2">
      <c r="A707">
        <v>164553</v>
      </c>
      <c r="B707" s="1">
        <v>6.66</v>
      </c>
      <c r="C707" s="1">
        <v>3.09</v>
      </c>
      <c r="D707">
        <v>1826</v>
      </c>
      <c r="E707" t="str">
        <f>_xlfn.XLOOKUP(A707, 'Customer Information'!$A$1:$A$1001, 'Customer Information'!$B$1:$B$1001)</f>
        <v>High</v>
      </c>
      <c r="F707" t="str">
        <f>_xlfn.XLOOKUP(A707, 'Customer Information'!$A$1:$A$1001, 'Customer Information'!$C$1:$C$1001)</f>
        <v>Families</v>
      </c>
      <c r="G707" t="str">
        <f>_xlfn.XLOOKUP('Customer Information'!A707, 'Customer Information'!$A$1:$A$1001, 'Customer Information'!$D$1:$D$1001)</f>
        <v>No</v>
      </c>
      <c r="H707" t="str">
        <f>INDEX('Additional Product Info.'!$A$1:$C$1001, MATCH('Product Positioning'!$A707, 'Additional Product Info.'!$A$1:$A$1001, 0), MATCH('Product Positioning'!H$1, 'Additional Product Info.'!$A$1:$C$1, 0))</f>
        <v>End-cap</v>
      </c>
      <c r="I707" t="str">
        <f>INDEX('Additional Product Info.'!$A$1:$C$1001, MATCH('Product Positioning'!$A707, 'Additional Product Info.'!$A$1:$A$1001, 0), MATCH('Product Positioning'!I$1, 'Additional Product Info.'!$A$1:$C$1, 0))</f>
        <v>Clothing</v>
      </c>
      <c r="J707" t="str">
        <f>_xlfn.XLOOKUP(A707, $A$1:$A$1001, 'Additional Product Info.'!$D$1:$D$1001)</f>
        <v>Yes</v>
      </c>
      <c r="K707" s="1">
        <f t="shared" si="22"/>
        <v>12161.16</v>
      </c>
      <c r="L707" s="1">
        <f t="shared" si="23"/>
        <v>3.5700000000000003</v>
      </c>
      <c r="M707" t="str">
        <f>IF(L707&lt;=Statistics!$E$6,"Low Difference",IF('Product Positioning'!L707&gt;=Statistics!$E$4,"High Difference","Moderate Difference"))</f>
        <v>Moderate Difference</v>
      </c>
    </row>
    <row r="708" spans="1:13" x14ac:dyDescent="0.2">
      <c r="A708">
        <v>160829</v>
      </c>
      <c r="B708" s="1">
        <v>28.09</v>
      </c>
      <c r="C708" s="1">
        <v>26</v>
      </c>
      <c r="D708">
        <v>1985</v>
      </c>
      <c r="E708" t="str">
        <f>_xlfn.XLOOKUP(A708, 'Customer Information'!$A$1:$A$1001, 'Customer Information'!$B$1:$B$1001)</f>
        <v>Low</v>
      </c>
      <c r="F708" t="str">
        <f>_xlfn.XLOOKUP(A708, 'Customer Information'!$A$1:$A$1001, 'Customer Information'!$C$1:$C$1001)</f>
        <v>Young adults</v>
      </c>
      <c r="G708" t="str">
        <f>_xlfn.XLOOKUP('Customer Information'!A708, 'Customer Information'!$A$1:$A$1001, 'Customer Information'!$D$1:$D$1001)</f>
        <v>No</v>
      </c>
      <c r="H708" t="str">
        <f>INDEX('Additional Product Info.'!$A$1:$C$1001, MATCH('Product Positioning'!$A708, 'Additional Product Info.'!$A$1:$A$1001, 0), MATCH('Product Positioning'!H$1, 'Additional Product Info.'!$A$1:$C$1, 0))</f>
        <v>Front of Store</v>
      </c>
      <c r="I708" t="str">
        <f>INDEX('Additional Product Info.'!$A$1:$C$1001, MATCH('Product Positioning'!$A708, 'Additional Product Info.'!$A$1:$A$1001, 0), MATCH('Product Positioning'!I$1, 'Additional Product Info.'!$A$1:$C$1, 0))</f>
        <v>Clothing</v>
      </c>
      <c r="J708" t="str">
        <f>_xlfn.XLOOKUP(A708, $A$1:$A$1001, 'Additional Product Info.'!$D$1:$D$1001)</f>
        <v>Yes</v>
      </c>
      <c r="K708" s="1">
        <f t="shared" si="22"/>
        <v>55758.65</v>
      </c>
      <c r="L708" s="1">
        <f t="shared" si="23"/>
        <v>2.09</v>
      </c>
      <c r="M708" t="str">
        <f>IF(L708&lt;=Statistics!$E$6,"Low Difference",IF('Product Positioning'!L708&gt;=Statistics!$E$4,"High Difference","Moderate Difference"))</f>
        <v>Moderate Difference</v>
      </c>
    </row>
    <row r="709" spans="1:13" x14ac:dyDescent="0.2">
      <c r="A709">
        <v>189316</v>
      </c>
      <c r="B709" s="1">
        <v>33.94</v>
      </c>
      <c r="C709" s="1">
        <v>32.880000000000003</v>
      </c>
      <c r="D709">
        <v>2262</v>
      </c>
      <c r="E709" t="str">
        <f>_xlfn.XLOOKUP(A709, 'Customer Information'!$A$1:$A$1001, 'Customer Information'!$B$1:$B$1001)</f>
        <v>Medium</v>
      </c>
      <c r="F709" t="str">
        <f>_xlfn.XLOOKUP(A709, 'Customer Information'!$A$1:$A$1001, 'Customer Information'!$C$1:$C$1001)</f>
        <v>College students</v>
      </c>
      <c r="G709" t="str">
        <f>_xlfn.XLOOKUP('Customer Information'!A709, 'Customer Information'!$A$1:$A$1001, 'Customer Information'!$D$1:$D$1001)</f>
        <v>No</v>
      </c>
      <c r="H709" t="str">
        <f>INDEX('Additional Product Info.'!$A$1:$C$1001, MATCH('Product Positioning'!$A709, 'Additional Product Info.'!$A$1:$A$1001, 0), MATCH('Product Positioning'!H$1, 'Additional Product Info.'!$A$1:$C$1, 0))</f>
        <v>Front of Store</v>
      </c>
      <c r="I709" t="str">
        <f>INDEX('Additional Product Info.'!$A$1:$C$1001, MATCH('Product Positioning'!$A709, 'Additional Product Info.'!$A$1:$A$1001, 0), MATCH('Product Positioning'!I$1, 'Additional Product Info.'!$A$1:$C$1, 0))</f>
        <v>Clothing</v>
      </c>
      <c r="J709" t="str">
        <f>_xlfn.XLOOKUP(A709, $A$1:$A$1001, 'Additional Product Info.'!$D$1:$D$1001)</f>
        <v>Yes</v>
      </c>
      <c r="K709" s="1">
        <f t="shared" si="22"/>
        <v>76772.28</v>
      </c>
      <c r="L709" s="1">
        <f t="shared" si="23"/>
        <v>1.0599999999999952</v>
      </c>
      <c r="M709" t="str">
        <f>IF(L709&lt;=Statistics!$E$6,"Low Difference",IF('Product Positioning'!L709&gt;=Statistics!$E$4,"High Difference","Moderate Difference"))</f>
        <v>Low Difference</v>
      </c>
    </row>
    <row r="710" spans="1:13" x14ac:dyDescent="0.2">
      <c r="A710">
        <v>110815</v>
      </c>
      <c r="B710" s="1">
        <v>42.48</v>
      </c>
      <c r="C710" s="1">
        <v>42.36</v>
      </c>
      <c r="D710">
        <v>1672</v>
      </c>
      <c r="E710" t="str">
        <f>_xlfn.XLOOKUP(A710, 'Customer Information'!$A$1:$A$1001, 'Customer Information'!$B$1:$B$1001)</f>
        <v>High</v>
      </c>
      <c r="F710" t="str">
        <f>_xlfn.XLOOKUP(A710, 'Customer Information'!$A$1:$A$1001, 'Customer Information'!$C$1:$C$1001)</f>
        <v>Young adults</v>
      </c>
      <c r="G710" t="str">
        <f>_xlfn.XLOOKUP('Customer Information'!A710, 'Customer Information'!$A$1:$A$1001, 'Customer Information'!$D$1:$D$1001)</f>
        <v>No</v>
      </c>
      <c r="H710" t="str">
        <f>INDEX('Additional Product Info.'!$A$1:$C$1001, MATCH('Product Positioning'!$A710, 'Additional Product Info.'!$A$1:$A$1001, 0), MATCH('Product Positioning'!H$1, 'Additional Product Info.'!$A$1:$C$1, 0))</f>
        <v>Aisle</v>
      </c>
      <c r="I710" t="str">
        <f>INDEX('Additional Product Info.'!$A$1:$C$1001, MATCH('Product Positioning'!$A710, 'Additional Product Info.'!$A$1:$A$1001, 0), MATCH('Product Positioning'!I$1, 'Additional Product Info.'!$A$1:$C$1, 0))</f>
        <v>Electronics</v>
      </c>
      <c r="J710" t="str">
        <f>_xlfn.XLOOKUP(A710, $A$1:$A$1001, 'Additional Product Info.'!$D$1:$D$1001)</f>
        <v>No</v>
      </c>
      <c r="K710" s="1">
        <f t="shared" si="22"/>
        <v>71026.559999999998</v>
      </c>
      <c r="L710" s="1">
        <f t="shared" si="23"/>
        <v>0.11999999999999744</v>
      </c>
      <c r="M710" t="str">
        <f>IF(L710&lt;=Statistics!$E$6,"Low Difference",IF('Product Positioning'!L710&gt;=Statistics!$E$4,"High Difference","Moderate Difference"))</f>
        <v>Low Difference</v>
      </c>
    </row>
    <row r="711" spans="1:13" x14ac:dyDescent="0.2">
      <c r="A711">
        <v>173823</v>
      </c>
      <c r="B711" s="1">
        <v>46.95</v>
      </c>
      <c r="C711" s="1">
        <v>46.69</v>
      </c>
      <c r="D711">
        <v>2732</v>
      </c>
      <c r="E711" t="str">
        <f>_xlfn.XLOOKUP(A711, 'Customer Information'!$A$1:$A$1001, 'Customer Information'!$B$1:$B$1001)</f>
        <v>High</v>
      </c>
      <c r="F711" t="str">
        <f>_xlfn.XLOOKUP(A711, 'Customer Information'!$A$1:$A$1001, 'Customer Information'!$C$1:$C$1001)</f>
        <v>Young adults</v>
      </c>
      <c r="G711" t="str">
        <f>_xlfn.XLOOKUP('Customer Information'!A711, 'Customer Information'!$A$1:$A$1001, 'Customer Information'!$D$1:$D$1001)</f>
        <v>Yes</v>
      </c>
      <c r="H711" t="str">
        <f>INDEX('Additional Product Info.'!$A$1:$C$1001, MATCH('Product Positioning'!$A711, 'Additional Product Info.'!$A$1:$A$1001, 0), MATCH('Product Positioning'!H$1, 'Additional Product Info.'!$A$1:$C$1, 0))</f>
        <v>Front of Store</v>
      </c>
      <c r="I711" t="str">
        <f>INDEX('Additional Product Info.'!$A$1:$C$1001, MATCH('Product Positioning'!$A711, 'Additional Product Info.'!$A$1:$A$1001, 0), MATCH('Product Positioning'!I$1, 'Additional Product Info.'!$A$1:$C$1, 0))</f>
        <v>Electronics</v>
      </c>
      <c r="J711" t="str">
        <f>_xlfn.XLOOKUP(A711, $A$1:$A$1001, 'Additional Product Info.'!$D$1:$D$1001)</f>
        <v>Yes</v>
      </c>
      <c r="K711" s="1">
        <f t="shared" si="22"/>
        <v>128267.40000000001</v>
      </c>
      <c r="L711" s="1">
        <f t="shared" si="23"/>
        <v>0.26000000000000512</v>
      </c>
      <c r="M711" t="str">
        <f>IF(L711&lt;=Statistics!$E$6,"Low Difference",IF('Product Positioning'!L711&gt;=Statistics!$E$4,"High Difference","Moderate Difference"))</f>
        <v>Low Difference</v>
      </c>
    </row>
    <row r="712" spans="1:13" x14ac:dyDescent="0.2">
      <c r="A712">
        <v>189791</v>
      </c>
      <c r="B712" s="1">
        <v>15.37</v>
      </c>
      <c r="C712" s="1">
        <v>13.64</v>
      </c>
      <c r="D712">
        <v>1360</v>
      </c>
      <c r="E712" t="str">
        <f>_xlfn.XLOOKUP(A712, 'Customer Information'!$A$1:$A$1001, 'Customer Information'!$B$1:$B$1001)</f>
        <v>High</v>
      </c>
      <c r="F712" t="str">
        <f>_xlfn.XLOOKUP(A712, 'Customer Information'!$A$1:$A$1001, 'Customer Information'!$C$1:$C$1001)</f>
        <v>College students</v>
      </c>
      <c r="G712" t="str">
        <f>_xlfn.XLOOKUP('Customer Information'!A712, 'Customer Information'!$A$1:$A$1001, 'Customer Information'!$D$1:$D$1001)</f>
        <v>No</v>
      </c>
      <c r="H712" t="str">
        <f>INDEX('Additional Product Info.'!$A$1:$C$1001, MATCH('Product Positioning'!$A712, 'Additional Product Info.'!$A$1:$A$1001, 0), MATCH('Product Positioning'!H$1, 'Additional Product Info.'!$A$1:$C$1, 0))</f>
        <v>End-cap</v>
      </c>
      <c r="I712" t="str">
        <f>INDEX('Additional Product Info.'!$A$1:$C$1001, MATCH('Product Positioning'!$A712, 'Additional Product Info.'!$A$1:$A$1001, 0), MATCH('Product Positioning'!I$1, 'Additional Product Info.'!$A$1:$C$1, 0))</f>
        <v>Food</v>
      </c>
      <c r="J712" t="str">
        <f>_xlfn.XLOOKUP(A712, $A$1:$A$1001, 'Additional Product Info.'!$D$1:$D$1001)</f>
        <v>Yes</v>
      </c>
      <c r="K712" s="1">
        <f t="shared" si="22"/>
        <v>20903.2</v>
      </c>
      <c r="L712" s="1">
        <f t="shared" si="23"/>
        <v>1.7299999999999986</v>
      </c>
      <c r="M712" t="str">
        <f>IF(L712&lt;=Statistics!$E$6,"Low Difference",IF('Product Positioning'!L712&gt;=Statistics!$E$4,"High Difference","Moderate Difference"))</f>
        <v>Moderate Difference</v>
      </c>
    </row>
    <row r="713" spans="1:13" x14ac:dyDescent="0.2">
      <c r="A713">
        <v>180074</v>
      </c>
      <c r="B713" s="1">
        <v>18.25</v>
      </c>
      <c r="C713" s="1">
        <v>14.38</v>
      </c>
      <c r="D713">
        <v>2608</v>
      </c>
      <c r="E713" t="str">
        <f>_xlfn.XLOOKUP(A713, 'Customer Information'!$A$1:$A$1001, 'Customer Information'!$B$1:$B$1001)</f>
        <v>Low</v>
      </c>
      <c r="F713" t="str">
        <f>_xlfn.XLOOKUP(A713, 'Customer Information'!$A$1:$A$1001, 'Customer Information'!$C$1:$C$1001)</f>
        <v>Families</v>
      </c>
      <c r="G713" t="str">
        <f>_xlfn.XLOOKUP('Customer Information'!A713, 'Customer Information'!$A$1:$A$1001, 'Customer Information'!$D$1:$D$1001)</f>
        <v>Yes</v>
      </c>
      <c r="H713" t="str">
        <f>INDEX('Additional Product Info.'!$A$1:$C$1001, MATCH('Product Positioning'!$A713, 'Additional Product Info.'!$A$1:$A$1001, 0), MATCH('Product Positioning'!H$1, 'Additional Product Info.'!$A$1:$C$1, 0))</f>
        <v>End-cap</v>
      </c>
      <c r="I713" t="str">
        <f>INDEX('Additional Product Info.'!$A$1:$C$1001, MATCH('Product Positioning'!$A713, 'Additional Product Info.'!$A$1:$A$1001, 0), MATCH('Product Positioning'!I$1, 'Additional Product Info.'!$A$1:$C$1, 0))</f>
        <v>Clothing</v>
      </c>
      <c r="J713" t="str">
        <f>_xlfn.XLOOKUP(A713, $A$1:$A$1001, 'Additional Product Info.'!$D$1:$D$1001)</f>
        <v>Yes</v>
      </c>
      <c r="K713" s="1">
        <f t="shared" si="22"/>
        <v>47596</v>
      </c>
      <c r="L713" s="1">
        <f t="shared" si="23"/>
        <v>3.8699999999999992</v>
      </c>
      <c r="M713" t="str">
        <f>IF(L713&lt;=Statistics!$E$6,"Low Difference",IF('Product Positioning'!L713&gt;=Statistics!$E$4,"High Difference","Moderate Difference"))</f>
        <v>High Difference</v>
      </c>
    </row>
    <row r="714" spans="1:13" x14ac:dyDescent="0.2">
      <c r="A714">
        <v>131689</v>
      </c>
      <c r="B714" s="1">
        <v>42.43</v>
      </c>
      <c r="C714" s="1">
        <v>41.76</v>
      </c>
      <c r="D714">
        <v>1833</v>
      </c>
      <c r="E714" t="str">
        <f>_xlfn.XLOOKUP(A714, 'Customer Information'!$A$1:$A$1001, 'Customer Information'!$B$1:$B$1001)</f>
        <v>Low</v>
      </c>
      <c r="F714" t="str">
        <f>_xlfn.XLOOKUP(A714, 'Customer Information'!$A$1:$A$1001, 'Customer Information'!$C$1:$C$1001)</f>
        <v>Families</v>
      </c>
      <c r="G714" t="str">
        <f>_xlfn.XLOOKUP('Customer Information'!A714, 'Customer Information'!$A$1:$A$1001, 'Customer Information'!$D$1:$D$1001)</f>
        <v>No</v>
      </c>
      <c r="H714" t="str">
        <f>INDEX('Additional Product Info.'!$A$1:$C$1001, MATCH('Product Positioning'!$A714, 'Additional Product Info.'!$A$1:$A$1001, 0), MATCH('Product Positioning'!H$1, 'Additional Product Info.'!$A$1:$C$1, 0))</f>
        <v>Front of Store</v>
      </c>
      <c r="I714" t="str">
        <f>INDEX('Additional Product Info.'!$A$1:$C$1001, MATCH('Product Positioning'!$A714, 'Additional Product Info.'!$A$1:$A$1001, 0), MATCH('Product Positioning'!I$1, 'Additional Product Info.'!$A$1:$C$1, 0))</f>
        <v>Food</v>
      </c>
      <c r="J714" t="str">
        <f>_xlfn.XLOOKUP(A714, $A$1:$A$1001, 'Additional Product Info.'!$D$1:$D$1001)</f>
        <v>Yes</v>
      </c>
      <c r="K714" s="1">
        <f t="shared" si="22"/>
        <v>77774.19</v>
      </c>
      <c r="L714" s="1">
        <f t="shared" si="23"/>
        <v>0.67000000000000171</v>
      </c>
      <c r="M714" t="str">
        <f>IF(L714&lt;=Statistics!$E$6,"Low Difference",IF('Product Positioning'!L714&gt;=Statistics!$E$4,"High Difference","Moderate Difference"))</f>
        <v>Low Difference</v>
      </c>
    </row>
    <row r="715" spans="1:13" x14ac:dyDescent="0.2">
      <c r="A715">
        <v>145573</v>
      </c>
      <c r="B715" s="1">
        <v>43.83</v>
      </c>
      <c r="C715" s="1">
        <v>42.62</v>
      </c>
      <c r="D715">
        <v>1071</v>
      </c>
      <c r="E715" t="str">
        <f>_xlfn.XLOOKUP(A715, 'Customer Information'!$A$1:$A$1001, 'Customer Information'!$B$1:$B$1001)</f>
        <v>Medium</v>
      </c>
      <c r="F715" t="str">
        <f>_xlfn.XLOOKUP(A715, 'Customer Information'!$A$1:$A$1001, 'Customer Information'!$C$1:$C$1001)</f>
        <v>Families</v>
      </c>
      <c r="G715" t="str">
        <f>_xlfn.XLOOKUP('Customer Information'!A715, 'Customer Information'!$A$1:$A$1001, 'Customer Information'!$D$1:$D$1001)</f>
        <v>No</v>
      </c>
      <c r="H715" t="str">
        <f>INDEX('Additional Product Info.'!$A$1:$C$1001, MATCH('Product Positioning'!$A715, 'Additional Product Info.'!$A$1:$A$1001, 0), MATCH('Product Positioning'!H$1, 'Additional Product Info.'!$A$1:$C$1, 0))</f>
        <v>End-cap</v>
      </c>
      <c r="I715" t="str">
        <f>INDEX('Additional Product Info.'!$A$1:$C$1001, MATCH('Product Positioning'!$A715, 'Additional Product Info.'!$A$1:$A$1001, 0), MATCH('Product Positioning'!I$1, 'Additional Product Info.'!$A$1:$C$1, 0))</f>
        <v>Electronics</v>
      </c>
      <c r="J715" t="str">
        <f>_xlfn.XLOOKUP(A715, $A$1:$A$1001, 'Additional Product Info.'!$D$1:$D$1001)</f>
        <v>Yes</v>
      </c>
      <c r="K715" s="1">
        <f t="shared" si="22"/>
        <v>46941.93</v>
      </c>
      <c r="L715" s="1">
        <f t="shared" si="23"/>
        <v>1.2100000000000009</v>
      </c>
      <c r="M715" t="str">
        <f>IF(L715&lt;=Statistics!$E$6,"Low Difference",IF('Product Positioning'!L715&gt;=Statistics!$E$4,"High Difference","Moderate Difference"))</f>
        <v>Moderate Difference</v>
      </c>
    </row>
    <row r="716" spans="1:13" x14ac:dyDescent="0.2">
      <c r="A716">
        <v>196508</v>
      </c>
      <c r="B716" s="1">
        <v>47.98</v>
      </c>
      <c r="C716" s="1">
        <v>44.05</v>
      </c>
      <c r="D716">
        <v>1698</v>
      </c>
      <c r="E716" t="str">
        <f>_xlfn.XLOOKUP(A716, 'Customer Information'!$A$1:$A$1001, 'Customer Information'!$B$1:$B$1001)</f>
        <v>High</v>
      </c>
      <c r="F716" t="str">
        <f>_xlfn.XLOOKUP(A716, 'Customer Information'!$A$1:$A$1001, 'Customer Information'!$C$1:$C$1001)</f>
        <v>Families</v>
      </c>
      <c r="G716" t="str">
        <f>_xlfn.XLOOKUP('Customer Information'!A716, 'Customer Information'!$A$1:$A$1001, 'Customer Information'!$D$1:$D$1001)</f>
        <v>Yes</v>
      </c>
      <c r="H716" t="str">
        <f>INDEX('Additional Product Info.'!$A$1:$C$1001, MATCH('Product Positioning'!$A716, 'Additional Product Info.'!$A$1:$A$1001, 0), MATCH('Product Positioning'!H$1, 'Additional Product Info.'!$A$1:$C$1, 0))</f>
        <v>End-cap</v>
      </c>
      <c r="I716" t="str">
        <f>INDEX('Additional Product Info.'!$A$1:$C$1001, MATCH('Product Positioning'!$A716, 'Additional Product Info.'!$A$1:$A$1001, 0), MATCH('Product Positioning'!I$1, 'Additional Product Info.'!$A$1:$C$1, 0))</f>
        <v>Clothing</v>
      </c>
      <c r="J716" t="str">
        <f>_xlfn.XLOOKUP(A716, $A$1:$A$1001, 'Additional Product Info.'!$D$1:$D$1001)</f>
        <v>Yes</v>
      </c>
      <c r="K716" s="1">
        <f t="shared" si="22"/>
        <v>81470.039999999994</v>
      </c>
      <c r="L716" s="1">
        <f t="shared" si="23"/>
        <v>3.9299999999999997</v>
      </c>
      <c r="M716" t="str">
        <f>IF(L716&lt;=Statistics!$E$6,"Low Difference",IF('Product Positioning'!L716&gt;=Statistics!$E$4,"High Difference","Moderate Difference"))</f>
        <v>High Difference</v>
      </c>
    </row>
    <row r="717" spans="1:13" x14ac:dyDescent="0.2">
      <c r="A717">
        <v>159831</v>
      </c>
      <c r="B717" s="1">
        <v>36.29</v>
      </c>
      <c r="C717" s="1">
        <v>33.69</v>
      </c>
      <c r="D717">
        <v>763</v>
      </c>
      <c r="E717" t="str">
        <f>_xlfn.XLOOKUP(A717, 'Customer Information'!$A$1:$A$1001, 'Customer Information'!$B$1:$B$1001)</f>
        <v>Medium</v>
      </c>
      <c r="F717" t="str">
        <f>_xlfn.XLOOKUP(A717, 'Customer Information'!$A$1:$A$1001, 'Customer Information'!$C$1:$C$1001)</f>
        <v>College students</v>
      </c>
      <c r="G717" t="str">
        <f>_xlfn.XLOOKUP('Customer Information'!A717, 'Customer Information'!$A$1:$A$1001, 'Customer Information'!$D$1:$D$1001)</f>
        <v>No</v>
      </c>
      <c r="H717" t="str">
        <f>INDEX('Additional Product Info.'!$A$1:$C$1001, MATCH('Product Positioning'!$A717, 'Additional Product Info.'!$A$1:$A$1001, 0), MATCH('Product Positioning'!H$1, 'Additional Product Info.'!$A$1:$C$1, 0))</f>
        <v>Aisle</v>
      </c>
      <c r="I717" t="str">
        <f>INDEX('Additional Product Info.'!$A$1:$C$1001, MATCH('Product Positioning'!$A717, 'Additional Product Info.'!$A$1:$A$1001, 0), MATCH('Product Positioning'!I$1, 'Additional Product Info.'!$A$1:$C$1, 0))</f>
        <v>Electronics</v>
      </c>
      <c r="J717" t="str">
        <f>_xlfn.XLOOKUP(A717, $A$1:$A$1001, 'Additional Product Info.'!$D$1:$D$1001)</f>
        <v>No</v>
      </c>
      <c r="K717" s="1">
        <f t="shared" si="22"/>
        <v>27689.27</v>
      </c>
      <c r="L717" s="1">
        <f t="shared" si="23"/>
        <v>2.6000000000000014</v>
      </c>
      <c r="M717" t="str">
        <f>IF(L717&lt;=Statistics!$E$6,"Low Difference",IF('Product Positioning'!L717&gt;=Statistics!$E$4,"High Difference","Moderate Difference"))</f>
        <v>Moderate Difference</v>
      </c>
    </row>
    <row r="718" spans="1:13" x14ac:dyDescent="0.2">
      <c r="A718">
        <v>154409</v>
      </c>
      <c r="B718" s="1">
        <v>19.87</v>
      </c>
      <c r="C718" s="1">
        <v>19.649999999999999</v>
      </c>
      <c r="D718">
        <v>1506</v>
      </c>
      <c r="E718" t="str">
        <f>_xlfn.XLOOKUP(A718, 'Customer Information'!$A$1:$A$1001, 'Customer Information'!$B$1:$B$1001)</f>
        <v>Medium</v>
      </c>
      <c r="F718" t="str">
        <f>_xlfn.XLOOKUP(A718, 'Customer Information'!$A$1:$A$1001, 'Customer Information'!$C$1:$C$1001)</f>
        <v>College students</v>
      </c>
      <c r="G718" t="str">
        <f>_xlfn.XLOOKUP('Customer Information'!A718, 'Customer Information'!$A$1:$A$1001, 'Customer Information'!$D$1:$D$1001)</f>
        <v>No</v>
      </c>
      <c r="H718" t="str">
        <f>INDEX('Additional Product Info.'!$A$1:$C$1001, MATCH('Product Positioning'!$A718, 'Additional Product Info.'!$A$1:$A$1001, 0), MATCH('Product Positioning'!H$1, 'Additional Product Info.'!$A$1:$C$1, 0))</f>
        <v>Aisle</v>
      </c>
      <c r="I718" t="str">
        <f>INDEX('Additional Product Info.'!$A$1:$C$1001, MATCH('Product Positioning'!$A718, 'Additional Product Info.'!$A$1:$A$1001, 0), MATCH('Product Positioning'!I$1, 'Additional Product Info.'!$A$1:$C$1, 0))</f>
        <v>Food</v>
      </c>
      <c r="J718" t="str">
        <f>_xlfn.XLOOKUP(A718, $A$1:$A$1001, 'Additional Product Info.'!$D$1:$D$1001)</f>
        <v>Yes</v>
      </c>
      <c r="K718" s="1">
        <f t="shared" si="22"/>
        <v>29924.22</v>
      </c>
      <c r="L718" s="1">
        <f t="shared" si="23"/>
        <v>0.22000000000000242</v>
      </c>
      <c r="M718" t="str">
        <f>IF(L718&lt;=Statistics!$E$6,"Low Difference",IF('Product Positioning'!L718&gt;=Statistics!$E$4,"High Difference","Moderate Difference"))</f>
        <v>Low Difference</v>
      </c>
    </row>
    <row r="719" spans="1:13" x14ac:dyDescent="0.2">
      <c r="A719">
        <v>151330</v>
      </c>
      <c r="B719" s="1">
        <v>42.94</v>
      </c>
      <c r="C719" s="1">
        <v>39.979999999999997</v>
      </c>
      <c r="D719">
        <v>2353</v>
      </c>
      <c r="E719" t="str">
        <f>_xlfn.XLOOKUP(A719, 'Customer Information'!$A$1:$A$1001, 'Customer Information'!$B$1:$B$1001)</f>
        <v>Medium</v>
      </c>
      <c r="F719" t="str">
        <f>_xlfn.XLOOKUP(A719, 'Customer Information'!$A$1:$A$1001, 'Customer Information'!$C$1:$C$1001)</f>
        <v>College students</v>
      </c>
      <c r="G719" t="str">
        <f>_xlfn.XLOOKUP('Customer Information'!A719, 'Customer Information'!$A$1:$A$1001, 'Customer Information'!$D$1:$D$1001)</f>
        <v>No</v>
      </c>
      <c r="H719" t="str">
        <f>INDEX('Additional Product Info.'!$A$1:$C$1001, MATCH('Product Positioning'!$A719, 'Additional Product Info.'!$A$1:$A$1001, 0), MATCH('Product Positioning'!H$1, 'Additional Product Info.'!$A$1:$C$1, 0))</f>
        <v>Front of Store</v>
      </c>
      <c r="I719" t="str">
        <f>INDEX('Additional Product Info.'!$A$1:$C$1001, MATCH('Product Positioning'!$A719, 'Additional Product Info.'!$A$1:$A$1001, 0), MATCH('Product Positioning'!I$1, 'Additional Product Info.'!$A$1:$C$1, 0))</f>
        <v>Food</v>
      </c>
      <c r="J719" t="str">
        <f>_xlfn.XLOOKUP(A719, $A$1:$A$1001, 'Additional Product Info.'!$D$1:$D$1001)</f>
        <v>No</v>
      </c>
      <c r="K719" s="1">
        <f t="shared" si="22"/>
        <v>101037.81999999999</v>
      </c>
      <c r="L719" s="1">
        <f t="shared" si="23"/>
        <v>2.9600000000000009</v>
      </c>
      <c r="M719" t="str">
        <f>IF(L719&lt;=Statistics!$E$6,"Low Difference",IF('Product Positioning'!L719&gt;=Statistics!$E$4,"High Difference","Moderate Difference"))</f>
        <v>Moderate Difference</v>
      </c>
    </row>
    <row r="720" spans="1:13" x14ac:dyDescent="0.2">
      <c r="A720">
        <v>178721</v>
      </c>
      <c r="B720" s="1">
        <v>34.32</v>
      </c>
      <c r="C720" s="1">
        <v>30.13</v>
      </c>
      <c r="D720">
        <v>628</v>
      </c>
      <c r="E720" t="str">
        <f>_xlfn.XLOOKUP(A720, 'Customer Information'!$A$1:$A$1001, 'Customer Information'!$B$1:$B$1001)</f>
        <v>Low</v>
      </c>
      <c r="F720" t="str">
        <f>_xlfn.XLOOKUP(A720, 'Customer Information'!$A$1:$A$1001, 'Customer Information'!$C$1:$C$1001)</f>
        <v>Young adults</v>
      </c>
      <c r="G720" t="str">
        <f>_xlfn.XLOOKUP('Customer Information'!A720, 'Customer Information'!$A$1:$A$1001, 'Customer Information'!$D$1:$D$1001)</f>
        <v>No</v>
      </c>
      <c r="H720" t="str">
        <f>INDEX('Additional Product Info.'!$A$1:$C$1001, MATCH('Product Positioning'!$A720, 'Additional Product Info.'!$A$1:$A$1001, 0), MATCH('Product Positioning'!H$1, 'Additional Product Info.'!$A$1:$C$1, 0))</f>
        <v>End-cap</v>
      </c>
      <c r="I720" t="str">
        <f>INDEX('Additional Product Info.'!$A$1:$C$1001, MATCH('Product Positioning'!$A720, 'Additional Product Info.'!$A$1:$A$1001, 0), MATCH('Product Positioning'!I$1, 'Additional Product Info.'!$A$1:$C$1, 0))</f>
        <v>Electronics</v>
      </c>
      <c r="J720" t="str">
        <f>_xlfn.XLOOKUP(A720, $A$1:$A$1001, 'Additional Product Info.'!$D$1:$D$1001)</f>
        <v>No</v>
      </c>
      <c r="K720" s="1">
        <f t="shared" si="22"/>
        <v>21552.959999999999</v>
      </c>
      <c r="L720" s="1">
        <f t="shared" si="23"/>
        <v>4.1900000000000013</v>
      </c>
      <c r="M720" t="str">
        <f>IF(L720&lt;=Statistics!$E$6,"Low Difference",IF('Product Positioning'!L720&gt;=Statistics!$E$4,"High Difference","Moderate Difference"))</f>
        <v>High Difference</v>
      </c>
    </row>
    <row r="721" spans="1:13" x14ac:dyDescent="0.2">
      <c r="A721">
        <v>190370</v>
      </c>
      <c r="B721" s="1">
        <v>36.86</v>
      </c>
      <c r="C721" s="1">
        <v>35.270000000000003</v>
      </c>
      <c r="D721">
        <v>554</v>
      </c>
      <c r="E721" t="str">
        <f>_xlfn.XLOOKUP(A721, 'Customer Information'!$A$1:$A$1001, 'Customer Information'!$B$1:$B$1001)</f>
        <v>Low</v>
      </c>
      <c r="F721" t="str">
        <f>_xlfn.XLOOKUP(A721, 'Customer Information'!$A$1:$A$1001, 'Customer Information'!$C$1:$C$1001)</f>
        <v>Families</v>
      </c>
      <c r="G721" t="str">
        <f>_xlfn.XLOOKUP('Customer Information'!A721, 'Customer Information'!$A$1:$A$1001, 'Customer Information'!$D$1:$D$1001)</f>
        <v>Yes</v>
      </c>
      <c r="H721" t="str">
        <f>INDEX('Additional Product Info.'!$A$1:$C$1001, MATCH('Product Positioning'!$A721, 'Additional Product Info.'!$A$1:$A$1001, 0), MATCH('Product Positioning'!H$1, 'Additional Product Info.'!$A$1:$C$1, 0))</f>
        <v>End-cap</v>
      </c>
      <c r="I721" t="str">
        <f>INDEX('Additional Product Info.'!$A$1:$C$1001, MATCH('Product Positioning'!$A721, 'Additional Product Info.'!$A$1:$A$1001, 0), MATCH('Product Positioning'!I$1, 'Additional Product Info.'!$A$1:$C$1, 0))</f>
        <v>Clothing</v>
      </c>
      <c r="J721" t="str">
        <f>_xlfn.XLOOKUP(A721, $A$1:$A$1001, 'Additional Product Info.'!$D$1:$D$1001)</f>
        <v>Yes</v>
      </c>
      <c r="K721" s="1">
        <f t="shared" si="22"/>
        <v>20420.439999999999</v>
      </c>
      <c r="L721" s="1">
        <f t="shared" si="23"/>
        <v>1.5899999999999963</v>
      </c>
      <c r="M721" t="str">
        <f>IF(L721&lt;=Statistics!$E$6,"Low Difference",IF('Product Positioning'!L721&gt;=Statistics!$E$4,"High Difference","Moderate Difference"))</f>
        <v>Moderate Difference</v>
      </c>
    </row>
    <row r="722" spans="1:13" x14ac:dyDescent="0.2">
      <c r="A722">
        <v>171778</v>
      </c>
      <c r="B722" s="1">
        <v>34.07</v>
      </c>
      <c r="C722" s="1">
        <v>30.82</v>
      </c>
      <c r="D722">
        <v>2095</v>
      </c>
      <c r="E722" t="str">
        <f>_xlfn.XLOOKUP(A722, 'Customer Information'!$A$1:$A$1001, 'Customer Information'!$B$1:$B$1001)</f>
        <v>High</v>
      </c>
      <c r="F722" t="str">
        <f>_xlfn.XLOOKUP(A722, 'Customer Information'!$A$1:$A$1001, 'Customer Information'!$C$1:$C$1001)</f>
        <v>Families</v>
      </c>
      <c r="G722" t="str">
        <f>_xlfn.XLOOKUP('Customer Information'!A722, 'Customer Information'!$A$1:$A$1001, 'Customer Information'!$D$1:$D$1001)</f>
        <v>No</v>
      </c>
      <c r="H722" t="str">
        <f>INDEX('Additional Product Info.'!$A$1:$C$1001, MATCH('Product Positioning'!$A722, 'Additional Product Info.'!$A$1:$A$1001, 0), MATCH('Product Positioning'!H$1, 'Additional Product Info.'!$A$1:$C$1, 0))</f>
        <v>End-cap</v>
      </c>
      <c r="I722" t="str">
        <f>INDEX('Additional Product Info.'!$A$1:$C$1001, MATCH('Product Positioning'!$A722, 'Additional Product Info.'!$A$1:$A$1001, 0), MATCH('Product Positioning'!I$1, 'Additional Product Info.'!$A$1:$C$1, 0))</f>
        <v>Clothing</v>
      </c>
      <c r="J722" t="str">
        <f>_xlfn.XLOOKUP(A722, $A$1:$A$1001, 'Additional Product Info.'!$D$1:$D$1001)</f>
        <v>Yes</v>
      </c>
      <c r="K722" s="1">
        <f t="shared" si="22"/>
        <v>71376.649999999994</v>
      </c>
      <c r="L722" s="1">
        <f t="shared" si="23"/>
        <v>3.25</v>
      </c>
      <c r="M722" t="str">
        <f>IF(L722&lt;=Statistics!$E$6,"Low Difference",IF('Product Positioning'!L722&gt;=Statistics!$E$4,"High Difference","Moderate Difference"))</f>
        <v>Moderate Difference</v>
      </c>
    </row>
    <row r="723" spans="1:13" x14ac:dyDescent="0.2">
      <c r="A723">
        <v>181634</v>
      </c>
      <c r="B723" s="1">
        <v>23.99</v>
      </c>
      <c r="C723" s="1">
        <v>22.54</v>
      </c>
      <c r="D723">
        <v>2774</v>
      </c>
      <c r="E723" t="str">
        <f>_xlfn.XLOOKUP(A723, 'Customer Information'!$A$1:$A$1001, 'Customer Information'!$B$1:$B$1001)</f>
        <v>High</v>
      </c>
      <c r="F723" t="str">
        <f>_xlfn.XLOOKUP(A723, 'Customer Information'!$A$1:$A$1001, 'Customer Information'!$C$1:$C$1001)</f>
        <v>Young adults</v>
      </c>
      <c r="G723" t="str">
        <f>_xlfn.XLOOKUP('Customer Information'!A723, 'Customer Information'!$A$1:$A$1001, 'Customer Information'!$D$1:$D$1001)</f>
        <v>No</v>
      </c>
      <c r="H723" t="str">
        <f>INDEX('Additional Product Info.'!$A$1:$C$1001, MATCH('Product Positioning'!$A723, 'Additional Product Info.'!$A$1:$A$1001, 0), MATCH('Product Positioning'!H$1, 'Additional Product Info.'!$A$1:$C$1, 0))</f>
        <v>Front of Store</v>
      </c>
      <c r="I723" t="str">
        <f>INDEX('Additional Product Info.'!$A$1:$C$1001, MATCH('Product Positioning'!$A723, 'Additional Product Info.'!$A$1:$A$1001, 0), MATCH('Product Positioning'!I$1, 'Additional Product Info.'!$A$1:$C$1, 0))</f>
        <v>Clothing</v>
      </c>
      <c r="J723" t="str">
        <f>_xlfn.XLOOKUP(A723, $A$1:$A$1001, 'Additional Product Info.'!$D$1:$D$1001)</f>
        <v>Yes</v>
      </c>
      <c r="K723" s="1">
        <f t="shared" si="22"/>
        <v>66548.259999999995</v>
      </c>
      <c r="L723" s="1">
        <f t="shared" si="23"/>
        <v>1.4499999999999993</v>
      </c>
      <c r="M723" t="str">
        <f>IF(L723&lt;=Statistics!$E$6,"Low Difference",IF('Product Positioning'!L723&gt;=Statistics!$E$4,"High Difference","Moderate Difference"))</f>
        <v>Moderate Difference</v>
      </c>
    </row>
    <row r="724" spans="1:13" x14ac:dyDescent="0.2">
      <c r="A724">
        <v>146294</v>
      </c>
      <c r="B724" s="1">
        <v>11.38</v>
      </c>
      <c r="C724" s="1">
        <v>8.6</v>
      </c>
      <c r="D724">
        <v>2777</v>
      </c>
      <c r="E724" t="str">
        <f>_xlfn.XLOOKUP(A724, 'Customer Information'!$A$1:$A$1001, 'Customer Information'!$B$1:$B$1001)</f>
        <v>High</v>
      </c>
      <c r="F724" t="str">
        <f>_xlfn.XLOOKUP(A724, 'Customer Information'!$A$1:$A$1001, 'Customer Information'!$C$1:$C$1001)</f>
        <v>Young adults</v>
      </c>
      <c r="G724" t="str">
        <f>_xlfn.XLOOKUP('Customer Information'!A724, 'Customer Information'!$A$1:$A$1001, 'Customer Information'!$D$1:$D$1001)</f>
        <v>No</v>
      </c>
      <c r="H724" t="str">
        <f>INDEX('Additional Product Info.'!$A$1:$C$1001, MATCH('Product Positioning'!$A724, 'Additional Product Info.'!$A$1:$A$1001, 0), MATCH('Product Positioning'!H$1, 'Additional Product Info.'!$A$1:$C$1, 0))</f>
        <v>Front of Store</v>
      </c>
      <c r="I724" t="str">
        <f>INDEX('Additional Product Info.'!$A$1:$C$1001, MATCH('Product Positioning'!$A724, 'Additional Product Info.'!$A$1:$A$1001, 0), MATCH('Product Positioning'!I$1, 'Additional Product Info.'!$A$1:$C$1, 0))</f>
        <v>Food</v>
      </c>
      <c r="J724" t="str">
        <f>_xlfn.XLOOKUP(A724, $A$1:$A$1001, 'Additional Product Info.'!$D$1:$D$1001)</f>
        <v>Yes</v>
      </c>
      <c r="K724" s="1">
        <f t="shared" si="22"/>
        <v>31602.260000000002</v>
      </c>
      <c r="L724" s="1">
        <f t="shared" si="23"/>
        <v>2.7800000000000011</v>
      </c>
      <c r="M724" t="str">
        <f>IF(L724&lt;=Statistics!$E$6,"Low Difference",IF('Product Positioning'!L724&gt;=Statistics!$E$4,"High Difference","Moderate Difference"))</f>
        <v>Moderate Difference</v>
      </c>
    </row>
    <row r="725" spans="1:13" x14ac:dyDescent="0.2">
      <c r="A725">
        <v>113594</v>
      </c>
      <c r="B725" s="1">
        <v>24.18</v>
      </c>
      <c r="C725" s="1">
        <v>21.23</v>
      </c>
      <c r="D725">
        <v>2376</v>
      </c>
      <c r="E725" t="str">
        <f>_xlfn.XLOOKUP(A725, 'Customer Information'!$A$1:$A$1001, 'Customer Information'!$B$1:$B$1001)</f>
        <v>High</v>
      </c>
      <c r="F725" t="str">
        <f>_xlfn.XLOOKUP(A725, 'Customer Information'!$A$1:$A$1001, 'Customer Information'!$C$1:$C$1001)</f>
        <v>Seniors</v>
      </c>
      <c r="G725" t="str">
        <f>_xlfn.XLOOKUP('Customer Information'!A725, 'Customer Information'!$A$1:$A$1001, 'Customer Information'!$D$1:$D$1001)</f>
        <v>No</v>
      </c>
      <c r="H725" t="str">
        <f>INDEX('Additional Product Info.'!$A$1:$C$1001, MATCH('Product Positioning'!$A725, 'Additional Product Info.'!$A$1:$A$1001, 0), MATCH('Product Positioning'!H$1, 'Additional Product Info.'!$A$1:$C$1, 0))</f>
        <v>Front of Store</v>
      </c>
      <c r="I725" t="str">
        <f>INDEX('Additional Product Info.'!$A$1:$C$1001, MATCH('Product Positioning'!$A725, 'Additional Product Info.'!$A$1:$A$1001, 0), MATCH('Product Positioning'!I$1, 'Additional Product Info.'!$A$1:$C$1, 0))</f>
        <v>Electronics</v>
      </c>
      <c r="J725" t="str">
        <f>_xlfn.XLOOKUP(A725, $A$1:$A$1001, 'Additional Product Info.'!$D$1:$D$1001)</f>
        <v>No</v>
      </c>
      <c r="K725" s="1">
        <f t="shared" si="22"/>
        <v>57451.68</v>
      </c>
      <c r="L725" s="1">
        <f t="shared" si="23"/>
        <v>2.9499999999999993</v>
      </c>
      <c r="M725" t="str">
        <f>IF(L725&lt;=Statistics!$E$6,"Low Difference",IF('Product Positioning'!L725&gt;=Statistics!$E$4,"High Difference","Moderate Difference"))</f>
        <v>Moderate Difference</v>
      </c>
    </row>
    <row r="726" spans="1:13" x14ac:dyDescent="0.2">
      <c r="A726">
        <v>153294</v>
      </c>
      <c r="B726" s="1">
        <v>30.37</v>
      </c>
      <c r="C726" s="1">
        <v>26.67</v>
      </c>
      <c r="D726">
        <v>1279</v>
      </c>
      <c r="E726" t="str">
        <f>_xlfn.XLOOKUP(A726, 'Customer Information'!$A$1:$A$1001, 'Customer Information'!$B$1:$B$1001)</f>
        <v>Low</v>
      </c>
      <c r="F726" t="str">
        <f>_xlfn.XLOOKUP(A726, 'Customer Information'!$A$1:$A$1001, 'Customer Information'!$C$1:$C$1001)</f>
        <v>Seniors</v>
      </c>
      <c r="G726" t="str">
        <f>_xlfn.XLOOKUP('Customer Information'!A726, 'Customer Information'!$A$1:$A$1001, 'Customer Information'!$D$1:$D$1001)</f>
        <v>Yes</v>
      </c>
      <c r="H726" t="str">
        <f>INDEX('Additional Product Info.'!$A$1:$C$1001, MATCH('Product Positioning'!$A726, 'Additional Product Info.'!$A$1:$A$1001, 0), MATCH('Product Positioning'!H$1, 'Additional Product Info.'!$A$1:$C$1, 0))</f>
        <v>End-cap</v>
      </c>
      <c r="I726" t="str">
        <f>INDEX('Additional Product Info.'!$A$1:$C$1001, MATCH('Product Positioning'!$A726, 'Additional Product Info.'!$A$1:$A$1001, 0), MATCH('Product Positioning'!I$1, 'Additional Product Info.'!$A$1:$C$1, 0))</f>
        <v>Electronics</v>
      </c>
      <c r="J726" t="str">
        <f>_xlfn.XLOOKUP(A726, $A$1:$A$1001, 'Additional Product Info.'!$D$1:$D$1001)</f>
        <v>No</v>
      </c>
      <c r="K726" s="1">
        <f t="shared" si="22"/>
        <v>38843.230000000003</v>
      </c>
      <c r="L726" s="1">
        <f t="shared" si="23"/>
        <v>3.6999999999999993</v>
      </c>
      <c r="M726" t="str">
        <f>IF(L726&lt;=Statistics!$E$6,"Low Difference",IF('Product Positioning'!L726&gt;=Statistics!$E$4,"High Difference","Moderate Difference"))</f>
        <v>Moderate Difference</v>
      </c>
    </row>
    <row r="727" spans="1:13" x14ac:dyDescent="0.2">
      <c r="A727">
        <v>191154</v>
      </c>
      <c r="B727" s="1">
        <v>38.81</v>
      </c>
      <c r="C727" s="1">
        <v>36.770000000000003</v>
      </c>
      <c r="D727">
        <v>836</v>
      </c>
      <c r="E727" t="str">
        <f>_xlfn.XLOOKUP(A727, 'Customer Information'!$A$1:$A$1001, 'Customer Information'!$B$1:$B$1001)</f>
        <v>Medium</v>
      </c>
      <c r="F727" t="str">
        <f>_xlfn.XLOOKUP(A727, 'Customer Information'!$A$1:$A$1001, 'Customer Information'!$C$1:$C$1001)</f>
        <v>Seniors</v>
      </c>
      <c r="G727" t="str">
        <f>_xlfn.XLOOKUP('Customer Information'!A727, 'Customer Information'!$A$1:$A$1001, 'Customer Information'!$D$1:$D$1001)</f>
        <v>No</v>
      </c>
      <c r="H727" t="str">
        <f>INDEX('Additional Product Info.'!$A$1:$C$1001, MATCH('Product Positioning'!$A727, 'Additional Product Info.'!$A$1:$A$1001, 0), MATCH('Product Positioning'!H$1, 'Additional Product Info.'!$A$1:$C$1, 0))</f>
        <v>End-cap</v>
      </c>
      <c r="I727" t="str">
        <f>INDEX('Additional Product Info.'!$A$1:$C$1001, MATCH('Product Positioning'!$A727, 'Additional Product Info.'!$A$1:$A$1001, 0), MATCH('Product Positioning'!I$1, 'Additional Product Info.'!$A$1:$C$1, 0))</f>
        <v>Clothing</v>
      </c>
      <c r="J727" t="str">
        <f>_xlfn.XLOOKUP(A727, $A$1:$A$1001, 'Additional Product Info.'!$D$1:$D$1001)</f>
        <v>No</v>
      </c>
      <c r="K727" s="1">
        <f t="shared" si="22"/>
        <v>32445.160000000003</v>
      </c>
      <c r="L727" s="1">
        <f t="shared" si="23"/>
        <v>2.0399999999999991</v>
      </c>
      <c r="M727" t="str">
        <f>IF(L727&lt;=Statistics!$E$6,"Low Difference",IF('Product Positioning'!L727&gt;=Statistics!$E$4,"High Difference","Moderate Difference"))</f>
        <v>Moderate Difference</v>
      </c>
    </row>
    <row r="728" spans="1:13" x14ac:dyDescent="0.2">
      <c r="A728">
        <v>154870</v>
      </c>
      <c r="B728" s="1">
        <v>8.52</v>
      </c>
      <c r="C728" s="1">
        <v>5.1100000000000003</v>
      </c>
      <c r="D728">
        <v>1793</v>
      </c>
      <c r="E728" t="str">
        <f>_xlfn.XLOOKUP(A728, 'Customer Information'!$A$1:$A$1001, 'Customer Information'!$B$1:$B$1001)</f>
        <v>Low</v>
      </c>
      <c r="F728" t="str">
        <f>_xlfn.XLOOKUP(A728, 'Customer Information'!$A$1:$A$1001, 'Customer Information'!$C$1:$C$1001)</f>
        <v>Young adults</v>
      </c>
      <c r="G728" t="str">
        <f>_xlfn.XLOOKUP('Customer Information'!A728, 'Customer Information'!$A$1:$A$1001, 'Customer Information'!$D$1:$D$1001)</f>
        <v>Yes</v>
      </c>
      <c r="H728" t="str">
        <f>INDEX('Additional Product Info.'!$A$1:$C$1001, MATCH('Product Positioning'!$A728, 'Additional Product Info.'!$A$1:$A$1001, 0), MATCH('Product Positioning'!H$1, 'Additional Product Info.'!$A$1:$C$1, 0))</f>
        <v>Front of Store</v>
      </c>
      <c r="I728" t="str">
        <f>INDEX('Additional Product Info.'!$A$1:$C$1001, MATCH('Product Positioning'!$A728, 'Additional Product Info.'!$A$1:$A$1001, 0), MATCH('Product Positioning'!I$1, 'Additional Product Info.'!$A$1:$C$1, 0))</f>
        <v>Clothing</v>
      </c>
      <c r="J728" t="str">
        <f>_xlfn.XLOOKUP(A728, $A$1:$A$1001, 'Additional Product Info.'!$D$1:$D$1001)</f>
        <v>Yes</v>
      </c>
      <c r="K728" s="1">
        <f t="shared" si="22"/>
        <v>15276.359999999999</v>
      </c>
      <c r="L728" s="1">
        <f t="shared" si="23"/>
        <v>3.4099999999999993</v>
      </c>
      <c r="M728" t="str">
        <f>IF(L728&lt;=Statistics!$E$6,"Low Difference",IF('Product Positioning'!L728&gt;=Statistics!$E$4,"High Difference","Moderate Difference"))</f>
        <v>Moderate Difference</v>
      </c>
    </row>
    <row r="729" spans="1:13" x14ac:dyDescent="0.2">
      <c r="A729">
        <v>145558</v>
      </c>
      <c r="B729" s="1">
        <v>10.78</v>
      </c>
      <c r="C729" s="1">
        <v>8.58</v>
      </c>
      <c r="D729">
        <v>2728</v>
      </c>
      <c r="E729" t="str">
        <f>_xlfn.XLOOKUP(A729, 'Customer Information'!$A$1:$A$1001, 'Customer Information'!$B$1:$B$1001)</f>
        <v>Low</v>
      </c>
      <c r="F729" t="str">
        <f>_xlfn.XLOOKUP(A729, 'Customer Information'!$A$1:$A$1001, 'Customer Information'!$C$1:$C$1001)</f>
        <v>Families</v>
      </c>
      <c r="G729" t="str">
        <f>_xlfn.XLOOKUP('Customer Information'!A729, 'Customer Information'!$A$1:$A$1001, 'Customer Information'!$D$1:$D$1001)</f>
        <v>Yes</v>
      </c>
      <c r="H729" t="str">
        <f>INDEX('Additional Product Info.'!$A$1:$C$1001, MATCH('Product Positioning'!$A729, 'Additional Product Info.'!$A$1:$A$1001, 0), MATCH('Product Positioning'!H$1, 'Additional Product Info.'!$A$1:$C$1, 0))</f>
        <v>End-cap</v>
      </c>
      <c r="I729" t="str">
        <f>INDEX('Additional Product Info.'!$A$1:$C$1001, MATCH('Product Positioning'!$A729, 'Additional Product Info.'!$A$1:$A$1001, 0), MATCH('Product Positioning'!I$1, 'Additional Product Info.'!$A$1:$C$1, 0))</f>
        <v>Clothing</v>
      </c>
      <c r="J729" t="str">
        <f>_xlfn.XLOOKUP(A729, $A$1:$A$1001, 'Additional Product Info.'!$D$1:$D$1001)</f>
        <v>No</v>
      </c>
      <c r="K729" s="1">
        <f t="shared" si="22"/>
        <v>29407.839999999997</v>
      </c>
      <c r="L729" s="1">
        <f t="shared" si="23"/>
        <v>2.1999999999999993</v>
      </c>
      <c r="M729" t="str">
        <f>IF(L729&lt;=Statistics!$E$6,"Low Difference",IF('Product Positioning'!L729&gt;=Statistics!$E$4,"High Difference","Moderate Difference"))</f>
        <v>Moderate Difference</v>
      </c>
    </row>
    <row r="730" spans="1:13" x14ac:dyDescent="0.2">
      <c r="A730">
        <v>135809</v>
      </c>
      <c r="B730" s="1">
        <v>18.899999999999999</v>
      </c>
      <c r="C730" s="1">
        <v>18.48</v>
      </c>
      <c r="D730">
        <v>1780</v>
      </c>
      <c r="E730" t="str">
        <f>_xlfn.XLOOKUP(A730, 'Customer Information'!$A$1:$A$1001, 'Customer Information'!$B$1:$B$1001)</f>
        <v>Low</v>
      </c>
      <c r="F730" t="str">
        <f>_xlfn.XLOOKUP(A730, 'Customer Information'!$A$1:$A$1001, 'Customer Information'!$C$1:$C$1001)</f>
        <v>Young adults</v>
      </c>
      <c r="G730" t="str">
        <f>_xlfn.XLOOKUP('Customer Information'!A730, 'Customer Information'!$A$1:$A$1001, 'Customer Information'!$D$1:$D$1001)</f>
        <v>Yes</v>
      </c>
      <c r="H730" t="str">
        <f>INDEX('Additional Product Info.'!$A$1:$C$1001, MATCH('Product Positioning'!$A730, 'Additional Product Info.'!$A$1:$A$1001, 0), MATCH('Product Positioning'!H$1, 'Additional Product Info.'!$A$1:$C$1, 0))</f>
        <v>Front of Store</v>
      </c>
      <c r="I730" t="str">
        <f>INDEX('Additional Product Info.'!$A$1:$C$1001, MATCH('Product Positioning'!$A730, 'Additional Product Info.'!$A$1:$A$1001, 0), MATCH('Product Positioning'!I$1, 'Additional Product Info.'!$A$1:$C$1, 0))</f>
        <v>Clothing</v>
      </c>
      <c r="J730" t="str">
        <f>_xlfn.XLOOKUP(A730, $A$1:$A$1001, 'Additional Product Info.'!$D$1:$D$1001)</f>
        <v>No</v>
      </c>
      <c r="K730" s="1">
        <f t="shared" si="22"/>
        <v>33642</v>
      </c>
      <c r="L730" s="1">
        <f t="shared" si="23"/>
        <v>0.41999999999999815</v>
      </c>
      <c r="M730" t="str">
        <f>IF(L730&lt;=Statistics!$E$6,"Low Difference",IF('Product Positioning'!L730&gt;=Statistics!$E$4,"High Difference","Moderate Difference"))</f>
        <v>Low Difference</v>
      </c>
    </row>
    <row r="731" spans="1:13" x14ac:dyDescent="0.2">
      <c r="A731">
        <v>156148</v>
      </c>
      <c r="B731" s="1">
        <v>36.26</v>
      </c>
      <c r="C731" s="1">
        <v>34.24</v>
      </c>
      <c r="D731">
        <v>1508</v>
      </c>
      <c r="E731" t="str">
        <f>_xlfn.XLOOKUP(A731, 'Customer Information'!$A$1:$A$1001, 'Customer Information'!$B$1:$B$1001)</f>
        <v>High</v>
      </c>
      <c r="F731" t="str">
        <f>_xlfn.XLOOKUP(A731, 'Customer Information'!$A$1:$A$1001, 'Customer Information'!$C$1:$C$1001)</f>
        <v>Young adults</v>
      </c>
      <c r="G731" t="str">
        <f>_xlfn.XLOOKUP('Customer Information'!A731, 'Customer Information'!$A$1:$A$1001, 'Customer Information'!$D$1:$D$1001)</f>
        <v>Yes</v>
      </c>
      <c r="H731" t="str">
        <f>INDEX('Additional Product Info.'!$A$1:$C$1001, MATCH('Product Positioning'!$A731, 'Additional Product Info.'!$A$1:$A$1001, 0), MATCH('Product Positioning'!H$1, 'Additional Product Info.'!$A$1:$C$1, 0))</f>
        <v>Aisle</v>
      </c>
      <c r="I731" t="str">
        <f>INDEX('Additional Product Info.'!$A$1:$C$1001, MATCH('Product Positioning'!$A731, 'Additional Product Info.'!$A$1:$A$1001, 0), MATCH('Product Positioning'!I$1, 'Additional Product Info.'!$A$1:$C$1, 0))</f>
        <v>Electronics</v>
      </c>
      <c r="J731" t="str">
        <f>_xlfn.XLOOKUP(A731, $A$1:$A$1001, 'Additional Product Info.'!$D$1:$D$1001)</f>
        <v>Yes</v>
      </c>
      <c r="K731" s="1">
        <f t="shared" si="22"/>
        <v>54680.079999999994</v>
      </c>
      <c r="L731" s="1">
        <f t="shared" si="23"/>
        <v>2.019999999999996</v>
      </c>
      <c r="M731" t="str">
        <f>IF(L731&lt;=Statistics!$E$6,"Low Difference",IF('Product Positioning'!L731&gt;=Statistics!$E$4,"High Difference","Moderate Difference"))</f>
        <v>Moderate Difference</v>
      </c>
    </row>
    <row r="732" spans="1:13" x14ac:dyDescent="0.2">
      <c r="A732">
        <v>171191</v>
      </c>
      <c r="B732" s="1">
        <v>46.72</v>
      </c>
      <c r="C732" s="1">
        <v>45.02</v>
      </c>
      <c r="D732">
        <v>2267</v>
      </c>
      <c r="E732" t="str">
        <f>_xlfn.XLOOKUP(A732, 'Customer Information'!$A$1:$A$1001, 'Customer Information'!$B$1:$B$1001)</f>
        <v>High</v>
      </c>
      <c r="F732" t="str">
        <f>_xlfn.XLOOKUP(A732, 'Customer Information'!$A$1:$A$1001, 'Customer Information'!$C$1:$C$1001)</f>
        <v>Families</v>
      </c>
      <c r="G732" t="str">
        <f>_xlfn.XLOOKUP('Customer Information'!A732, 'Customer Information'!$A$1:$A$1001, 'Customer Information'!$D$1:$D$1001)</f>
        <v>No</v>
      </c>
      <c r="H732" t="str">
        <f>INDEX('Additional Product Info.'!$A$1:$C$1001, MATCH('Product Positioning'!$A732, 'Additional Product Info.'!$A$1:$A$1001, 0), MATCH('Product Positioning'!H$1, 'Additional Product Info.'!$A$1:$C$1, 0))</f>
        <v>Front of Store</v>
      </c>
      <c r="I732" t="str">
        <f>INDEX('Additional Product Info.'!$A$1:$C$1001, MATCH('Product Positioning'!$A732, 'Additional Product Info.'!$A$1:$A$1001, 0), MATCH('Product Positioning'!I$1, 'Additional Product Info.'!$A$1:$C$1, 0))</f>
        <v>Food</v>
      </c>
      <c r="J732" t="str">
        <f>_xlfn.XLOOKUP(A732, $A$1:$A$1001, 'Additional Product Info.'!$D$1:$D$1001)</f>
        <v>Yes</v>
      </c>
      <c r="K732" s="1">
        <f t="shared" si="22"/>
        <v>105914.23999999999</v>
      </c>
      <c r="L732" s="1">
        <f t="shared" si="23"/>
        <v>1.6999999999999957</v>
      </c>
      <c r="M732" t="str">
        <f>IF(L732&lt;=Statistics!$E$6,"Low Difference",IF('Product Positioning'!L732&gt;=Statistics!$E$4,"High Difference","Moderate Difference"))</f>
        <v>Moderate Difference</v>
      </c>
    </row>
    <row r="733" spans="1:13" x14ac:dyDescent="0.2">
      <c r="A733">
        <v>115810</v>
      </c>
      <c r="B733" s="1">
        <v>7.28</v>
      </c>
      <c r="C733" s="1">
        <v>6.56</v>
      </c>
      <c r="D733">
        <v>1953</v>
      </c>
      <c r="E733" t="str">
        <f>_xlfn.XLOOKUP(A733, 'Customer Information'!$A$1:$A$1001, 'Customer Information'!$B$1:$B$1001)</f>
        <v>Medium</v>
      </c>
      <c r="F733" t="str">
        <f>_xlfn.XLOOKUP(A733, 'Customer Information'!$A$1:$A$1001, 'Customer Information'!$C$1:$C$1001)</f>
        <v>Young adults</v>
      </c>
      <c r="G733" t="str">
        <f>_xlfn.XLOOKUP('Customer Information'!A733, 'Customer Information'!$A$1:$A$1001, 'Customer Information'!$D$1:$D$1001)</f>
        <v>No</v>
      </c>
      <c r="H733" t="str">
        <f>INDEX('Additional Product Info.'!$A$1:$C$1001, MATCH('Product Positioning'!$A733, 'Additional Product Info.'!$A$1:$A$1001, 0), MATCH('Product Positioning'!H$1, 'Additional Product Info.'!$A$1:$C$1, 0))</f>
        <v>Front of Store</v>
      </c>
      <c r="I733" t="str">
        <f>INDEX('Additional Product Info.'!$A$1:$C$1001, MATCH('Product Positioning'!$A733, 'Additional Product Info.'!$A$1:$A$1001, 0), MATCH('Product Positioning'!I$1, 'Additional Product Info.'!$A$1:$C$1, 0))</f>
        <v>Clothing</v>
      </c>
      <c r="J733" t="str">
        <f>_xlfn.XLOOKUP(A733, $A$1:$A$1001, 'Additional Product Info.'!$D$1:$D$1001)</f>
        <v>Yes</v>
      </c>
      <c r="K733" s="1">
        <f t="shared" si="22"/>
        <v>14217.84</v>
      </c>
      <c r="L733" s="1">
        <f t="shared" si="23"/>
        <v>0.72000000000000064</v>
      </c>
      <c r="M733" t="str">
        <f>IF(L733&lt;=Statistics!$E$6,"Low Difference",IF('Product Positioning'!L733&gt;=Statistics!$E$4,"High Difference","Moderate Difference"))</f>
        <v>Low Difference</v>
      </c>
    </row>
    <row r="734" spans="1:13" x14ac:dyDescent="0.2">
      <c r="A734">
        <v>115533</v>
      </c>
      <c r="B734" s="1">
        <v>41.85</v>
      </c>
      <c r="C734" s="1">
        <v>37.04</v>
      </c>
      <c r="D734">
        <v>1971</v>
      </c>
      <c r="E734" t="str">
        <f>_xlfn.XLOOKUP(A734, 'Customer Information'!$A$1:$A$1001, 'Customer Information'!$B$1:$B$1001)</f>
        <v>High</v>
      </c>
      <c r="F734" t="str">
        <f>_xlfn.XLOOKUP(A734, 'Customer Information'!$A$1:$A$1001, 'Customer Information'!$C$1:$C$1001)</f>
        <v>College students</v>
      </c>
      <c r="G734" t="str">
        <f>_xlfn.XLOOKUP('Customer Information'!A734, 'Customer Information'!$A$1:$A$1001, 'Customer Information'!$D$1:$D$1001)</f>
        <v>Yes</v>
      </c>
      <c r="H734" t="str">
        <f>INDEX('Additional Product Info.'!$A$1:$C$1001, MATCH('Product Positioning'!$A734, 'Additional Product Info.'!$A$1:$A$1001, 0), MATCH('Product Positioning'!H$1, 'Additional Product Info.'!$A$1:$C$1, 0))</f>
        <v>End-cap</v>
      </c>
      <c r="I734" t="str">
        <f>INDEX('Additional Product Info.'!$A$1:$C$1001, MATCH('Product Positioning'!$A734, 'Additional Product Info.'!$A$1:$A$1001, 0), MATCH('Product Positioning'!I$1, 'Additional Product Info.'!$A$1:$C$1, 0))</f>
        <v>Food</v>
      </c>
      <c r="J734" t="str">
        <f>_xlfn.XLOOKUP(A734, $A$1:$A$1001, 'Additional Product Info.'!$D$1:$D$1001)</f>
        <v>Yes</v>
      </c>
      <c r="K734" s="1">
        <f t="shared" si="22"/>
        <v>82486.350000000006</v>
      </c>
      <c r="L734" s="1">
        <f t="shared" si="23"/>
        <v>4.8100000000000023</v>
      </c>
      <c r="M734" t="str">
        <f>IF(L734&lt;=Statistics!$E$6,"Low Difference",IF('Product Positioning'!L734&gt;=Statistics!$E$4,"High Difference","Moderate Difference"))</f>
        <v>High Difference</v>
      </c>
    </row>
    <row r="735" spans="1:13" x14ac:dyDescent="0.2">
      <c r="A735">
        <v>191827</v>
      </c>
      <c r="B735" s="1">
        <v>28.57</v>
      </c>
      <c r="C735" s="1">
        <v>26.47</v>
      </c>
      <c r="D735">
        <v>1178</v>
      </c>
      <c r="E735" t="str">
        <f>_xlfn.XLOOKUP(A735, 'Customer Information'!$A$1:$A$1001, 'Customer Information'!$B$1:$B$1001)</f>
        <v>High</v>
      </c>
      <c r="F735" t="str">
        <f>_xlfn.XLOOKUP(A735, 'Customer Information'!$A$1:$A$1001, 'Customer Information'!$C$1:$C$1001)</f>
        <v>Families</v>
      </c>
      <c r="G735" t="str">
        <f>_xlfn.XLOOKUP('Customer Information'!A735, 'Customer Information'!$A$1:$A$1001, 'Customer Information'!$D$1:$D$1001)</f>
        <v>Yes</v>
      </c>
      <c r="H735" t="str">
        <f>INDEX('Additional Product Info.'!$A$1:$C$1001, MATCH('Product Positioning'!$A735, 'Additional Product Info.'!$A$1:$A$1001, 0), MATCH('Product Positioning'!H$1, 'Additional Product Info.'!$A$1:$C$1, 0))</f>
        <v>End-cap</v>
      </c>
      <c r="I735" t="str">
        <f>INDEX('Additional Product Info.'!$A$1:$C$1001, MATCH('Product Positioning'!$A735, 'Additional Product Info.'!$A$1:$A$1001, 0), MATCH('Product Positioning'!I$1, 'Additional Product Info.'!$A$1:$C$1, 0))</f>
        <v>Food</v>
      </c>
      <c r="J735" t="str">
        <f>_xlfn.XLOOKUP(A735, $A$1:$A$1001, 'Additional Product Info.'!$D$1:$D$1001)</f>
        <v>No</v>
      </c>
      <c r="K735" s="1">
        <f t="shared" si="22"/>
        <v>33655.46</v>
      </c>
      <c r="L735" s="1">
        <f t="shared" si="23"/>
        <v>2.1000000000000014</v>
      </c>
      <c r="M735" t="str">
        <f>IF(L735&lt;=Statistics!$E$6,"Low Difference",IF('Product Positioning'!L735&gt;=Statistics!$E$4,"High Difference","Moderate Difference"))</f>
        <v>Moderate Difference</v>
      </c>
    </row>
    <row r="736" spans="1:13" x14ac:dyDescent="0.2">
      <c r="A736">
        <v>115156</v>
      </c>
      <c r="B736" s="1">
        <v>10.66</v>
      </c>
      <c r="C736" s="1">
        <v>6.87</v>
      </c>
      <c r="D736">
        <v>2800</v>
      </c>
      <c r="E736" t="str">
        <f>_xlfn.XLOOKUP(A736, 'Customer Information'!$A$1:$A$1001, 'Customer Information'!$B$1:$B$1001)</f>
        <v>High</v>
      </c>
      <c r="F736" t="str">
        <f>_xlfn.XLOOKUP(A736, 'Customer Information'!$A$1:$A$1001, 'Customer Information'!$C$1:$C$1001)</f>
        <v>College students</v>
      </c>
      <c r="G736" t="str">
        <f>_xlfn.XLOOKUP('Customer Information'!A736, 'Customer Information'!$A$1:$A$1001, 'Customer Information'!$D$1:$D$1001)</f>
        <v>Yes</v>
      </c>
      <c r="H736" t="str">
        <f>INDEX('Additional Product Info.'!$A$1:$C$1001, MATCH('Product Positioning'!$A736, 'Additional Product Info.'!$A$1:$A$1001, 0), MATCH('Product Positioning'!H$1, 'Additional Product Info.'!$A$1:$C$1, 0))</f>
        <v>Front of Store</v>
      </c>
      <c r="I736" t="str">
        <f>INDEX('Additional Product Info.'!$A$1:$C$1001, MATCH('Product Positioning'!$A736, 'Additional Product Info.'!$A$1:$A$1001, 0), MATCH('Product Positioning'!I$1, 'Additional Product Info.'!$A$1:$C$1, 0))</f>
        <v>Electronics</v>
      </c>
      <c r="J736" t="str">
        <f>_xlfn.XLOOKUP(A736, $A$1:$A$1001, 'Additional Product Info.'!$D$1:$D$1001)</f>
        <v>Yes</v>
      </c>
      <c r="K736" s="1">
        <f t="shared" si="22"/>
        <v>29848</v>
      </c>
      <c r="L736" s="1">
        <f t="shared" si="23"/>
        <v>3.79</v>
      </c>
      <c r="M736" t="str">
        <f>IF(L736&lt;=Statistics!$E$6,"Low Difference",IF('Product Positioning'!L736&gt;=Statistics!$E$4,"High Difference","Moderate Difference"))</f>
        <v>High Difference</v>
      </c>
    </row>
    <row r="737" spans="1:13" x14ac:dyDescent="0.2">
      <c r="A737">
        <v>148849</v>
      </c>
      <c r="B737" s="1">
        <v>11.75</v>
      </c>
      <c r="C737" s="1">
        <v>9.84</v>
      </c>
      <c r="D737">
        <v>1307</v>
      </c>
      <c r="E737" t="str">
        <f>_xlfn.XLOOKUP(A737, 'Customer Information'!$A$1:$A$1001, 'Customer Information'!$B$1:$B$1001)</f>
        <v>High</v>
      </c>
      <c r="F737" t="str">
        <f>_xlfn.XLOOKUP(A737, 'Customer Information'!$A$1:$A$1001, 'Customer Information'!$C$1:$C$1001)</f>
        <v>Young adults</v>
      </c>
      <c r="G737" t="str">
        <f>_xlfn.XLOOKUP('Customer Information'!A737, 'Customer Information'!$A$1:$A$1001, 'Customer Information'!$D$1:$D$1001)</f>
        <v>Yes</v>
      </c>
      <c r="H737" t="str">
        <f>INDEX('Additional Product Info.'!$A$1:$C$1001, MATCH('Product Positioning'!$A737, 'Additional Product Info.'!$A$1:$A$1001, 0), MATCH('Product Positioning'!H$1, 'Additional Product Info.'!$A$1:$C$1, 0))</f>
        <v>End-cap</v>
      </c>
      <c r="I737" t="str">
        <f>INDEX('Additional Product Info.'!$A$1:$C$1001, MATCH('Product Positioning'!$A737, 'Additional Product Info.'!$A$1:$A$1001, 0), MATCH('Product Positioning'!I$1, 'Additional Product Info.'!$A$1:$C$1, 0))</f>
        <v>Electronics</v>
      </c>
      <c r="J737" t="str">
        <f>_xlfn.XLOOKUP(A737, $A$1:$A$1001, 'Additional Product Info.'!$D$1:$D$1001)</f>
        <v>Yes</v>
      </c>
      <c r="K737" s="1">
        <f t="shared" si="22"/>
        <v>15357.25</v>
      </c>
      <c r="L737" s="1">
        <f t="shared" si="23"/>
        <v>1.9100000000000001</v>
      </c>
      <c r="M737" t="str">
        <f>IF(L737&lt;=Statistics!$E$6,"Low Difference",IF('Product Positioning'!L737&gt;=Statistics!$E$4,"High Difference","Moderate Difference"))</f>
        <v>Moderate Difference</v>
      </c>
    </row>
    <row r="738" spans="1:13" x14ac:dyDescent="0.2">
      <c r="A738">
        <v>121239</v>
      </c>
      <c r="B738" s="1">
        <v>49.77</v>
      </c>
      <c r="C738" s="1">
        <v>49.66</v>
      </c>
      <c r="D738">
        <v>1829</v>
      </c>
      <c r="E738" t="str">
        <f>_xlfn.XLOOKUP(A738, 'Customer Information'!$A$1:$A$1001, 'Customer Information'!$B$1:$B$1001)</f>
        <v>Low</v>
      </c>
      <c r="F738" t="str">
        <f>_xlfn.XLOOKUP(A738, 'Customer Information'!$A$1:$A$1001, 'Customer Information'!$C$1:$C$1001)</f>
        <v>Seniors</v>
      </c>
      <c r="G738" t="str">
        <f>_xlfn.XLOOKUP('Customer Information'!A738, 'Customer Information'!$A$1:$A$1001, 'Customer Information'!$D$1:$D$1001)</f>
        <v>Yes</v>
      </c>
      <c r="H738" t="str">
        <f>INDEX('Additional Product Info.'!$A$1:$C$1001, MATCH('Product Positioning'!$A738, 'Additional Product Info.'!$A$1:$A$1001, 0), MATCH('Product Positioning'!H$1, 'Additional Product Info.'!$A$1:$C$1, 0))</f>
        <v>Aisle</v>
      </c>
      <c r="I738" t="str">
        <f>INDEX('Additional Product Info.'!$A$1:$C$1001, MATCH('Product Positioning'!$A738, 'Additional Product Info.'!$A$1:$A$1001, 0), MATCH('Product Positioning'!I$1, 'Additional Product Info.'!$A$1:$C$1, 0))</f>
        <v>Clothing</v>
      </c>
      <c r="J738" t="str">
        <f>_xlfn.XLOOKUP(A738, $A$1:$A$1001, 'Additional Product Info.'!$D$1:$D$1001)</f>
        <v>Yes</v>
      </c>
      <c r="K738" s="1">
        <f t="shared" si="22"/>
        <v>91029.33</v>
      </c>
      <c r="L738" s="1">
        <f t="shared" si="23"/>
        <v>0.11000000000000654</v>
      </c>
      <c r="M738" t="str">
        <f>IF(L738&lt;=Statistics!$E$6,"Low Difference",IF('Product Positioning'!L738&gt;=Statistics!$E$4,"High Difference","Moderate Difference"))</f>
        <v>Low Difference</v>
      </c>
    </row>
    <row r="739" spans="1:13" x14ac:dyDescent="0.2">
      <c r="A739">
        <v>147878</v>
      </c>
      <c r="B739" s="1">
        <v>38.9</v>
      </c>
      <c r="C739" s="1">
        <v>35.380000000000003</v>
      </c>
      <c r="D739">
        <v>1065</v>
      </c>
      <c r="E739" t="str">
        <f>_xlfn.XLOOKUP(A739, 'Customer Information'!$A$1:$A$1001, 'Customer Information'!$B$1:$B$1001)</f>
        <v>High</v>
      </c>
      <c r="F739" t="str">
        <f>_xlfn.XLOOKUP(A739, 'Customer Information'!$A$1:$A$1001, 'Customer Information'!$C$1:$C$1001)</f>
        <v>Families</v>
      </c>
      <c r="G739" t="str">
        <f>_xlfn.XLOOKUP('Customer Information'!A739, 'Customer Information'!$A$1:$A$1001, 'Customer Information'!$D$1:$D$1001)</f>
        <v>No</v>
      </c>
      <c r="H739" t="str">
        <f>INDEX('Additional Product Info.'!$A$1:$C$1001, MATCH('Product Positioning'!$A739, 'Additional Product Info.'!$A$1:$A$1001, 0), MATCH('Product Positioning'!H$1, 'Additional Product Info.'!$A$1:$C$1, 0))</f>
        <v>End-cap</v>
      </c>
      <c r="I739" t="str">
        <f>INDEX('Additional Product Info.'!$A$1:$C$1001, MATCH('Product Positioning'!$A739, 'Additional Product Info.'!$A$1:$A$1001, 0), MATCH('Product Positioning'!I$1, 'Additional Product Info.'!$A$1:$C$1, 0))</f>
        <v>Electronics</v>
      </c>
      <c r="J739" t="str">
        <f>_xlfn.XLOOKUP(A739, $A$1:$A$1001, 'Additional Product Info.'!$D$1:$D$1001)</f>
        <v>No</v>
      </c>
      <c r="K739" s="1">
        <f t="shared" si="22"/>
        <v>41428.5</v>
      </c>
      <c r="L739" s="1">
        <f t="shared" si="23"/>
        <v>3.519999999999996</v>
      </c>
      <c r="M739" t="str">
        <f>IF(L739&lt;=Statistics!$E$6,"Low Difference",IF('Product Positioning'!L739&gt;=Statistics!$E$4,"High Difference","Moderate Difference"))</f>
        <v>Moderate Difference</v>
      </c>
    </row>
    <row r="740" spans="1:13" x14ac:dyDescent="0.2">
      <c r="A740">
        <v>163043</v>
      </c>
      <c r="B740" s="1">
        <v>15.86</v>
      </c>
      <c r="C740" s="1">
        <v>11.57</v>
      </c>
      <c r="D740">
        <v>1075</v>
      </c>
      <c r="E740" t="str">
        <f>_xlfn.XLOOKUP(A740, 'Customer Information'!$A$1:$A$1001, 'Customer Information'!$B$1:$B$1001)</f>
        <v>Low</v>
      </c>
      <c r="F740" t="str">
        <f>_xlfn.XLOOKUP(A740, 'Customer Information'!$A$1:$A$1001, 'Customer Information'!$C$1:$C$1001)</f>
        <v>Seniors</v>
      </c>
      <c r="G740" t="str">
        <f>_xlfn.XLOOKUP('Customer Information'!A740, 'Customer Information'!$A$1:$A$1001, 'Customer Information'!$D$1:$D$1001)</f>
        <v>No</v>
      </c>
      <c r="H740" t="str">
        <f>INDEX('Additional Product Info.'!$A$1:$C$1001, MATCH('Product Positioning'!$A740, 'Additional Product Info.'!$A$1:$A$1001, 0), MATCH('Product Positioning'!H$1, 'Additional Product Info.'!$A$1:$C$1, 0))</f>
        <v>End-cap</v>
      </c>
      <c r="I740" t="str">
        <f>INDEX('Additional Product Info.'!$A$1:$C$1001, MATCH('Product Positioning'!$A740, 'Additional Product Info.'!$A$1:$A$1001, 0), MATCH('Product Positioning'!I$1, 'Additional Product Info.'!$A$1:$C$1, 0))</f>
        <v>Electronics</v>
      </c>
      <c r="J740" t="str">
        <f>_xlfn.XLOOKUP(A740, $A$1:$A$1001, 'Additional Product Info.'!$D$1:$D$1001)</f>
        <v>No</v>
      </c>
      <c r="K740" s="1">
        <f t="shared" si="22"/>
        <v>17049.5</v>
      </c>
      <c r="L740" s="1">
        <f t="shared" si="23"/>
        <v>4.2899999999999991</v>
      </c>
      <c r="M740" t="str">
        <f>IF(L740&lt;=Statistics!$E$6,"Low Difference",IF('Product Positioning'!L740&gt;=Statistics!$E$4,"High Difference","Moderate Difference"))</f>
        <v>High Difference</v>
      </c>
    </row>
    <row r="741" spans="1:13" x14ac:dyDescent="0.2">
      <c r="A741">
        <v>198302</v>
      </c>
      <c r="B741" s="1">
        <v>45.15</v>
      </c>
      <c r="C741" s="1">
        <v>42</v>
      </c>
      <c r="D741">
        <v>1388</v>
      </c>
      <c r="E741" t="str">
        <f>_xlfn.XLOOKUP(A741, 'Customer Information'!$A$1:$A$1001, 'Customer Information'!$B$1:$B$1001)</f>
        <v>High</v>
      </c>
      <c r="F741" t="str">
        <f>_xlfn.XLOOKUP(A741, 'Customer Information'!$A$1:$A$1001, 'Customer Information'!$C$1:$C$1001)</f>
        <v>Seniors</v>
      </c>
      <c r="G741" t="str">
        <f>_xlfn.XLOOKUP('Customer Information'!A741, 'Customer Information'!$A$1:$A$1001, 'Customer Information'!$D$1:$D$1001)</f>
        <v>No</v>
      </c>
      <c r="H741" t="str">
        <f>INDEX('Additional Product Info.'!$A$1:$C$1001, MATCH('Product Positioning'!$A741, 'Additional Product Info.'!$A$1:$A$1001, 0), MATCH('Product Positioning'!H$1, 'Additional Product Info.'!$A$1:$C$1, 0))</f>
        <v>Aisle</v>
      </c>
      <c r="I741" t="str">
        <f>INDEX('Additional Product Info.'!$A$1:$C$1001, MATCH('Product Positioning'!$A741, 'Additional Product Info.'!$A$1:$A$1001, 0), MATCH('Product Positioning'!I$1, 'Additional Product Info.'!$A$1:$C$1, 0))</f>
        <v>Clothing</v>
      </c>
      <c r="J741" t="str">
        <f>_xlfn.XLOOKUP(A741, $A$1:$A$1001, 'Additional Product Info.'!$D$1:$D$1001)</f>
        <v>No</v>
      </c>
      <c r="K741" s="1">
        <f t="shared" si="22"/>
        <v>62668.2</v>
      </c>
      <c r="L741" s="1">
        <f t="shared" si="23"/>
        <v>3.1499999999999986</v>
      </c>
      <c r="M741" t="str">
        <f>IF(L741&lt;=Statistics!$E$6,"Low Difference",IF('Product Positioning'!L741&gt;=Statistics!$E$4,"High Difference","Moderate Difference"))</f>
        <v>Moderate Difference</v>
      </c>
    </row>
    <row r="742" spans="1:13" x14ac:dyDescent="0.2">
      <c r="A742">
        <v>191418</v>
      </c>
      <c r="B742" s="1">
        <v>46.06</v>
      </c>
      <c r="C742" s="1">
        <v>43.67</v>
      </c>
      <c r="D742">
        <v>2244</v>
      </c>
      <c r="E742" t="str">
        <f>_xlfn.XLOOKUP(A742, 'Customer Information'!$A$1:$A$1001, 'Customer Information'!$B$1:$B$1001)</f>
        <v>Low</v>
      </c>
      <c r="F742" t="str">
        <f>_xlfn.XLOOKUP(A742, 'Customer Information'!$A$1:$A$1001, 'Customer Information'!$C$1:$C$1001)</f>
        <v>Seniors</v>
      </c>
      <c r="G742" t="str">
        <f>_xlfn.XLOOKUP('Customer Information'!A742, 'Customer Information'!$A$1:$A$1001, 'Customer Information'!$D$1:$D$1001)</f>
        <v>No</v>
      </c>
      <c r="H742" t="str">
        <f>INDEX('Additional Product Info.'!$A$1:$C$1001, MATCH('Product Positioning'!$A742, 'Additional Product Info.'!$A$1:$A$1001, 0), MATCH('Product Positioning'!H$1, 'Additional Product Info.'!$A$1:$C$1, 0))</f>
        <v>Aisle</v>
      </c>
      <c r="I742" t="str">
        <f>INDEX('Additional Product Info.'!$A$1:$C$1001, MATCH('Product Positioning'!$A742, 'Additional Product Info.'!$A$1:$A$1001, 0), MATCH('Product Positioning'!I$1, 'Additional Product Info.'!$A$1:$C$1, 0))</f>
        <v>Electronics</v>
      </c>
      <c r="J742" t="str">
        <f>_xlfn.XLOOKUP(A742, $A$1:$A$1001, 'Additional Product Info.'!$D$1:$D$1001)</f>
        <v>No</v>
      </c>
      <c r="K742" s="1">
        <f t="shared" si="22"/>
        <v>103358.64</v>
      </c>
      <c r="L742" s="1">
        <f t="shared" si="23"/>
        <v>2.3900000000000006</v>
      </c>
      <c r="M742" t="str">
        <f>IF(L742&lt;=Statistics!$E$6,"Low Difference",IF('Product Positioning'!L742&gt;=Statistics!$E$4,"High Difference","Moderate Difference"))</f>
        <v>Moderate Difference</v>
      </c>
    </row>
    <row r="743" spans="1:13" x14ac:dyDescent="0.2">
      <c r="A743">
        <v>175324</v>
      </c>
      <c r="B743" s="1">
        <v>37.69</v>
      </c>
      <c r="C743" s="1">
        <v>36.14</v>
      </c>
      <c r="D743">
        <v>1308</v>
      </c>
      <c r="E743" t="str">
        <f>_xlfn.XLOOKUP(A743, 'Customer Information'!$A$1:$A$1001, 'Customer Information'!$B$1:$B$1001)</f>
        <v>Low</v>
      </c>
      <c r="F743" t="str">
        <f>_xlfn.XLOOKUP(A743, 'Customer Information'!$A$1:$A$1001, 'Customer Information'!$C$1:$C$1001)</f>
        <v>Families</v>
      </c>
      <c r="G743" t="str">
        <f>_xlfn.XLOOKUP('Customer Information'!A743, 'Customer Information'!$A$1:$A$1001, 'Customer Information'!$D$1:$D$1001)</f>
        <v>Yes</v>
      </c>
      <c r="H743" t="str">
        <f>INDEX('Additional Product Info.'!$A$1:$C$1001, MATCH('Product Positioning'!$A743, 'Additional Product Info.'!$A$1:$A$1001, 0), MATCH('Product Positioning'!H$1, 'Additional Product Info.'!$A$1:$C$1, 0))</f>
        <v>End-cap</v>
      </c>
      <c r="I743" t="str">
        <f>INDEX('Additional Product Info.'!$A$1:$C$1001, MATCH('Product Positioning'!$A743, 'Additional Product Info.'!$A$1:$A$1001, 0), MATCH('Product Positioning'!I$1, 'Additional Product Info.'!$A$1:$C$1, 0))</f>
        <v>Electronics</v>
      </c>
      <c r="J743" t="str">
        <f>_xlfn.XLOOKUP(A743, $A$1:$A$1001, 'Additional Product Info.'!$D$1:$D$1001)</f>
        <v>Yes</v>
      </c>
      <c r="K743" s="1">
        <f t="shared" si="22"/>
        <v>49298.52</v>
      </c>
      <c r="L743" s="1">
        <f t="shared" si="23"/>
        <v>1.5499999999999972</v>
      </c>
      <c r="M743" t="str">
        <f>IF(L743&lt;=Statistics!$E$6,"Low Difference",IF('Product Positioning'!L743&gt;=Statistics!$E$4,"High Difference","Moderate Difference"))</f>
        <v>Moderate Difference</v>
      </c>
    </row>
    <row r="744" spans="1:13" x14ac:dyDescent="0.2">
      <c r="A744">
        <v>168949</v>
      </c>
      <c r="B744" s="1">
        <v>47.81</v>
      </c>
      <c r="C744" s="1">
        <v>46.2</v>
      </c>
      <c r="D744">
        <v>1033</v>
      </c>
      <c r="E744" t="str">
        <f>_xlfn.XLOOKUP(A744, 'Customer Information'!$A$1:$A$1001, 'Customer Information'!$B$1:$B$1001)</f>
        <v>Medium</v>
      </c>
      <c r="F744" t="str">
        <f>_xlfn.XLOOKUP(A744, 'Customer Information'!$A$1:$A$1001, 'Customer Information'!$C$1:$C$1001)</f>
        <v>Seniors</v>
      </c>
      <c r="G744" t="str">
        <f>_xlfn.XLOOKUP('Customer Information'!A744, 'Customer Information'!$A$1:$A$1001, 'Customer Information'!$D$1:$D$1001)</f>
        <v>Yes</v>
      </c>
      <c r="H744" t="str">
        <f>INDEX('Additional Product Info.'!$A$1:$C$1001, MATCH('Product Positioning'!$A744, 'Additional Product Info.'!$A$1:$A$1001, 0), MATCH('Product Positioning'!H$1, 'Additional Product Info.'!$A$1:$C$1, 0))</f>
        <v>Front of Store</v>
      </c>
      <c r="I744" t="str">
        <f>INDEX('Additional Product Info.'!$A$1:$C$1001, MATCH('Product Positioning'!$A744, 'Additional Product Info.'!$A$1:$A$1001, 0), MATCH('Product Positioning'!I$1, 'Additional Product Info.'!$A$1:$C$1, 0))</f>
        <v>Electronics</v>
      </c>
      <c r="J744" t="str">
        <f>_xlfn.XLOOKUP(A744, $A$1:$A$1001, 'Additional Product Info.'!$D$1:$D$1001)</f>
        <v>No</v>
      </c>
      <c r="K744" s="1">
        <f t="shared" si="22"/>
        <v>49387.73</v>
      </c>
      <c r="L744" s="1">
        <f t="shared" si="23"/>
        <v>1.6099999999999994</v>
      </c>
      <c r="M744" t="str">
        <f>IF(L744&lt;=Statistics!$E$6,"Low Difference",IF('Product Positioning'!L744&gt;=Statistics!$E$4,"High Difference","Moderate Difference"))</f>
        <v>Moderate Difference</v>
      </c>
    </row>
    <row r="745" spans="1:13" x14ac:dyDescent="0.2">
      <c r="A745">
        <v>132443</v>
      </c>
      <c r="B745" s="1">
        <v>36.15</v>
      </c>
      <c r="C745" s="1">
        <v>31.58</v>
      </c>
      <c r="D745">
        <v>1924</v>
      </c>
      <c r="E745" t="str">
        <f>_xlfn.XLOOKUP(A745, 'Customer Information'!$A$1:$A$1001, 'Customer Information'!$B$1:$B$1001)</f>
        <v>Low</v>
      </c>
      <c r="F745" t="str">
        <f>_xlfn.XLOOKUP(A745, 'Customer Information'!$A$1:$A$1001, 'Customer Information'!$C$1:$C$1001)</f>
        <v>College students</v>
      </c>
      <c r="G745" t="str">
        <f>_xlfn.XLOOKUP('Customer Information'!A745, 'Customer Information'!$A$1:$A$1001, 'Customer Information'!$D$1:$D$1001)</f>
        <v>Yes</v>
      </c>
      <c r="H745" t="str">
        <f>INDEX('Additional Product Info.'!$A$1:$C$1001, MATCH('Product Positioning'!$A745, 'Additional Product Info.'!$A$1:$A$1001, 0), MATCH('Product Positioning'!H$1, 'Additional Product Info.'!$A$1:$C$1, 0))</f>
        <v>Aisle</v>
      </c>
      <c r="I745" t="str">
        <f>INDEX('Additional Product Info.'!$A$1:$C$1001, MATCH('Product Positioning'!$A745, 'Additional Product Info.'!$A$1:$A$1001, 0), MATCH('Product Positioning'!I$1, 'Additional Product Info.'!$A$1:$C$1, 0))</f>
        <v>Clothing</v>
      </c>
      <c r="J745" t="str">
        <f>_xlfn.XLOOKUP(A745, $A$1:$A$1001, 'Additional Product Info.'!$D$1:$D$1001)</f>
        <v>No</v>
      </c>
      <c r="K745" s="1">
        <f t="shared" si="22"/>
        <v>69552.599999999991</v>
      </c>
      <c r="L745" s="1">
        <f t="shared" si="23"/>
        <v>4.57</v>
      </c>
      <c r="M745" t="str">
        <f>IF(L745&lt;=Statistics!$E$6,"Low Difference",IF('Product Positioning'!L745&gt;=Statistics!$E$4,"High Difference","Moderate Difference"))</f>
        <v>High Difference</v>
      </c>
    </row>
    <row r="746" spans="1:13" x14ac:dyDescent="0.2">
      <c r="A746">
        <v>142665</v>
      </c>
      <c r="B746" s="1">
        <v>28.97</v>
      </c>
      <c r="C746" s="1">
        <v>24.67</v>
      </c>
      <c r="D746">
        <v>1705</v>
      </c>
      <c r="E746" t="str">
        <f>_xlfn.XLOOKUP(A746, 'Customer Information'!$A$1:$A$1001, 'Customer Information'!$B$1:$B$1001)</f>
        <v>Medium</v>
      </c>
      <c r="F746" t="str">
        <f>_xlfn.XLOOKUP(A746, 'Customer Information'!$A$1:$A$1001, 'Customer Information'!$C$1:$C$1001)</f>
        <v>College students</v>
      </c>
      <c r="G746" t="str">
        <f>_xlfn.XLOOKUP('Customer Information'!A746, 'Customer Information'!$A$1:$A$1001, 'Customer Information'!$D$1:$D$1001)</f>
        <v>Yes</v>
      </c>
      <c r="H746" t="str">
        <f>INDEX('Additional Product Info.'!$A$1:$C$1001, MATCH('Product Positioning'!$A746, 'Additional Product Info.'!$A$1:$A$1001, 0), MATCH('Product Positioning'!H$1, 'Additional Product Info.'!$A$1:$C$1, 0))</f>
        <v>End-cap</v>
      </c>
      <c r="I746" t="str">
        <f>INDEX('Additional Product Info.'!$A$1:$C$1001, MATCH('Product Positioning'!$A746, 'Additional Product Info.'!$A$1:$A$1001, 0), MATCH('Product Positioning'!I$1, 'Additional Product Info.'!$A$1:$C$1, 0))</f>
        <v>Clothing</v>
      </c>
      <c r="J746" t="str">
        <f>_xlfn.XLOOKUP(A746, $A$1:$A$1001, 'Additional Product Info.'!$D$1:$D$1001)</f>
        <v>Yes</v>
      </c>
      <c r="K746" s="1">
        <f t="shared" si="22"/>
        <v>49393.85</v>
      </c>
      <c r="L746" s="1">
        <f t="shared" si="23"/>
        <v>4.2999999999999972</v>
      </c>
      <c r="M746" t="str">
        <f>IF(L746&lt;=Statistics!$E$6,"Low Difference",IF('Product Positioning'!L746&gt;=Statistics!$E$4,"High Difference","Moderate Difference"))</f>
        <v>High Difference</v>
      </c>
    </row>
    <row r="747" spans="1:13" x14ac:dyDescent="0.2">
      <c r="A747">
        <v>171112</v>
      </c>
      <c r="B747" s="1">
        <v>40.65</v>
      </c>
      <c r="C747" s="1">
        <v>36.479999999999997</v>
      </c>
      <c r="D747">
        <v>635</v>
      </c>
      <c r="E747" t="str">
        <f>_xlfn.XLOOKUP(A747, 'Customer Information'!$A$1:$A$1001, 'Customer Information'!$B$1:$B$1001)</f>
        <v>High</v>
      </c>
      <c r="F747" t="str">
        <f>_xlfn.XLOOKUP(A747, 'Customer Information'!$A$1:$A$1001, 'Customer Information'!$C$1:$C$1001)</f>
        <v>College students</v>
      </c>
      <c r="G747" t="str">
        <f>_xlfn.XLOOKUP('Customer Information'!A747, 'Customer Information'!$A$1:$A$1001, 'Customer Information'!$D$1:$D$1001)</f>
        <v>No</v>
      </c>
      <c r="H747" t="str">
        <f>INDEX('Additional Product Info.'!$A$1:$C$1001, MATCH('Product Positioning'!$A747, 'Additional Product Info.'!$A$1:$A$1001, 0), MATCH('Product Positioning'!H$1, 'Additional Product Info.'!$A$1:$C$1, 0))</f>
        <v>Aisle</v>
      </c>
      <c r="I747" t="str">
        <f>INDEX('Additional Product Info.'!$A$1:$C$1001, MATCH('Product Positioning'!$A747, 'Additional Product Info.'!$A$1:$A$1001, 0), MATCH('Product Positioning'!I$1, 'Additional Product Info.'!$A$1:$C$1, 0))</f>
        <v>Food</v>
      </c>
      <c r="J747" t="str">
        <f>_xlfn.XLOOKUP(A747, $A$1:$A$1001, 'Additional Product Info.'!$D$1:$D$1001)</f>
        <v>Yes</v>
      </c>
      <c r="K747" s="1">
        <f t="shared" si="22"/>
        <v>25812.75</v>
      </c>
      <c r="L747" s="1">
        <f t="shared" si="23"/>
        <v>4.1700000000000017</v>
      </c>
      <c r="M747" t="str">
        <f>IF(L747&lt;=Statistics!$E$6,"Low Difference",IF('Product Positioning'!L747&gt;=Statistics!$E$4,"High Difference","Moderate Difference"))</f>
        <v>High Difference</v>
      </c>
    </row>
    <row r="748" spans="1:13" x14ac:dyDescent="0.2">
      <c r="A748">
        <v>164994</v>
      </c>
      <c r="B748" s="1">
        <v>13.6</v>
      </c>
      <c r="C748" s="1">
        <v>8.67</v>
      </c>
      <c r="D748">
        <v>2189</v>
      </c>
      <c r="E748" t="str">
        <f>_xlfn.XLOOKUP(A748, 'Customer Information'!$A$1:$A$1001, 'Customer Information'!$B$1:$B$1001)</f>
        <v>Low</v>
      </c>
      <c r="F748" t="str">
        <f>_xlfn.XLOOKUP(A748, 'Customer Information'!$A$1:$A$1001, 'Customer Information'!$C$1:$C$1001)</f>
        <v>Families</v>
      </c>
      <c r="G748" t="str">
        <f>_xlfn.XLOOKUP('Customer Information'!A748, 'Customer Information'!$A$1:$A$1001, 'Customer Information'!$D$1:$D$1001)</f>
        <v>Yes</v>
      </c>
      <c r="H748" t="str">
        <f>INDEX('Additional Product Info.'!$A$1:$C$1001, MATCH('Product Positioning'!$A748, 'Additional Product Info.'!$A$1:$A$1001, 0), MATCH('Product Positioning'!H$1, 'Additional Product Info.'!$A$1:$C$1, 0))</f>
        <v>End-cap</v>
      </c>
      <c r="I748" t="str">
        <f>INDEX('Additional Product Info.'!$A$1:$C$1001, MATCH('Product Positioning'!$A748, 'Additional Product Info.'!$A$1:$A$1001, 0), MATCH('Product Positioning'!I$1, 'Additional Product Info.'!$A$1:$C$1, 0))</f>
        <v>Food</v>
      </c>
      <c r="J748" t="str">
        <f>_xlfn.XLOOKUP(A748, $A$1:$A$1001, 'Additional Product Info.'!$D$1:$D$1001)</f>
        <v>No</v>
      </c>
      <c r="K748" s="1">
        <f t="shared" si="22"/>
        <v>29770.399999999998</v>
      </c>
      <c r="L748" s="1">
        <f t="shared" si="23"/>
        <v>4.93</v>
      </c>
      <c r="M748" t="str">
        <f>IF(L748&lt;=Statistics!$E$6,"Low Difference",IF('Product Positioning'!L748&gt;=Statistics!$E$4,"High Difference","Moderate Difference"))</f>
        <v>High Difference</v>
      </c>
    </row>
    <row r="749" spans="1:13" x14ac:dyDescent="0.2">
      <c r="A749">
        <v>197700</v>
      </c>
      <c r="B749" s="1">
        <v>5.76</v>
      </c>
      <c r="C749" s="1">
        <v>3.84</v>
      </c>
      <c r="D749">
        <v>2716</v>
      </c>
      <c r="E749" t="str">
        <f>_xlfn.XLOOKUP(A749, 'Customer Information'!$A$1:$A$1001, 'Customer Information'!$B$1:$B$1001)</f>
        <v>Medium</v>
      </c>
      <c r="F749" t="str">
        <f>_xlfn.XLOOKUP(A749, 'Customer Information'!$A$1:$A$1001, 'Customer Information'!$C$1:$C$1001)</f>
        <v>Families</v>
      </c>
      <c r="G749" t="str">
        <f>_xlfn.XLOOKUP('Customer Information'!A749, 'Customer Information'!$A$1:$A$1001, 'Customer Information'!$D$1:$D$1001)</f>
        <v>No</v>
      </c>
      <c r="H749" t="str">
        <f>INDEX('Additional Product Info.'!$A$1:$C$1001, MATCH('Product Positioning'!$A749, 'Additional Product Info.'!$A$1:$A$1001, 0), MATCH('Product Positioning'!H$1, 'Additional Product Info.'!$A$1:$C$1, 0))</f>
        <v>Aisle</v>
      </c>
      <c r="I749" t="str">
        <f>INDEX('Additional Product Info.'!$A$1:$C$1001, MATCH('Product Positioning'!$A749, 'Additional Product Info.'!$A$1:$A$1001, 0), MATCH('Product Positioning'!I$1, 'Additional Product Info.'!$A$1:$C$1, 0))</f>
        <v>Electronics</v>
      </c>
      <c r="J749" t="str">
        <f>_xlfn.XLOOKUP(A749, $A$1:$A$1001, 'Additional Product Info.'!$D$1:$D$1001)</f>
        <v>No</v>
      </c>
      <c r="K749" s="1">
        <f t="shared" si="22"/>
        <v>15644.16</v>
      </c>
      <c r="L749" s="1">
        <f t="shared" si="23"/>
        <v>1.92</v>
      </c>
      <c r="M749" t="str">
        <f>IF(L749&lt;=Statistics!$E$6,"Low Difference",IF('Product Positioning'!L749&gt;=Statistics!$E$4,"High Difference","Moderate Difference"))</f>
        <v>Moderate Difference</v>
      </c>
    </row>
    <row r="750" spans="1:13" x14ac:dyDescent="0.2">
      <c r="A750">
        <v>162699</v>
      </c>
      <c r="B750" s="1">
        <v>9.26</v>
      </c>
      <c r="C750" s="1">
        <v>5.65</v>
      </c>
      <c r="D750">
        <v>1474</v>
      </c>
      <c r="E750" t="str">
        <f>_xlfn.XLOOKUP(A750, 'Customer Information'!$A$1:$A$1001, 'Customer Information'!$B$1:$B$1001)</f>
        <v>High</v>
      </c>
      <c r="F750" t="str">
        <f>_xlfn.XLOOKUP(A750, 'Customer Information'!$A$1:$A$1001, 'Customer Information'!$C$1:$C$1001)</f>
        <v>Young adults</v>
      </c>
      <c r="G750" t="str">
        <f>_xlfn.XLOOKUP('Customer Information'!A750, 'Customer Information'!$A$1:$A$1001, 'Customer Information'!$D$1:$D$1001)</f>
        <v>No</v>
      </c>
      <c r="H750" t="str">
        <f>INDEX('Additional Product Info.'!$A$1:$C$1001, MATCH('Product Positioning'!$A750, 'Additional Product Info.'!$A$1:$A$1001, 0), MATCH('Product Positioning'!H$1, 'Additional Product Info.'!$A$1:$C$1, 0))</f>
        <v>End-cap</v>
      </c>
      <c r="I750" t="str">
        <f>INDEX('Additional Product Info.'!$A$1:$C$1001, MATCH('Product Positioning'!$A750, 'Additional Product Info.'!$A$1:$A$1001, 0), MATCH('Product Positioning'!I$1, 'Additional Product Info.'!$A$1:$C$1, 0))</f>
        <v>Electronics</v>
      </c>
      <c r="J750" t="str">
        <f>_xlfn.XLOOKUP(A750, $A$1:$A$1001, 'Additional Product Info.'!$D$1:$D$1001)</f>
        <v>Yes</v>
      </c>
      <c r="K750" s="1">
        <f t="shared" si="22"/>
        <v>13649.24</v>
      </c>
      <c r="L750" s="1">
        <f t="shared" si="23"/>
        <v>3.6099999999999994</v>
      </c>
      <c r="M750" t="str">
        <f>IF(L750&lt;=Statistics!$E$6,"Low Difference",IF('Product Positioning'!L750&gt;=Statistics!$E$4,"High Difference","Moderate Difference"))</f>
        <v>Moderate Difference</v>
      </c>
    </row>
    <row r="751" spans="1:13" x14ac:dyDescent="0.2">
      <c r="A751">
        <v>166102</v>
      </c>
      <c r="B751" s="1">
        <v>48.35</v>
      </c>
      <c r="C751" s="1">
        <v>47.1</v>
      </c>
      <c r="D751">
        <v>1001</v>
      </c>
      <c r="E751" t="str">
        <f>_xlfn.XLOOKUP(A751, 'Customer Information'!$A$1:$A$1001, 'Customer Information'!$B$1:$B$1001)</f>
        <v>Medium</v>
      </c>
      <c r="F751" t="str">
        <f>_xlfn.XLOOKUP(A751, 'Customer Information'!$A$1:$A$1001, 'Customer Information'!$C$1:$C$1001)</f>
        <v>College students</v>
      </c>
      <c r="G751" t="str">
        <f>_xlfn.XLOOKUP('Customer Information'!A751, 'Customer Information'!$A$1:$A$1001, 'Customer Information'!$D$1:$D$1001)</f>
        <v>Yes</v>
      </c>
      <c r="H751" t="str">
        <f>INDEX('Additional Product Info.'!$A$1:$C$1001, MATCH('Product Positioning'!$A751, 'Additional Product Info.'!$A$1:$A$1001, 0), MATCH('Product Positioning'!H$1, 'Additional Product Info.'!$A$1:$C$1, 0))</f>
        <v>Front of Store</v>
      </c>
      <c r="I751" t="str">
        <f>INDEX('Additional Product Info.'!$A$1:$C$1001, MATCH('Product Positioning'!$A751, 'Additional Product Info.'!$A$1:$A$1001, 0), MATCH('Product Positioning'!I$1, 'Additional Product Info.'!$A$1:$C$1, 0))</f>
        <v>Food</v>
      </c>
      <c r="J751" t="str">
        <f>_xlfn.XLOOKUP(A751, $A$1:$A$1001, 'Additional Product Info.'!$D$1:$D$1001)</f>
        <v>No</v>
      </c>
      <c r="K751" s="1">
        <f t="shared" si="22"/>
        <v>48398.35</v>
      </c>
      <c r="L751" s="1">
        <f t="shared" si="23"/>
        <v>1.25</v>
      </c>
      <c r="M751" t="str">
        <f>IF(L751&lt;=Statistics!$E$6,"Low Difference",IF('Product Positioning'!L751&gt;=Statistics!$E$4,"High Difference","Moderate Difference"))</f>
        <v>Moderate Difference</v>
      </c>
    </row>
    <row r="752" spans="1:13" x14ac:dyDescent="0.2">
      <c r="A752">
        <v>125196</v>
      </c>
      <c r="B752" s="1">
        <v>33.86</v>
      </c>
      <c r="C752" s="1">
        <v>31.9</v>
      </c>
      <c r="D752">
        <v>2479</v>
      </c>
      <c r="E752" t="str">
        <f>_xlfn.XLOOKUP(A752, 'Customer Information'!$A$1:$A$1001, 'Customer Information'!$B$1:$B$1001)</f>
        <v>High</v>
      </c>
      <c r="F752" t="str">
        <f>_xlfn.XLOOKUP(A752, 'Customer Information'!$A$1:$A$1001, 'Customer Information'!$C$1:$C$1001)</f>
        <v>Young adults</v>
      </c>
      <c r="G752" t="str">
        <f>_xlfn.XLOOKUP('Customer Information'!A752, 'Customer Information'!$A$1:$A$1001, 'Customer Information'!$D$1:$D$1001)</f>
        <v>No</v>
      </c>
      <c r="H752" t="str">
        <f>INDEX('Additional Product Info.'!$A$1:$C$1001, MATCH('Product Positioning'!$A752, 'Additional Product Info.'!$A$1:$A$1001, 0), MATCH('Product Positioning'!H$1, 'Additional Product Info.'!$A$1:$C$1, 0))</f>
        <v>Front of Store</v>
      </c>
      <c r="I752" t="str">
        <f>INDEX('Additional Product Info.'!$A$1:$C$1001, MATCH('Product Positioning'!$A752, 'Additional Product Info.'!$A$1:$A$1001, 0), MATCH('Product Positioning'!I$1, 'Additional Product Info.'!$A$1:$C$1, 0))</f>
        <v>Clothing</v>
      </c>
      <c r="J752" t="str">
        <f>_xlfn.XLOOKUP(A752, $A$1:$A$1001, 'Additional Product Info.'!$D$1:$D$1001)</f>
        <v>Yes</v>
      </c>
      <c r="K752" s="1">
        <f t="shared" si="22"/>
        <v>83938.94</v>
      </c>
      <c r="L752" s="1">
        <f t="shared" si="23"/>
        <v>1.9600000000000009</v>
      </c>
      <c r="M752" t="str">
        <f>IF(L752&lt;=Statistics!$E$6,"Low Difference",IF('Product Positioning'!L752&gt;=Statistics!$E$4,"High Difference","Moderate Difference"))</f>
        <v>Moderate Difference</v>
      </c>
    </row>
    <row r="753" spans="1:13" x14ac:dyDescent="0.2">
      <c r="A753">
        <v>190769</v>
      </c>
      <c r="B753" s="1">
        <v>40.56</v>
      </c>
      <c r="C753" s="1">
        <v>38.99</v>
      </c>
      <c r="D753">
        <v>955</v>
      </c>
      <c r="E753" t="str">
        <f>_xlfn.XLOOKUP(A753, 'Customer Information'!$A$1:$A$1001, 'Customer Information'!$B$1:$B$1001)</f>
        <v>High</v>
      </c>
      <c r="F753" t="str">
        <f>_xlfn.XLOOKUP(A753, 'Customer Information'!$A$1:$A$1001, 'Customer Information'!$C$1:$C$1001)</f>
        <v>Families</v>
      </c>
      <c r="G753" t="str">
        <f>_xlfn.XLOOKUP('Customer Information'!A753, 'Customer Information'!$A$1:$A$1001, 'Customer Information'!$D$1:$D$1001)</f>
        <v>No</v>
      </c>
      <c r="H753" t="str">
        <f>INDEX('Additional Product Info.'!$A$1:$C$1001, MATCH('Product Positioning'!$A753, 'Additional Product Info.'!$A$1:$A$1001, 0), MATCH('Product Positioning'!H$1, 'Additional Product Info.'!$A$1:$C$1, 0))</f>
        <v>Aisle</v>
      </c>
      <c r="I753" t="str">
        <f>INDEX('Additional Product Info.'!$A$1:$C$1001, MATCH('Product Positioning'!$A753, 'Additional Product Info.'!$A$1:$A$1001, 0), MATCH('Product Positioning'!I$1, 'Additional Product Info.'!$A$1:$C$1, 0))</f>
        <v>Clothing</v>
      </c>
      <c r="J753" t="str">
        <f>_xlfn.XLOOKUP(A753, $A$1:$A$1001, 'Additional Product Info.'!$D$1:$D$1001)</f>
        <v>Yes</v>
      </c>
      <c r="K753" s="1">
        <f t="shared" si="22"/>
        <v>38734.800000000003</v>
      </c>
      <c r="L753" s="1">
        <f t="shared" si="23"/>
        <v>1.5700000000000003</v>
      </c>
      <c r="M753" t="str">
        <f>IF(L753&lt;=Statistics!$E$6,"Low Difference",IF('Product Positioning'!L753&gt;=Statistics!$E$4,"High Difference","Moderate Difference"))</f>
        <v>Moderate Difference</v>
      </c>
    </row>
    <row r="754" spans="1:13" x14ac:dyDescent="0.2">
      <c r="A754">
        <v>192908</v>
      </c>
      <c r="B754" s="1">
        <v>45.61</v>
      </c>
      <c r="C754" s="1">
        <v>43.04</v>
      </c>
      <c r="D754">
        <v>1410</v>
      </c>
      <c r="E754" t="str">
        <f>_xlfn.XLOOKUP(A754, 'Customer Information'!$A$1:$A$1001, 'Customer Information'!$B$1:$B$1001)</f>
        <v>Low</v>
      </c>
      <c r="F754" t="str">
        <f>_xlfn.XLOOKUP(A754, 'Customer Information'!$A$1:$A$1001, 'Customer Information'!$C$1:$C$1001)</f>
        <v>Seniors</v>
      </c>
      <c r="G754" t="str">
        <f>_xlfn.XLOOKUP('Customer Information'!A754, 'Customer Information'!$A$1:$A$1001, 'Customer Information'!$D$1:$D$1001)</f>
        <v>No</v>
      </c>
      <c r="H754" t="str">
        <f>INDEX('Additional Product Info.'!$A$1:$C$1001, MATCH('Product Positioning'!$A754, 'Additional Product Info.'!$A$1:$A$1001, 0), MATCH('Product Positioning'!H$1, 'Additional Product Info.'!$A$1:$C$1, 0))</f>
        <v>Front of Store</v>
      </c>
      <c r="I754" t="str">
        <f>INDEX('Additional Product Info.'!$A$1:$C$1001, MATCH('Product Positioning'!$A754, 'Additional Product Info.'!$A$1:$A$1001, 0), MATCH('Product Positioning'!I$1, 'Additional Product Info.'!$A$1:$C$1, 0))</f>
        <v>Food</v>
      </c>
      <c r="J754" t="str">
        <f>_xlfn.XLOOKUP(A754, $A$1:$A$1001, 'Additional Product Info.'!$D$1:$D$1001)</f>
        <v>Yes</v>
      </c>
      <c r="K754" s="1">
        <f t="shared" si="22"/>
        <v>64310.1</v>
      </c>
      <c r="L754" s="1">
        <f t="shared" si="23"/>
        <v>2.5700000000000003</v>
      </c>
      <c r="M754" t="str">
        <f>IF(L754&lt;=Statistics!$E$6,"Low Difference",IF('Product Positioning'!L754&gt;=Statistics!$E$4,"High Difference","Moderate Difference"))</f>
        <v>Moderate Difference</v>
      </c>
    </row>
    <row r="755" spans="1:13" x14ac:dyDescent="0.2">
      <c r="A755">
        <v>190000</v>
      </c>
      <c r="B755" s="1">
        <v>11.29</v>
      </c>
      <c r="C755" s="1">
        <v>9.86</v>
      </c>
      <c r="D755">
        <v>1133</v>
      </c>
      <c r="E755" t="str">
        <f>_xlfn.XLOOKUP(A755, 'Customer Information'!$A$1:$A$1001, 'Customer Information'!$B$1:$B$1001)</f>
        <v>High</v>
      </c>
      <c r="F755" t="str">
        <f>_xlfn.XLOOKUP(A755, 'Customer Information'!$A$1:$A$1001, 'Customer Information'!$C$1:$C$1001)</f>
        <v>Families</v>
      </c>
      <c r="G755" t="str">
        <f>_xlfn.XLOOKUP('Customer Information'!A755, 'Customer Information'!$A$1:$A$1001, 'Customer Information'!$D$1:$D$1001)</f>
        <v>Yes</v>
      </c>
      <c r="H755" t="str">
        <f>INDEX('Additional Product Info.'!$A$1:$C$1001, MATCH('Product Positioning'!$A755, 'Additional Product Info.'!$A$1:$A$1001, 0), MATCH('Product Positioning'!H$1, 'Additional Product Info.'!$A$1:$C$1, 0))</f>
        <v>Front of Store</v>
      </c>
      <c r="I755" t="str">
        <f>INDEX('Additional Product Info.'!$A$1:$C$1001, MATCH('Product Positioning'!$A755, 'Additional Product Info.'!$A$1:$A$1001, 0), MATCH('Product Positioning'!I$1, 'Additional Product Info.'!$A$1:$C$1, 0))</f>
        <v>Electronics</v>
      </c>
      <c r="J755" t="str">
        <f>_xlfn.XLOOKUP(A755, $A$1:$A$1001, 'Additional Product Info.'!$D$1:$D$1001)</f>
        <v>No</v>
      </c>
      <c r="K755" s="1">
        <f t="shared" si="22"/>
        <v>12791.57</v>
      </c>
      <c r="L755" s="1">
        <f t="shared" si="23"/>
        <v>1.4299999999999997</v>
      </c>
      <c r="M755" t="str">
        <f>IF(L755&lt;=Statistics!$E$6,"Low Difference",IF('Product Positioning'!L755&gt;=Statistics!$E$4,"High Difference","Moderate Difference"))</f>
        <v>Moderate Difference</v>
      </c>
    </row>
    <row r="756" spans="1:13" x14ac:dyDescent="0.2">
      <c r="A756">
        <v>117812</v>
      </c>
      <c r="B756" s="1">
        <v>13.49</v>
      </c>
      <c r="C756" s="1">
        <v>11.04</v>
      </c>
      <c r="D756">
        <v>2984</v>
      </c>
      <c r="E756" t="str">
        <f>_xlfn.XLOOKUP(A756, 'Customer Information'!$A$1:$A$1001, 'Customer Information'!$B$1:$B$1001)</f>
        <v>High</v>
      </c>
      <c r="F756" t="str">
        <f>_xlfn.XLOOKUP(A756, 'Customer Information'!$A$1:$A$1001, 'Customer Information'!$C$1:$C$1001)</f>
        <v>Seniors</v>
      </c>
      <c r="G756" t="str">
        <f>_xlfn.XLOOKUP('Customer Information'!A756, 'Customer Information'!$A$1:$A$1001, 'Customer Information'!$D$1:$D$1001)</f>
        <v>No</v>
      </c>
      <c r="H756" t="str">
        <f>INDEX('Additional Product Info.'!$A$1:$C$1001, MATCH('Product Positioning'!$A756, 'Additional Product Info.'!$A$1:$A$1001, 0), MATCH('Product Positioning'!H$1, 'Additional Product Info.'!$A$1:$C$1, 0))</f>
        <v>End-cap</v>
      </c>
      <c r="I756" t="str">
        <f>INDEX('Additional Product Info.'!$A$1:$C$1001, MATCH('Product Positioning'!$A756, 'Additional Product Info.'!$A$1:$A$1001, 0), MATCH('Product Positioning'!I$1, 'Additional Product Info.'!$A$1:$C$1, 0))</f>
        <v>Electronics</v>
      </c>
      <c r="J756" t="str">
        <f>_xlfn.XLOOKUP(A756, $A$1:$A$1001, 'Additional Product Info.'!$D$1:$D$1001)</f>
        <v>No</v>
      </c>
      <c r="K756" s="1">
        <f t="shared" si="22"/>
        <v>40254.160000000003</v>
      </c>
      <c r="L756" s="1">
        <f t="shared" si="23"/>
        <v>2.4500000000000011</v>
      </c>
      <c r="M756" t="str">
        <f>IF(L756&lt;=Statistics!$E$6,"Low Difference",IF('Product Positioning'!L756&gt;=Statistics!$E$4,"High Difference","Moderate Difference"))</f>
        <v>Moderate Difference</v>
      </c>
    </row>
    <row r="757" spans="1:13" x14ac:dyDescent="0.2">
      <c r="A757">
        <v>158258</v>
      </c>
      <c r="B757" s="1">
        <v>41.44</v>
      </c>
      <c r="C757" s="1">
        <v>39.26</v>
      </c>
      <c r="D757">
        <v>2622</v>
      </c>
      <c r="E757" t="str">
        <f>_xlfn.XLOOKUP(A757, 'Customer Information'!$A$1:$A$1001, 'Customer Information'!$B$1:$B$1001)</f>
        <v>Low</v>
      </c>
      <c r="F757" t="str">
        <f>_xlfn.XLOOKUP(A757, 'Customer Information'!$A$1:$A$1001, 'Customer Information'!$C$1:$C$1001)</f>
        <v>Families</v>
      </c>
      <c r="G757" t="str">
        <f>_xlfn.XLOOKUP('Customer Information'!A757, 'Customer Information'!$A$1:$A$1001, 'Customer Information'!$D$1:$D$1001)</f>
        <v>No</v>
      </c>
      <c r="H757" t="str">
        <f>INDEX('Additional Product Info.'!$A$1:$C$1001, MATCH('Product Positioning'!$A757, 'Additional Product Info.'!$A$1:$A$1001, 0), MATCH('Product Positioning'!H$1, 'Additional Product Info.'!$A$1:$C$1, 0))</f>
        <v>Aisle</v>
      </c>
      <c r="I757" t="str">
        <f>INDEX('Additional Product Info.'!$A$1:$C$1001, MATCH('Product Positioning'!$A757, 'Additional Product Info.'!$A$1:$A$1001, 0), MATCH('Product Positioning'!I$1, 'Additional Product Info.'!$A$1:$C$1, 0))</f>
        <v>Electronics</v>
      </c>
      <c r="J757" t="str">
        <f>_xlfn.XLOOKUP(A757, $A$1:$A$1001, 'Additional Product Info.'!$D$1:$D$1001)</f>
        <v>Yes</v>
      </c>
      <c r="K757" s="1">
        <f t="shared" si="22"/>
        <v>108655.67999999999</v>
      </c>
      <c r="L757" s="1">
        <f t="shared" si="23"/>
        <v>2.1799999999999997</v>
      </c>
      <c r="M757" t="str">
        <f>IF(L757&lt;=Statistics!$E$6,"Low Difference",IF('Product Positioning'!L757&gt;=Statistics!$E$4,"High Difference","Moderate Difference"))</f>
        <v>Moderate Difference</v>
      </c>
    </row>
    <row r="758" spans="1:13" x14ac:dyDescent="0.2">
      <c r="A758">
        <v>136575</v>
      </c>
      <c r="B758" s="1">
        <v>18.649999999999999</v>
      </c>
      <c r="C758" s="1">
        <v>15.73</v>
      </c>
      <c r="D758">
        <v>2570</v>
      </c>
      <c r="E758" t="str">
        <f>_xlfn.XLOOKUP(A758, 'Customer Information'!$A$1:$A$1001, 'Customer Information'!$B$1:$B$1001)</f>
        <v>High</v>
      </c>
      <c r="F758" t="str">
        <f>_xlfn.XLOOKUP(A758, 'Customer Information'!$A$1:$A$1001, 'Customer Information'!$C$1:$C$1001)</f>
        <v>Young adults</v>
      </c>
      <c r="G758" t="str">
        <f>_xlfn.XLOOKUP('Customer Information'!A758, 'Customer Information'!$A$1:$A$1001, 'Customer Information'!$D$1:$D$1001)</f>
        <v>Yes</v>
      </c>
      <c r="H758" t="str">
        <f>INDEX('Additional Product Info.'!$A$1:$C$1001, MATCH('Product Positioning'!$A758, 'Additional Product Info.'!$A$1:$A$1001, 0), MATCH('Product Positioning'!H$1, 'Additional Product Info.'!$A$1:$C$1, 0))</f>
        <v>Aisle</v>
      </c>
      <c r="I758" t="str">
        <f>INDEX('Additional Product Info.'!$A$1:$C$1001, MATCH('Product Positioning'!$A758, 'Additional Product Info.'!$A$1:$A$1001, 0), MATCH('Product Positioning'!I$1, 'Additional Product Info.'!$A$1:$C$1, 0))</f>
        <v>Food</v>
      </c>
      <c r="J758" t="str">
        <f>_xlfn.XLOOKUP(A758, $A$1:$A$1001, 'Additional Product Info.'!$D$1:$D$1001)</f>
        <v>Yes</v>
      </c>
      <c r="K758" s="1">
        <f t="shared" si="22"/>
        <v>47930.499999999993</v>
      </c>
      <c r="L758" s="1">
        <f t="shared" si="23"/>
        <v>2.9199999999999982</v>
      </c>
      <c r="M758" t="str">
        <f>IF(L758&lt;=Statistics!$E$6,"Low Difference",IF('Product Positioning'!L758&gt;=Statistics!$E$4,"High Difference","Moderate Difference"))</f>
        <v>Moderate Difference</v>
      </c>
    </row>
    <row r="759" spans="1:13" x14ac:dyDescent="0.2">
      <c r="A759">
        <v>152880</v>
      </c>
      <c r="B759" s="1">
        <v>25.36</v>
      </c>
      <c r="C759" s="1">
        <v>24.79</v>
      </c>
      <c r="D759">
        <v>617</v>
      </c>
      <c r="E759" t="str">
        <f>_xlfn.XLOOKUP(A759, 'Customer Information'!$A$1:$A$1001, 'Customer Information'!$B$1:$B$1001)</f>
        <v>Low</v>
      </c>
      <c r="F759" t="str">
        <f>_xlfn.XLOOKUP(A759, 'Customer Information'!$A$1:$A$1001, 'Customer Information'!$C$1:$C$1001)</f>
        <v>Young adults</v>
      </c>
      <c r="G759" t="str">
        <f>_xlfn.XLOOKUP('Customer Information'!A759, 'Customer Information'!$A$1:$A$1001, 'Customer Information'!$D$1:$D$1001)</f>
        <v>No</v>
      </c>
      <c r="H759" t="str">
        <f>INDEX('Additional Product Info.'!$A$1:$C$1001, MATCH('Product Positioning'!$A759, 'Additional Product Info.'!$A$1:$A$1001, 0), MATCH('Product Positioning'!H$1, 'Additional Product Info.'!$A$1:$C$1, 0))</f>
        <v>End-cap</v>
      </c>
      <c r="I759" t="str">
        <f>INDEX('Additional Product Info.'!$A$1:$C$1001, MATCH('Product Positioning'!$A759, 'Additional Product Info.'!$A$1:$A$1001, 0), MATCH('Product Positioning'!I$1, 'Additional Product Info.'!$A$1:$C$1, 0))</f>
        <v>Clothing</v>
      </c>
      <c r="J759" t="str">
        <f>_xlfn.XLOOKUP(A759, $A$1:$A$1001, 'Additional Product Info.'!$D$1:$D$1001)</f>
        <v>Yes</v>
      </c>
      <c r="K759" s="1">
        <f t="shared" si="22"/>
        <v>15647.119999999999</v>
      </c>
      <c r="L759" s="1">
        <f t="shared" si="23"/>
        <v>0.57000000000000028</v>
      </c>
      <c r="M759" t="str">
        <f>IF(L759&lt;=Statistics!$E$6,"Low Difference",IF('Product Positioning'!L759&gt;=Statistics!$E$4,"High Difference","Moderate Difference"))</f>
        <v>Low Difference</v>
      </c>
    </row>
    <row r="760" spans="1:13" x14ac:dyDescent="0.2">
      <c r="A760">
        <v>112839</v>
      </c>
      <c r="B760" s="1">
        <v>49.98</v>
      </c>
      <c r="C760" s="1">
        <v>49.85</v>
      </c>
      <c r="D760">
        <v>2255</v>
      </c>
      <c r="E760" t="str">
        <f>_xlfn.XLOOKUP(A760, 'Customer Information'!$A$1:$A$1001, 'Customer Information'!$B$1:$B$1001)</f>
        <v>High</v>
      </c>
      <c r="F760" t="str">
        <f>_xlfn.XLOOKUP(A760, 'Customer Information'!$A$1:$A$1001, 'Customer Information'!$C$1:$C$1001)</f>
        <v>Young adults</v>
      </c>
      <c r="G760" t="str">
        <f>_xlfn.XLOOKUP('Customer Information'!A760, 'Customer Information'!$A$1:$A$1001, 'Customer Information'!$D$1:$D$1001)</f>
        <v>No</v>
      </c>
      <c r="H760" t="str">
        <f>INDEX('Additional Product Info.'!$A$1:$C$1001, MATCH('Product Positioning'!$A760, 'Additional Product Info.'!$A$1:$A$1001, 0), MATCH('Product Positioning'!H$1, 'Additional Product Info.'!$A$1:$C$1, 0))</f>
        <v>Front of Store</v>
      </c>
      <c r="I760" t="str">
        <f>INDEX('Additional Product Info.'!$A$1:$C$1001, MATCH('Product Positioning'!$A760, 'Additional Product Info.'!$A$1:$A$1001, 0), MATCH('Product Positioning'!I$1, 'Additional Product Info.'!$A$1:$C$1, 0))</f>
        <v>Clothing</v>
      </c>
      <c r="J760" t="str">
        <f>_xlfn.XLOOKUP(A760, $A$1:$A$1001, 'Additional Product Info.'!$D$1:$D$1001)</f>
        <v>No</v>
      </c>
      <c r="K760" s="1">
        <f t="shared" si="22"/>
        <v>112704.9</v>
      </c>
      <c r="L760" s="1">
        <f t="shared" si="23"/>
        <v>0.12999999999999545</v>
      </c>
      <c r="M760" t="str">
        <f>IF(L760&lt;=Statistics!$E$6,"Low Difference",IF('Product Positioning'!L760&gt;=Statistics!$E$4,"High Difference","Moderate Difference"))</f>
        <v>Low Difference</v>
      </c>
    </row>
    <row r="761" spans="1:13" x14ac:dyDescent="0.2">
      <c r="A761">
        <v>190584</v>
      </c>
      <c r="B761" s="1">
        <v>37.43</v>
      </c>
      <c r="C761" s="1">
        <v>33.22</v>
      </c>
      <c r="D761">
        <v>637</v>
      </c>
      <c r="E761" t="str">
        <f>_xlfn.XLOOKUP(A761, 'Customer Information'!$A$1:$A$1001, 'Customer Information'!$B$1:$B$1001)</f>
        <v>Low</v>
      </c>
      <c r="F761" t="str">
        <f>_xlfn.XLOOKUP(A761, 'Customer Information'!$A$1:$A$1001, 'Customer Information'!$C$1:$C$1001)</f>
        <v>College students</v>
      </c>
      <c r="G761" t="str">
        <f>_xlfn.XLOOKUP('Customer Information'!A761, 'Customer Information'!$A$1:$A$1001, 'Customer Information'!$D$1:$D$1001)</f>
        <v>Yes</v>
      </c>
      <c r="H761" t="str">
        <f>INDEX('Additional Product Info.'!$A$1:$C$1001, MATCH('Product Positioning'!$A761, 'Additional Product Info.'!$A$1:$A$1001, 0), MATCH('Product Positioning'!H$1, 'Additional Product Info.'!$A$1:$C$1, 0))</f>
        <v>Front of Store</v>
      </c>
      <c r="I761" t="str">
        <f>INDEX('Additional Product Info.'!$A$1:$C$1001, MATCH('Product Positioning'!$A761, 'Additional Product Info.'!$A$1:$A$1001, 0), MATCH('Product Positioning'!I$1, 'Additional Product Info.'!$A$1:$C$1, 0))</f>
        <v>Clothing</v>
      </c>
      <c r="J761" t="str">
        <f>_xlfn.XLOOKUP(A761, $A$1:$A$1001, 'Additional Product Info.'!$D$1:$D$1001)</f>
        <v>No</v>
      </c>
      <c r="K761" s="1">
        <f t="shared" si="22"/>
        <v>23842.91</v>
      </c>
      <c r="L761" s="1">
        <f t="shared" si="23"/>
        <v>4.2100000000000009</v>
      </c>
      <c r="M761" t="str">
        <f>IF(L761&lt;=Statistics!$E$6,"Low Difference",IF('Product Positioning'!L761&gt;=Statistics!$E$4,"High Difference","Moderate Difference"))</f>
        <v>High Difference</v>
      </c>
    </row>
    <row r="762" spans="1:13" x14ac:dyDescent="0.2">
      <c r="A762">
        <v>171598</v>
      </c>
      <c r="B762" s="1">
        <v>30.93</v>
      </c>
      <c r="C762" s="1">
        <v>30.15</v>
      </c>
      <c r="D762">
        <v>1613</v>
      </c>
      <c r="E762" t="str">
        <f>_xlfn.XLOOKUP(A762, 'Customer Information'!$A$1:$A$1001, 'Customer Information'!$B$1:$B$1001)</f>
        <v>Medium</v>
      </c>
      <c r="F762" t="str">
        <f>_xlfn.XLOOKUP(A762, 'Customer Information'!$A$1:$A$1001, 'Customer Information'!$C$1:$C$1001)</f>
        <v>College students</v>
      </c>
      <c r="G762" t="str">
        <f>_xlfn.XLOOKUP('Customer Information'!A762, 'Customer Information'!$A$1:$A$1001, 'Customer Information'!$D$1:$D$1001)</f>
        <v>Yes</v>
      </c>
      <c r="H762" t="str">
        <f>INDEX('Additional Product Info.'!$A$1:$C$1001, MATCH('Product Positioning'!$A762, 'Additional Product Info.'!$A$1:$A$1001, 0), MATCH('Product Positioning'!H$1, 'Additional Product Info.'!$A$1:$C$1, 0))</f>
        <v>Aisle</v>
      </c>
      <c r="I762" t="str">
        <f>INDEX('Additional Product Info.'!$A$1:$C$1001, MATCH('Product Positioning'!$A762, 'Additional Product Info.'!$A$1:$A$1001, 0), MATCH('Product Positioning'!I$1, 'Additional Product Info.'!$A$1:$C$1, 0))</f>
        <v>Electronics</v>
      </c>
      <c r="J762" t="str">
        <f>_xlfn.XLOOKUP(A762, $A$1:$A$1001, 'Additional Product Info.'!$D$1:$D$1001)</f>
        <v>No</v>
      </c>
      <c r="K762" s="1">
        <f t="shared" si="22"/>
        <v>49890.09</v>
      </c>
      <c r="L762" s="1">
        <f t="shared" si="23"/>
        <v>0.78000000000000114</v>
      </c>
      <c r="M762" t="str">
        <f>IF(L762&lt;=Statistics!$E$6,"Low Difference",IF('Product Positioning'!L762&gt;=Statistics!$E$4,"High Difference","Moderate Difference"))</f>
        <v>Low Difference</v>
      </c>
    </row>
    <row r="763" spans="1:13" x14ac:dyDescent="0.2">
      <c r="A763">
        <v>169545</v>
      </c>
      <c r="B763" s="1">
        <v>20.399999999999999</v>
      </c>
      <c r="C763" s="1">
        <v>15.7</v>
      </c>
      <c r="D763">
        <v>653</v>
      </c>
      <c r="E763" t="str">
        <f>_xlfn.XLOOKUP(A763, 'Customer Information'!$A$1:$A$1001, 'Customer Information'!$B$1:$B$1001)</f>
        <v>Medium</v>
      </c>
      <c r="F763" t="str">
        <f>_xlfn.XLOOKUP(A763, 'Customer Information'!$A$1:$A$1001, 'Customer Information'!$C$1:$C$1001)</f>
        <v>Families</v>
      </c>
      <c r="G763" t="str">
        <f>_xlfn.XLOOKUP('Customer Information'!A763, 'Customer Information'!$A$1:$A$1001, 'Customer Information'!$D$1:$D$1001)</f>
        <v>Yes</v>
      </c>
      <c r="H763" t="str">
        <f>INDEX('Additional Product Info.'!$A$1:$C$1001, MATCH('Product Positioning'!$A763, 'Additional Product Info.'!$A$1:$A$1001, 0), MATCH('Product Positioning'!H$1, 'Additional Product Info.'!$A$1:$C$1, 0))</f>
        <v>Front of Store</v>
      </c>
      <c r="I763" t="str">
        <f>INDEX('Additional Product Info.'!$A$1:$C$1001, MATCH('Product Positioning'!$A763, 'Additional Product Info.'!$A$1:$A$1001, 0), MATCH('Product Positioning'!I$1, 'Additional Product Info.'!$A$1:$C$1, 0))</f>
        <v>Electronics</v>
      </c>
      <c r="J763" t="str">
        <f>_xlfn.XLOOKUP(A763, $A$1:$A$1001, 'Additional Product Info.'!$D$1:$D$1001)</f>
        <v>No</v>
      </c>
      <c r="K763" s="1">
        <f t="shared" si="22"/>
        <v>13321.199999999999</v>
      </c>
      <c r="L763" s="1">
        <f t="shared" si="23"/>
        <v>4.6999999999999993</v>
      </c>
      <c r="M763" t="str">
        <f>IF(L763&lt;=Statistics!$E$6,"Low Difference",IF('Product Positioning'!L763&gt;=Statistics!$E$4,"High Difference","Moderate Difference"))</f>
        <v>High Difference</v>
      </c>
    </row>
    <row r="764" spans="1:13" x14ac:dyDescent="0.2">
      <c r="A764">
        <v>132704</v>
      </c>
      <c r="B764" s="1">
        <v>25.47</v>
      </c>
      <c r="C764" s="1">
        <v>22.73</v>
      </c>
      <c r="D764">
        <v>2074</v>
      </c>
      <c r="E764" t="str">
        <f>_xlfn.XLOOKUP(A764, 'Customer Information'!$A$1:$A$1001, 'Customer Information'!$B$1:$B$1001)</f>
        <v>High</v>
      </c>
      <c r="F764" t="str">
        <f>_xlfn.XLOOKUP(A764, 'Customer Information'!$A$1:$A$1001, 'Customer Information'!$C$1:$C$1001)</f>
        <v>Families</v>
      </c>
      <c r="G764" t="str">
        <f>_xlfn.XLOOKUP('Customer Information'!A764, 'Customer Information'!$A$1:$A$1001, 'Customer Information'!$D$1:$D$1001)</f>
        <v>Yes</v>
      </c>
      <c r="H764" t="str">
        <f>INDEX('Additional Product Info.'!$A$1:$C$1001, MATCH('Product Positioning'!$A764, 'Additional Product Info.'!$A$1:$A$1001, 0), MATCH('Product Positioning'!H$1, 'Additional Product Info.'!$A$1:$C$1, 0))</f>
        <v>Aisle</v>
      </c>
      <c r="I764" t="str">
        <f>INDEX('Additional Product Info.'!$A$1:$C$1001, MATCH('Product Positioning'!$A764, 'Additional Product Info.'!$A$1:$A$1001, 0), MATCH('Product Positioning'!I$1, 'Additional Product Info.'!$A$1:$C$1, 0))</f>
        <v>Electronics</v>
      </c>
      <c r="J764" t="str">
        <f>_xlfn.XLOOKUP(A764, $A$1:$A$1001, 'Additional Product Info.'!$D$1:$D$1001)</f>
        <v>No</v>
      </c>
      <c r="K764" s="1">
        <f t="shared" si="22"/>
        <v>52824.78</v>
      </c>
      <c r="L764" s="1">
        <f t="shared" si="23"/>
        <v>2.7399999999999984</v>
      </c>
      <c r="M764" t="str">
        <f>IF(L764&lt;=Statistics!$E$6,"Low Difference",IF('Product Positioning'!L764&gt;=Statistics!$E$4,"High Difference","Moderate Difference"))</f>
        <v>Moderate Difference</v>
      </c>
    </row>
    <row r="765" spans="1:13" x14ac:dyDescent="0.2">
      <c r="A765">
        <v>168639</v>
      </c>
      <c r="B765" s="1">
        <v>38.68</v>
      </c>
      <c r="C765" s="1">
        <v>35.89</v>
      </c>
      <c r="D765">
        <v>2068</v>
      </c>
      <c r="E765" t="str">
        <f>_xlfn.XLOOKUP(A765, 'Customer Information'!$A$1:$A$1001, 'Customer Information'!$B$1:$B$1001)</f>
        <v>High</v>
      </c>
      <c r="F765" t="str">
        <f>_xlfn.XLOOKUP(A765, 'Customer Information'!$A$1:$A$1001, 'Customer Information'!$C$1:$C$1001)</f>
        <v>College students</v>
      </c>
      <c r="G765" t="str">
        <f>_xlfn.XLOOKUP('Customer Information'!A765, 'Customer Information'!$A$1:$A$1001, 'Customer Information'!$D$1:$D$1001)</f>
        <v>Yes</v>
      </c>
      <c r="H765" t="str">
        <f>INDEX('Additional Product Info.'!$A$1:$C$1001, MATCH('Product Positioning'!$A765, 'Additional Product Info.'!$A$1:$A$1001, 0), MATCH('Product Positioning'!H$1, 'Additional Product Info.'!$A$1:$C$1, 0))</f>
        <v>Front of Store</v>
      </c>
      <c r="I765" t="str">
        <f>INDEX('Additional Product Info.'!$A$1:$C$1001, MATCH('Product Positioning'!$A765, 'Additional Product Info.'!$A$1:$A$1001, 0), MATCH('Product Positioning'!I$1, 'Additional Product Info.'!$A$1:$C$1, 0))</f>
        <v>Clothing</v>
      </c>
      <c r="J765" t="str">
        <f>_xlfn.XLOOKUP(A765, $A$1:$A$1001, 'Additional Product Info.'!$D$1:$D$1001)</f>
        <v>Yes</v>
      </c>
      <c r="K765" s="1">
        <f t="shared" si="22"/>
        <v>79990.240000000005</v>
      </c>
      <c r="L765" s="1">
        <f t="shared" si="23"/>
        <v>2.7899999999999991</v>
      </c>
      <c r="M765" t="str">
        <f>IF(L765&lt;=Statistics!$E$6,"Low Difference",IF('Product Positioning'!L765&gt;=Statistics!$E$4,"High Difference","Moderate Difference"))</f>
        <v>Moderate Difference</v>
      </c>
    </row>
    <row r="766" spans="1:13" x14ac:dyDescent="0.2">
      <c r="A766">
        <v>163062</v>
      </c>
      <c r="B766" s="1">
        <v>37.79</v>
      </c>
      <c r="C766" s="1">
        <v>34.04</v>
      </c>
      <c r="D766">
        <v>2360</v>
      </c>
      <c r="E766" t="str">
        <f>_xlfn.XLOOKUP(A766, 'Customer Information'!$A$1:$A$1001, 'Customer Information'!$B$1:$B$1001)</f>
        <v>High</v>
      </c>
      <c r="F766" t="str">
        <f>_xlfn.XLOOKUP(A766, 'Customer Information'!$A$1:$A$1001, 'Customer Information'!$C$1:$C$1001)</f>
        <v>College students</v>
      </c>
      <c r="G766" t="str">
        <f>_xlfn.XLOOKUP('Customer Information'!A766, 'Customer Information'!$A$1:$A$1001, 'Customer Information'!$D$1:$D$1001)</f>
        <v>Yes</v>
      </c>
      <c r="H766" t="str">
        <f>INDEX('Additional Product Info.'!$A$1:$C$1001, MATCH('Product Positioning'!$A766, 'Additional Product Info.'!$A$1:$A$1001, 0), MATCH('Product Positioning'!H$1, 'Additional Product Info.'!$A$1:$C$1, 0))</f>
        <v>End-cap</v>
      </c>
      <c r="I766" t="str">
        <f>INDEX('Additional Product Info.'!$A$1:$C$1001, MATCH('Product Positioning'!$A766, 'Additional Product Info.'!$A$1:$A$1001, 0), MATCH('Product Positioning'!I$1, 'Additional Product Info.'!$A$1:$C$1, 0))</f>
        <v>Food</v>
      </c>
      <c r="J766" t="str">
        <f>_xlfn.XLOOKUP(A766, $A$1:$A$1001, 'Additional Product Info.'!$D$1:$D$1001)</f>
        <v>Yes</v>
      </c>
      <c r="K766" s="1">
        <f t="shared" si="22"/>
        <v>89184.4</v>
      </c>
      <c r="L766" s="1">
        <f t="shared" si="23"/>
        <v>3.75</v>
      </c>
      <c r="M766" t="str">
        <f>IF(L766&lt;=Statistics!$E$6,"Low Difference",IF('Product Positioning'!L766&gt;=Statistics!$E$4,"High Difference","Moderate Difference"))</f>
        <v>High Difference</v>
      </c>
    </row>
    <row r="767" spans="1:13" x14ac:dyDescent="0.2">
      <c r="A767">
        <v>186783</v>
      </c>
      <c r="B767" s="1">
        <v>8.52</v>
      </c>
      <c r="C767" s="1">
        <v>4.55</v>
      </c>
      <c r="D767">
        <v>1667</v>
      </c>
      <c r="E767" t="str">
        <f>_xlfn.XLOOKUP(A767, 'Customer Information'!$A$1:$A$1001, 'Customer Information'!$B$1:$B$1001)</f>
        <v>Low</v>
      </c>
      <c r="F767" t="str">
        <f>_xlfn.XLOOKUP(A767, 'Customer Information'!$A$1:$A$1001, 'Customer Information'!$C$1:$C$1001)</f>
        <v>Young adults</v>
      </c>
      <c r="G767" t="str">
        <f>_xlfn.XLOOKUP('Customer Information'!A767, 'Customer Information'!$A$1:$A$1001, 'Customer Information'!$D$1:$D$1001)</f>
        <v>No</v>
      </c>
      <c r="H767" t="str">
        <f>INDEX('Additional Product Info.'!$A$1:$C$1001, MATCH('Product Positioning'!$A767, 'Additional Product Info.'!$A$1:$A$1001, 0), MATCH('Product Positioning'!H$1, 'Additional Product Info.'!$A$1:$C$1, 0))</f>
        <v>Front of Store</v>
      </c>
      <c r="I767" t="str">
        <f>INDEX('Additional Product Info.'!$A$1:$C$1001, MATCH('Product Positioning'!$A767, 'Additional Product Info.'!$A$1:$A$1001, 0), MATCH('Product Positioning'!I$1, 'Additional Product Info.'!$A$1:$C$1, 0))</f>
        <v>Food</v>
      </c>
      <c r="J767" t="str">
        <f>_xlfn.XLOOKUP(A767, $A$1:$A$1001, 'Additional Product Info.'!$D$1:$D$1001)</f>
        <v>Yes</v>
      </c>
      <c r="K767" s="1">
        <f t="shared" si="22"/>
        <v>14202.84</v>
      </c>
      <c r="L767" s="1">
        <f t="shared" si="23"/>
        <v>3.9699999999999998</v>
      </c>
      <c r="M767" t="str">
        <f>IF(L767&lt;=Statistics!$E$6,"Low Difference",IF('Product Positioning'!L767&gt;=Statistics!$E$4,"High Difference","Moderate Difference"))</f>
        <v>High Difference</v>
      </c>
    </row>
    <row r="768" spans="1:13" x14ac:dyDescent="0.2">
      <c r="A768">
        <v>130656</v>
      </c>
      <c r="B768" s="1">
        <v>30.51</v>
      </c>
      <c r="C768" s="1">
        <v>27.48</v>
      </c>
      <c r="D768">
        <v>588</v>
      </c>
      <c r="E768" t="str">
        <f>_xlfn.XLOOKUP(A768, 'Customer Information'!$A$1:$A$1001, 'Customer Information'!$B$1:$B$1001)</f>
        <v>Medium</v>
      </c>
      <c r="F768" t="str">
        <f>_xlfn.XLOOKUP(A768, 'Customer Information'!$A$1:$A$1001, 'Customer Information'!$C$1:$C$1001)</f>
        <v>Families</v>
      </c>
      <c r="G768" t="str">
        <f>_xlfn.XLOOKUP('Customer Information'!A768, 'Customer Information'!$A$1:$A$1001, 'Customer Information'!$D$1:$D$1001)</f>
        <v>Yes</v>
      </c>
      <c r="H768" t="str">
        <f>INDEX('Additional Product Info.'!$A$1:$C$1001, MATCH('Product Positioning'!$A768, 'Additional Product Info.'!$A$1:$A$1001, 0), MATCH('Product Positioning'!H$1, 'Additional Product Info.'!$A$1:$C$1, 0))</f>
        <v>End-cap</v>
      </c>
      <c r="I768" t="str">
        <f>INDEX('Additional Product Info.'!$A$1:$C$1001, MATCH('Product Positioning'!$A768, 'Additional Product Info.'!$A$1:$A$1001, 0), MATCH('Product Positioning'!I$1, 'Additional Product Info.'!$A$1:$C$1, 0))</f>
        <v>Electronics</v>
      </c>
      <c r="J768" t="str">
        <f>_xlfn.XLOOKUP(A768, $A$1:$A$1001, 'Additional Product Info.'!$D$1:$D$1001)</f>
        <v>No</v>
      </c>
      <c r="K768" s="1">
        <f t="shared" si="22"/>
        <v>17939.88</v>
      </c>
      <c r="L768" s="1">
        <f t="shared" si="23"/>
        <v>3.0300000000000011</v>
      </c>
      <c r="M768" t="str">
        <f>IF(L768&lt;=Statistics!$E$6,"Low Difference",IF('Product Positioning'!L768&gt;=Statistics!$E$4,"High Difference","Moderate Difference"))</f>
        <v>Moderate Difference</v>
      </c>
    </row>
    <row r="769" spans="1:13" x14ac:dyDescent="0.2">
      <c r="A769">
        <v>111930</v>
      </c>
      <c r="B769" s="1">
        <v>11.04</v>
      </c>
      <c r="C769" s="1">
        <v>9.15</v>
      </c>
      <c r="D769">
        <v>1380</v>
      </c>
      <c r="E769" t="str">
        <f>_xlfn.XLOOKUP(A769, 'Customer Information'!$A$1:$A$1001, 'Customer Information'!$B$1:$B$1001)</f>
        <v>High</v>
      </c>
      <c r="F769" t="str">
        <f>_xlfn.XLOOKUP(A769, 'Customer Information'!$A$1:$A$1001, 'Customer Information'!$C$1:$C$1001)</f>
        <v>Seniors</v>
      </c>
      <c r="G769" t="str">
        <f>_xlfn.XLOOKUP('Customer Information'!A769, 'Customer Information'!$A$1:$A$1001, 'Customer Information'!$D$1:$D$1001)</f>
        <v>No</v>
      </c>
      <c r="H769" t="str">
        <f>INDEX('Additional Product Info.'!$A$1:$C$1001, MATCH('Product Positioning'!$A769, 'Additional Product Info.'!$A$1:$A$1001, 0), MATCH('Product Positioning'!H$1, 'Additional Product Info.'!$A$1:$C$1, 0))</f>
        <v>Front of Store</v>
      </c>
      <c r="I769" t="str">
        <f>INDEX('Additional Product Info.'!$A$1:$C$1001, MATCH('Product Positioning'!$A769, 'Additional Product Info.'!$A$1:$A$1001, 0), MATCH('Product Positioning'!I$1, 'Additional Product Info.'!$A$1:$C$1, 0))</f>
        <v>Electronics</v>
      </c>
      <c r="J769" t="str">
        <f>_xlfn.XLOOKUP(A769, $A$1:$A$1001, 'Additional Product Info.'!$D$1:$D$1001)</f>
        <v>No</v>
      </c>
      <c r="K769" s="1">
        <f t="shared" si="22"/>
        <v>15235.199999999999</v>
      </c>
      <c r="L769" s="1">
        <f t="shared" si="23"/>
        <v>1.8899999999999988</v>
      </c>
      <c r="M769" t="str">
        <f>IF(L769&lt;=Statistics!$E$6,"Low Difference",IF('Product Positioning'!L769&gt;=Statistics!$E$4,"High Difference","Moderate Difference"))</f>
        <v>Moderate Difference</v>
      </c>
    </row>
    <row r="770" spans="1:13" x14ac:dyDescent="0.2">
      <c r="A770">
        <v>115305</v>
      </c>
      <c r="B770" s="1">
        <v>36.36</v>
      </c>
      <c r="C770" s="1">
        <v>31.41</v>
      </c>
      <c r="D770">
        <v>676</v>
      </c>
      <c r="E770" t="str">
        <f>_xlfn.XLOOKUP(A770, 'Customer Information'!$A$1:$A$1001, 'Customer Information'!$B$1:$B$1001)</f>
        <v>High</v>
      </c>
      <c r="F770" t="str">
        <f>_xlfn.XLOOKUP(A770, 'Customer Information'!$A$1:$A$1001, 'Customer Information'!$C$1:$C$1001)</f>
        <v>Seniors</v>
      </c>
      <c r="G770" t="str">
        <f>_xlfn.XLOOKUP('Customer Information'!A770, 'Customer Information'!$A$1:$A$1001, 'Customer Information'!$D$1:$D$1001)</f>
        <v>No</v>
      </c>
      <c r="H770" t="str">
        <f>INDEX('Additional Product Info.'!$A$1:$C$1001, MATCH('Product Positioning'!$A770, 'Additional Product Info.'!$A$1:$A$1001, 0), MATCH('Product Positioning'!H$1, 'Additional Product Info.'!$A$1:$C$1, 0))</f>
        <v>End-cap</v>
      </c>
      <c r="I770" t="str">
        <f>INDEX('Additional Product Info.'!$A$1:$C$1001, MATCH('Product Positioning'!$A770, 'Additional Product Info.'!$A$1:$A$1001, 0), MATCH('Product Positioning'!I$1, 'Additional Product Info.'!$A$1:$C$1, 0))</f>
        <v>Electronics</v>
      </c>
      <c r="J770" t="str">
        <f>_xlfn.XLOOKUP(A770, $A$1:$A$1001, 'Additional Product Info.'!$D$1:$D$1001)</f>
        <v>Yes</v>
      </c>
      <c r="K770" s="1">
        <f t="shared" ref="K770:K833" si="24">B770*D770</f>
        <v>24579.360000000001</v>
      </c>
      <c r="L770" s="1">
        <f t="shared" ref="L770:L833" si="25">ABS(B770-C770)</f>
        <v>4.9499999999999993</v>
      </c>
      <c r="M770" t="str">
        <f>IF(L770&lt;=Statistics!$E$6,"Low Difference",IF('Product Positioning'!L770&gt;=Statistics!$E$4,"High Difference","Moderate Difference"))</f>
        <v>High Difference</v>
      </c>
    </row>
    <row r="771" spans="1:13" x14ac:dyDescent="0.2">
      <c r="A771">
        <v>167689</v>
      </c>
      <c r="B771" s="1">
        <v>11.48</v>
      </c>
      <c r="C771" s="1">
        <v>10.41</v>
      </c>
      <c r="D771">
        <v>2969</v>
      </c>
      <c r="E771" t="str">
        <f>_xlfn.XLOOKUP(A771, 'Customer Information'!$A$1:$A$1001, 'Customer Information'!$B$1:$B$1001)</f>
        <v>High</v>
      </c>
      <c r="F771" t="str">
        <f>_xlfn.XLOOKUP(A771, 'Customer Information'!$A$1:$A$1001, 'Customer Information'!$C$1:$C$1001)</f>
        <v>Young adults</v>
      </c>
      <c r="G771" t="str">
        <f>_xlfn.XLOOKUP('Customer Information'!A771, 'Customer Information'!$A$1:$A$1001, 'Customer Information'!$D$1:$D$1001)</f>
        <v>No</v>
      </c>
      <c r="H771" t="str">
        <f>INDEX('Additional Product Info.'!$A$1:$C$1001, MATCH('Product Positioning'!$A771, 'Additional Product Info.'!$A$1:$A$1001, 0), MATCH('Product Positioning'!H$1, 'Additional Product Info.'!$A$1:$C$1, 0))</f>
        <v>Front of Store</v>
      </c>
      <c r="I771" t="str">
        <f>INDEX('Additional Product Info.'!$A$1:$C$1001, MATCH('Product Positioning'!$A771, 'Additional Product Info.'!$A$1:$A$1001, 0), MATCH('Product Positioning'!I$1, 'Additional Product Info.'!$A$1:$C$1, 0))</f>
        <v>Electronics</v>
      </c>
      <c r="J771" t="str">
        <f>_xlfn.XLOOKUP(A771, $A$1:$A$1001, 'Additional Product Info.'!$D$1:$D$1001)</f>
        <v>Yes</v>
      </c>
      <c r="K771" s="1">
        <f t="shared" si="24"/>
        <v>34084.120000000003</v>
      </c>
      <c r="L771" s="1">
        <f t="shared" si="25"/>
        <v>1.0700000000000003</v>
      </c>
      <c r="M771" t="str">
        <f>IF(L771&lt;=Statistics!$E$6,"Low Difference",IF('Product Positioning'!L771&gt;=Statistics!$E$4,"High Difference","Moderate Difference"))</f>
        <v>Low Difference</v>
      </c>
    </row>
    <row r="772" spans="1:13" x14ac:dyDescent="0.2">
      <c r="A772">
        <v>110451</v>
      </c>
      <c r="B772" s="1">
        <v>10.77</v>
      </c>
      <c r="C772" s="1">
        <v>9.98</v>
      </c>
      <c r="D772">
        <v>578</v>
      </c>
      <c r="E772" t="str">
        <f>_xlfn.XLOOKUP(A772, 'Customer Information'!$A$1:$A$1001, 'Customer Information'!$B$1:$B$1001)</f>
        <v>Medium</v>
      </c>
      <c r="F772" t="str">
        <f>_xlfn.XLOOKUP(A772, 'Customer Information'!$A$1:$A$1001, 'Customer Information'!$C$1:$C$1001)</f>
        <v>Families</v>
      </c>
      <c r="G772" t="str">
        <f>_xlfn.XLOOKUP('Customer Information'!A772, 'Customer Information'!$A$1:$A$1001, 'Customer Information'!$D$1:$D$1001)</f>
        <v>Yes</v>
      </c>
      <c r="H772" t="str">
        <f>INDEX('Additional Product Info.'!$A$1:$C$1001, MATCH('Product Positioning'!$A772, 'Additional Product Info.'!$A$1:$A$1001, 0), MATCH('Product Positioning'!H$1, 'Additional Product Info.'!$A$1:$C$1, 0))</f>
        <v>Front of Store</v>
      </c>
      <c r="I772" t="str">
        <f>INDEX('Additional Product Info.'!$A$1:$C$1001, MATCH('Product Positioning'!$A772, 'Additional Product Info.'!$A$1:$A$1001, 0), MATCH('Product Positioning'!I$1, 'Additional Product Info.'!$A$1:$C$1, 0))</f>
        <v>Food</v>
      </c>
      <c r="J772" t="str">
        <f>_xlfn.XLOOKUP(A772, $A$1:$A$1001, 'Additional Product Info.'!$D$1:$D$1001)</f>
        <v>No</v>
      </c>
      <c r="K772" s="1">
        <f t="shared" si="24"/>
        <v>6225.0599999999995</v>
      </c>
      <c r="L772" s="1">
        <f t="shared" si="25"/>
        <v>0.78999999999999915</v>
      </c>
      <c r="M772" t="str">
        <f>IF(L772&lt;=Statistics!$E$6,"Low Difference",IF('Product Positioning'!L772&gt;=Statistics!$E$4,"High Difference","Moderate Difference"))</f>
        <v>Low Difference</v>
      </c>
    </row>
    <row r="773" spans="1:13" x14ac:dyDescent="0.2">
      <c r="A773">
        <v>189534</v>
      </c>
      <c r="B773" s="1">
        <v>5.73</v>
      </c>
      <c r="C773" s="1">
        <v>3.94</v>
      </c>
      <c r="D773">
        <v>2886</v>
      </c>
      <c r="E773" t="str">
        <f>_xlfn.XLOOKUP(A773, 'Customer Information'!$A$1:$A$1001, 'Customer Information'!$B$1:$B$1001)</f>
        <v>Medium</v>
      </c>
      <c r="F773" t="str">
        <f>_xlfn.XLOOKUP(A773, 'Customer Information'!$A$1:$A$1001, 'Customer Information'!$C$1:$C$1001)</f>
        <v>Young adults</v>
      </c>
      <c r="G773" t="str">
        <f>_xlfn.XLOOKUP('Customer Information'!A773, 'Customer Information'!$A$1:$A$1001, 'Customer Information'!$D$1:$D$1001)</f>
        <v>Yes</v>
      </c>
      <c r="H773" t="str">
        <f>INDEX('Additional Product Info.'!$A$1:$C$1001, MATCH('Product Positioning'!$A773, 'Additional Product Info.'!$A$1:$A$1001, 0), MATCH('Product Positioning'!H$1, 'Additional Product Info.'!$A$1:$C$1, 0))</f>
        <v>End-cap</v>
      </c>
      <c r="I773" t="str">
        <f>INDEX('Additional Product Info.'!$A$1:$C$1001, MATCH('Product Positioning'!$A773, 'Additional Product Info.'!$A$1:$A$1001, 0), MATCH('Product Positioning'!I$1, 'Additional Product Info.'!$A$1:$C$1, 0))</f>
        <v>Electronics</v>
      </c>
      <c r="J773" t="str">
        <f>_xlfn.XLOOKUP(A773, $A$1:$A$1001, 'Additional Product Info.'!$D$1:$D$1001)</f>
        <v>No</v>
      </c>
      <c r="K773" s="1">
        <f t="shared" si="24"/>
        <v>16536.780000000002</v>
      </c>
      <c r="L773" s="1">
        <f t="shared" si="25"/>
        <v>1.7900000000000005</v>
      </c>
      <c r="M773" t="str">
        <f>IF(L773&lt;=Statistics!$E$6,"Low Difference",IF('Product Positioning'!L773&gt;=Statistics!$E$4,"High Difference","Moderate Difference"))</f>
        <v>Moderate Difference</v>
      </c>
    </row>
    <row r="774" spans="1:13" x14ac:dyDescent="0.2">
      <c r="A774">
        <v>153881</v>
      </c>
      <c r="B774" s="1">
        <v>33.159999999999997</v>
      </c>
      <c r="C774" s="1">
        <v>28.8</v>
      </c>
      <c r="D774">
        <v>1376</v>
      </c>
      <c r="E774" t="str">
        <f>_xlfn.XLOOKUP(A774, 'Customer Information'!$A$1:$A$1001, 'Customer Information'!$B$1:$B$1001)</f>
        <v>Medium</v>
      </c>
      <c r="F774" t="str">
        <f>_xlfn.XLOOKUP(A774, 'Customer Information'!$A$1:$A$1001, 'Customer Information'!$C$1:$C$1001)</f>
        <v>Families</v>
      </c>
      <c r="G774" t="str">
        <f>_xlfn.XLOOKUP('Customer Information'!A774, 'Customer Information'!$A$1:$A$1001, 'Customer Information'!$D$1:$D$1001)</f>
        <v>Yes</v>
      </c>
      <c r="H774" t="str">
        <f>INDEX('Additional Product Info.'!$A$1:$C$1001, MATCH('Product Positioning'!$A774, 'Additional Product Info.'!$A$1:$A$1001, 0), MATCH('Product Positioning'!H$1, 'Additional Product Info.'!$A$1:$C$1, 0))</f>
        <v>Front of Store</v>
      </c>
      <c r="I774" t="str">
        <f>INDEX('Additional Product Info.'!$A$1:$C$1001, MATCH('Product Positioning'!$A774, 'Additional Product Info.'!$A$1:$A$1001, 0), MATCH('Product Positioning'!I$1, 'Additional Product Info.'!$A$1:$C$1, 0))</f>
        <v>Clothing</v>
      </c>
      <c r="J774" t="str">
        <f>_xlfn.XLOOKUP(A774, $A$1:$A$1001, 'Additional Product Info.'!$D$1:$D$1001)</f>
        <v>No</v>
      </c>
      <c r="K774" s="1">
        <f t="shared" si="24"/>
        <v>45628.159999999996</v>
      </c>
      <c r="L774" s="1">
        <f t="shared" si="25"/>
        <v>4.3599999999999959</v>
      </c>
      <c r="M774" t="str">
        <f>IF(L774&lt;=Statistics!$E$6,"Low Difference",IF('Product Positioning'!L774&gt;=Statistics!$E$4,"High Difference","Moderate Difference"))</f>
        <v>High Difference</v>
      </c>
    </row>
    <row r="775" spans="1:13" x14ac:dyDescent="0.2">
      <c r="A775">
        <v>112314</v>
      </c>
      <c r="B775" s="1">
        <v>25.65</v>
      </c>
      <c r="C775" s="1">
        <v>25.2</v>
      </c>
      <c r="D775">
        <v>519</v>
      </c>
      <c r="E775" t="str">
        <f>_xlfn.XLOOKUP(A775, 'Customer Information'!$A$1:$A$1001, 'Customer Information'!$B$1:$B$1001)</f>
        <v>Low</v>
      </c>
      <c r="F775" t="str">
        <f>_xlfn.XLOOKUP(A775, 'Customer Information'!$A$1:$A$1001, 'Customer Information'!$C$1:$C$1001)</f>
        <v>College students</v>
      </c>
      <c r="G775" t="str">
        <f>_xlfn.XLOOKUP('Customer Information'!A775, 'Customer Information'!$A$1:$A$1001, 'Customer Information'!$D$1:$D$1001)</f>
        <v>Yes</v>
      </c>
      <c r="H775" t="str">
        <f>INDEX('Additional Product Info.'!$A$1:$C$1001, MATCH('Product Positioning'!$A775, 'Additional Product Info.'!$A$1:$A$1001, 0), MATCH('Product Positioning'!H$1, 'Additional Product Info.'!$A$1:$C$1, 0))</f>
        <v>Aisle</v>
      </c>
      <c r="I775" t="str">
        <f>INDEX('Additional Product Info.'!$A$1:$C$1001, MATCH('Product Positioning'!$A775, 'Additional Product Info.'!$A$1:$A$1001, 0), MATCH('Product Positioning'!I$1, 'Additional Product Info.'!$A$1:$C$1, 0))</f>
        <v>Electronics</v>
      </c>
      <c r="J775" t="str">
        <f>_xlfn.XLOOKUP(A775, $A$1:$A$1001, 'Additional Product Info.'!$D$1:$D$1001)</f>
        <v>No</v>
      </c>
      <c r="K775" s="1">
        <f t="shared" si="24"/>
        <v>13312.349999999999</v>
      </c>
      <c r="L775" s="1">
        <f t="shared" si="25"/>
        <v>0.44999999999999929</v>
      </c>
      <c r="M775" t="str">
        <f>IF(L775&lt;=Statistics!$E$6,"Low Difference",IF('Product Positioning'!L775&gt;=Statistics!$E$4,"High Difference","Moderate Difference"))</f>
        <v>Low Difference</v>
      </c>
    </row>
    <row r="776" spans="1:13" x14ac:dyDescent="0.2">
      <c r="A776">
        <v>134948</v>
      </c>
      <c r="B776" s="1">
        <v>10.28</v>
      </c>
      <c r="C776" s="1">
        <v>7.76</v>
      </c>
      <c r="D776">
        <v>600</v>
      </c>
      <c r="E776" t="str">
        <f>_xlfn.XLOOKUP(A776, 'Customer Information'!$A$1:$A$1001, 'Customer Information'!$B$1:$B$1001)</f>
        <v>Medium</v>
      </c>
      <c r="F776" t="str">
        <f>_xlfn.XLOOKUP(A776, 'Customer Information'!$A$1:$A$1001, 'Customer Information'!$C$1:$C$1001)</f>
        <v>Young adults</v>
      </c>
      <c r="G776" t="str">
        <f>_xlfn.XLOOKUP('Customer Information'!A776, 'Customer Information'!$A$1:$A$1001, 'Customer Information'!$D$1:$D$1001)</f>
        <v>Yes</v>
      </c>
      <c r="H776" t="str">
        <f>INDEX('Additional Product Info.'!$A$1:$C$1001, MATCH('Product Positioning'!$A776, 'Additional Product Info.'!$A$1:$A$1001, 0), MATCH('Product Positioning'!H$1, 'Additional Product Info.'!$A$1:$C$1, 0))</f>
        <v>Aisle</v>
      </c>
      <c r="I776" t="str">
        <f>INDEX('Additional Product Info.'!$A$1:$C$1001, MATCH('Product Positioning'!$A776, 'Additional Product Info.'!$A$1:$A$1001, 0), MATCH('Product Positioning'!I$1, 'Additional Product Info.'!$A$1:$C$1, 0))</f>
        <v>Food</v>
      </c>
      <c r="J776" t="str">
        <f>_xlfn.XLOOKUP(A776, $A$1:$A$1001, 'Additional Product Info.'!$D$1:$D$1001)</f>
        <v>No</v>
      </c>
      <c r="K776" s="1">
        <f t="shared" si="24"/>
        <v>6168</v>
      </c>
      <c r="L776" s="1">
        <f t="shared" si="25"/>
        <v>2.5199999999999996</v>
      </c>
      <c r="M776" t="str">
        <f>IF(L776&lt;=Statistics!$E$6,"Low Difference",IF('Product Positioning'!L776&gt;=Statistics!$E$4,"High Difference","Moderate Difference"))</f>
        <v>Moderate Difference</v>
      </c>
    </row>
    <row r="777" spans="1:13" x14ac:dyDescent="0.2">
      <c r="A777">
        <v>152468</v>
      </c>
      <c r="B777" s="1">
        <v>8.31</v>
      </c>
      <c r="C777" s="1">
        <v>5.35</v>
      </c>
      <c r="D777">
        <v>1728</v>
      </c>
      <c r="E777" t="str">
        <f>_xlfn.XLOOKUP(A777, 'Customer Information'!$A$1:$A$1001, 'Customer Information'!$B$1:$B$1001)</f>
        <v>High</v>
      </c>
      <c r="F777" t="str">
        <f>_xlfn.XLOOKUP(A777, 'Customer Information'!$A$1:$A$1001, 'Customer Information'!$C$1:$C$1001)</f>
        <v>Families</v>
      </c>
      <c r="G777" t="str">
        <f>_xlfn.XLOOKUP('Customer Information'!A777, 'Customer Information'!$A$1:$A$1001, 'Customer Information'!$D$1:$D$1001)</f>
        <v>Yes</v>
      </c>
      <c r="H777" t="str">
        <f>INDEX('Additional Product Info.'!$A$1:$C$1001, MATCH('Product Positioning'!$A777, 'Additional Product Info.'!$A$1:$A$1001, 0), MATCH('Product Positioning'!H$1, 'Additional Product Info.'!$A$1:$C$1, 0))</f>
        <v>Aisle</v>
      </c>
      <c r="I777" t="str">
        <f>INDEX('Additional Product Info.'!$A$1:$C$1001, MATCH('Product Positioning'!$A777, 'Additional Product Info.'!$A$1:$A$1001, 0), MATCH('Product Positioning'!I$1, 'Additional Product Info.'!$A$1:$C$1, 0))</f>
        <v>Food</v>
      </c>
      <c r="J777" t="str">
        <f>_xlfn.XLOOKUP(A777, $A$1:$A$1001, 'Additional Product Info.'!$D$1:$D$1001)</f>
        <v>No</v>
      </c>
      <c r="K777" s="1">
        <f t="shared" si="24"/>
        <v>14359.68</v>
      </c>
      <c r="L777" s="1">
        <f t="shared" si="25"/>
        <v>2.9600000000000009</v>
      </c>
      <c r="M777" t="str">
        <f>IF(L777&lt;=Statistics!$E$6,"Low Difference",IF('Product Positioning'!L777&gt;=Statistics!$E$4,"High Difference","Moderate Difference"))</f>
        <v>Moderate Difference</v>
      </c>
    </row>
    <row r="778" spans="1:13" x14ac:dyDescent="0.2">
      <c r="A778">
        <v>148553</v>
      </c>
      <c r="B778" s="1">
        <v>27.54</v>
      </c>
      <c r="C778" s="1">
        <v>24.56</v>
      </c>
      <c r="D778">
        <v>1585</v>
      </c>
      <c r="E778" t="str">
        <f>_xlfn.XLOOKUP(A778, 'Customer Information'!$A$1:$A$1001, 'Customer Information'!$B$1:$B$1001)</f>
        <v>High</v>
      </c>
      <c r="F778" t="str">
        <f>_xlfn.XLOOKUP(A778, 'Customer Information'!$A$1:$A$1001, 'Customer Information'!$C$1:$C$1001)</f>
        <v>Families</v>
      </c>
      <c r="G778" t="str">
        <f>_xlfn.XLOOKUP('Customer Information'!A778, 'Customer Information'!$A$1:$A$1001, 'Customer Information'!$D$1:$D$1001)</f>
        <v>Yes</v>
      </c>
      <c r="H778" t="str">
        <f>INDEX('Additional Product Info.'!$A$1:$C$1001, MATCH('Product Positioning'!$A778, 'Additional Product Info.'!$A$1:$A$1001, 0), MATCH('Product Positioning'!H$1, 'Additional Product Info.'!$A$1:$C$1, 0))</f>
        <v>Front of Store</v>
      </c>
      <c r="I778" t="str">
        <f>INDEX('Additional Product Info.'!$A$1:$C$1001, MATCH('Product Positioning'!$A778, 'Additional Product Info.'!$A$1:$A$1001, 0), MATCH('Product Positioning'!I$1, 'Additional Product Info.'!$A$1:$C$1, 0))</f>
        <v>Food</v>
      </c>
      <c r="J778" t="str">
        <f>_xlfn.XLOOKUP(A778, $A$1:$A$1001, 'Additional Product Info.'!$D$1:$D$1001)</f>
        <v>No</v>
      </c>
      <c r="K778" s="1">
        <f t="shared" si="24"/>
        <v>43650.9</v>
      </c>
      <c r="L778" s="1">
        <f t="shared" si="25"/>
        <v>2.9800000000000004</v>
      </c>
      <c r="M778" t="str">
        <f>IF(L778&lt;=Statistics!$E$6,"Low Difference",IF('Product Positioning'!L778&gt;=Statistics!$E$4,"High Difference","Moderate Difference"))</f>
        <v>Moderate Difference</v>
      </c>
    </row>
    <row r="779" spans="1:13" x14ac:dyDescent="0.2">
      <c r="A779">
        <v>121643</v>
      </c>
      <c r="B779" s="1">
        <v>5.17</v>
      </c>
      <c r="C779" s="1">
        <v>0.72</v>
      </c>
      <c r="D779">
        <v>1522</v>
      </c>
      <c r="E779" t="str">
        <f>_xlfn.XLOOKUP(A779, 'Customer Information'!$A$1:$A$1001, 'Customer Information'!$B$1:$B$1001)</f>
        <v>High</v>
      </c>
      <c r="F779" t="str">
        <f>_xlfn.XLOOKUP(A779, 'Customer Information'!$A$1:$A$1001, 'Customer Information'!$C$1:$C$1001)</f>
        <v>College students</v>
      </c>
      <c r="G779" t="str">
        <f>_xlfn.XLOOKUP('Customer Information'!A779, 'Customer Information'!$A$1:$A$1001, 'Customer Information'!$D$1:$D$1001)</f>
        <v>No</v>
      </c>
      <c r="H779" t="str">
        <f>INDEX('Additional Product Info.'!$A$1:$C$1001, MATCH('Product Positioning'!$A779, 'Additional Product Info.'!$A$1:$A$1001, 0), MATCH('Product Positioning'!H$1, 'Additional Product Info.'!$A$1:$C$1, 0))</f>
        <v>Aisle</v>
      </c>
      <c r="I779" t="str">
        <f>INDEX('Additional Product Info.'!$A$1:$C$1001, MATCH('Product Positioning'!$A779, 'Additional Product Info.'!$A$1:$A$1001, 0), MATCH('Product Positioning'!I$1, 'Additional Product Info.'!$A$1:$C$1, 0))</f>
        <v>Food</v>
      </c>
      <c r="J779" t="str">
        <f>_xlfn.XLOOKUP(A779, $A$1:$A$1001, 'Additional Product Info.'!$D$1:$D$1001)</f>
        <v>Yes</v>
      </c>
      <c r="K779" s="1">
        <f t="shared" si="24"/>
        <v>7868.74</v>
      </c>
      <c r="L779" s="1">
        <f t="shared" si="25"/>
        <v>4.45</v>
      </c>
      <c r="M779" t="str">
        <f>IF(L779&lt;=Statistics!$E$6,"Low Difference",IF('Product Positioning'!L779&gt;=Statistics!$E$4,"High Difference","Moderate Difference"))</f>
        <v>High Difference</v>
      </c>
    </row>
    <row r="780" spans="1:13" x14ac:dyDescent="0.2">
      <c r="A780">
        <v>167351</v>
      </c>
      <c r="B780" s="1">
        <v>33.049999999999997</v>
      </c>
      <c r="C780" s="1">
        <v>31.73</v>
      </c>
      <c r="D780">
        <v>961</v>
      </c>
      <c r="E780" t="str">
        <f>_xlfn.XLOOKUP(A780, 'Customer Information'!$A$1:$A$1001, 'Customer Information'!$B$1:$B$1001)</f>
        <v>Low</v>
      </c>
      <c r="F780" t="str">
        <f>_xlfn.XLOOKUP(A780, 'Customer Information'!$A$1:$A$1001, 'Customer Information'!$C$1:$C$1001)</f>
        <v>College students</v>
      </c>
      <c r="G780" t="str">
        <f>_xlfn.XLOOKUP('Customer Information'!A780, 'Customer Information'!$A$1:$A$1001, 'Customer Information'!$D$1:$D$1001)</f>
        <v>No</v>
      </c>
      <c r="H780" t="str">
        <f>INDEX('Additional Product Info.'!$A$1:$C$1001, MATCH('Product Positioning'!$A780, 'Additional Product Info.'!$A$1:$A$1001, 0), MATCH('Product Positioning'!H$1, 'Additional Product Info.'!$A$1:$C$1, 0))</f>
        <v>Aisle</v>
      </c>
      <c r="I780" t="str">
        <f>INDEX('Additional Product Info.'!$A$1:$C$1001, MATCH('Product Positioning'!$A780, 'Additional Product Info.'!$A$1:$A$1001, 0), MATCH('Product Positioning'!I$1, 'Additional Product Info.'!$A$1:$C$1, 0))</f>
        <v>Electronics</v>
      </c>
      <c r="J780" t="str">
        <f>_xlfn.XLOOKUP(A780, $A$1:$A$1001, 'Additional Product Info.'!$D$1:$D$1001)</f>
        <v>No</v>
      </c>
      <c r="K780" s="1">
        <f t="shared" si="24"/>
        <v>31761.049999999996</v>
      </c>
      <c r="L780" s="1">
        <f t="shared" si="25"/>
        <v>1.3199999999999967</v>
      </c>
      <c r="M780" t="str">
        <f>IF(L780&lt;=Statistics!$E$6,"Low Difference",IF('Product Positioning'!L780&gt;=Statistics!$E$4,"High Difference","Moderate Difference"))</f>
        <v>Moderate Difference</v>
      </c>
    </row>
    <row r="781" spans="1:13" x14ac:dyDescent="0.2">
      <c r="A781">
        <v>199976</v>
      </c>
      <c r="B781" s="1">
        <v>19.66</v>
      </c>
      <c r="C781" s="1">
        <v>18.89</v>
      </c>
      <c r="D781">
        <v>1641</v>
      </c>
      <c r="E781" t="str">
        <f>_xlfn.XLOOKUP(A781, 'Customer Information'!$A$1:$A$1001, 'Customer Information'!$B$1:$B$1001)</f>
        <v>High</v>
      </c>
      <c r="F781" t="str">
        <f>_xlfn.XLOOKUP(A781, 'Customer Information'!$A$1:$A$1001, 'Customer Information'!$C$1:$C$1001)</f>
        <v>College students</v>
      </c>
      <c r="G781" t="str">
        <f>_xlfn.XLOOKUP('Customer Information'!A781, 'Customer Information'!$A$1:$A$1001, 'Customer Information'!$D$1:$D$1001)</f>
        <v>No</v>
      </c>
      <c r="H781" t="str">
        <f>INDEX('Additional Product Info.'!$A$1:$C$1001, MATCH('Product Positioning'!$A781, 'Additional Product Info.'!$A$1:$A$1001, 0), MATCH('Product Positioning'!H$1, 'Additional Product Info.'!$A$1:$C$1, 0))</f>
        <v>Front of Store</v>
      </c>
      <c r="I781" t="str">
        <f>INDEX('Additional Product Info.'!$A$1:$C$1001, MATCH('Product Positioning'!$A781, 'Additional Product Info.'!$A$1:$A$1001, 0), MATCH('Product Positioning'!I$1, 'Additional Product Info.'!$A$1:$C$1, 0))</f>
        <v>Clothing</v>
      </c>
      <c r="J781" t="str">
        <f>_xlfn.XLOOKUP(A781, $A$1:$A$1001, 'Additional Product Info.'!$D$1:$D$1001)</f>
        <v>No</v>
      </c>
      <c r="K781" s="1">
        <f t="shared" si="24"/>
        <v>32262.06</v>
      </c>
      <c r="L781" s="1">
        <f t="shared" si="25"/>
        <v>0.76999999999999957</v>
      </c>
      <c r="M781" t="str">
        <f>IF(L781&lt;=Statistics!$E$6,"Low Difference",IF('Product Positioning'!L781&gt;=Statistics!$E$4,"High Difference","Moderate Difference"))</f>
        <v>Low Difference</v>
      </c>
    </row>
    <row r="782" spans="1:13" x14ac:dyDescent="0.2">
      <c r="A782">
        <v>172344</v>
      </c>
      <c r="B782" s="1">
        <v>15.42</v>
      </c>
      <c r="C782" s="1">
        <v>13.77</v>
      </c>
      <c r="D782">
        <v>2030</v>
      </c>
      <c r="E782" t="str">
        <f>_xlfn.XLOOKUP(A782, 'Customer Information'!$A$1:$A$1001, 'Customer Information'!$B$1:$B$1001)</f>
        <v>Medium</v>
      </c>
      <c r="F782" t="str">
        <f>_xlfn.XLOOKUP(A782, 'Customer Information'!$A$1:$A$1001, 'Customer Information'!$C$1:$C$1001)</f>
        <v>Families</v>
      </c>
      <c r="G782" t="str">
        <f>_xlfn.XLOOKUP('Customer Information'!A782, 'Customer Information'!$A$1:$A$1001, 'Customer Information'!$D$1:$D$1001)</f>
        <v>Yes</v>
      </c>
      <c r="H782" t="str">
        <f>INDEX('Additional Product Info.'!$A$1:$C$1001, MATCH('Product Positioning'!$A782, 'Additional Product Info.'!$A$1:$A$1001, 0), MATCH('Product Positioning'!H$1, 'Additional Product Info.'!$A$1:$C$1, 0))</f>
        <v>End-cap</v>
      </c>
      <c r="I782" t="str">
        <f>INDEX('Additional Product Info.'!$A$1:$C$1001, MATCH('Product Positioning'!$A782, 'Additional Product Info.'!$A$1:$A$1001, 0), MATCH('Product Positioning'!I$1, 'Additional Product Info.'!$A$1:$C$1, 0))</f>
        <v>Clothing</v>
      </c>
      <c r="J782" t="str">
        <f>_xlfn.XLOOKUP(A782, $A$1:$A$1001, 'Additional Product Info.'!$D$1:$D$1001)</f>
        <v>Yes</v>
      </c>
      <c r="K782" s="1">
        <f t="shared" si="24"/>
        <v>31302.6</v>
      </c>
      <c r="L782" s="1">
        <f t="shared" si="25"/>
        <v>1.6500000000000004</v>
      </c>
      <c r="M782" t="str">
        <f>IF(L782&lt;=Statistics!$E$6,"Low Difference",IF('Product Positioning'!L782&gt;=Statistics!$E$4,"High Difference","Moderate Difference"))</f>
        <v>Moderate Difference</v>
      </c>
    </row>
    <row r="783" spans="1:13" x14ac:dyDescent="0.2">
      <c r="A783">
        <v>157499</v>
      </c>
      <c r="B783" s="1">
        <v>19.489999999999998</v>
      </c>
      <c r="C783" s="1">
        <v>16.809999999999999</v>
      </c>
      <c r="D783">
        <v>1973</v>
      </c>
      <c r="E783" t="str">
        <f>_xlfn.XLOOKUP(A783, 'Customer Information'!$A$1:$A$1001, 'Customer Information'!$B$1:$B$1001)</f>
        <v>Low</v>
      </c>
      <c r="F783" t="str">
        <f>_xlfn.XLOOKUP(A783, 'Customer Information'!$A$1:$A$1001, 'Customer Information'!$C$1:$C$1001)</f>
        <v>Seniors</v>
      </c>
      <c r="G783" t="str">
        <f>_xlfn.XLOOKUP('Customer Information'!A783, 'Customer Information'!$A$1:$A$1001, 'Customer Information'!$D$1:$D$1001)</f>
        <v>No</v>
      </c>
      <c r="H783" t="str">
        <f>INDEX('Additional Product Info.'!$A$1:$C$1001, MATCH('Product Positioning'!$A783, 'Additional Product Info.'!$A$1:$A$1001, 0), MATCH('Product Positioning'!H$1, 'Additional Product Info.'!$A$1:$C$1, 0))</f>
        <v>Aisle</v>
      </c>
      <c r="I783" t="str">
        <f>INDEX('Additional Product Info.'!$A$1:$C$1001, MATCH('Product Positioning'!$A783, 'Additional Product Info.'!$A$1:$A$1001, 0), MATCH('Product Positioning'!I$1, 'Additional Product Info.'!$A$1:$C$1, 0))</f>
        <v>Electronics</v>
      </c>
      <c r="J783" t="str">
        <f>_xlfn.XLOOKUP(A783, $A$1:$A$1001, 'Additional Product Info.'!$D$1:$D$1001)</f>
        <v>No</v>
      </c>
      <c r="K783" s="1">
        <f t="shared" si="24"/>
        <v>38453.769999999997</v>
      </c>
      <c r="L783" s="1">
        <f t="shared" si="25"/>
        <v>2.6799999999999997</v>
      </c>
      <c r="M783" t="str">
        <f>IF(L783&lt;=Statistics!$E$6,"Low Difference",IF('Product Positioning'!L783&gt;=Statistics!$E$4,"High Difference","Moderate Difference"))</f>
        <v>Moderate Difference</v>
      </c>
    </row>
    <row r="784" spans="1:13" x14ac:dyDescent="0.2">
      <c r="A784">
        <v>173866</v>
      </c>
      <c r="B784" s="1">
        <v>47.92</v>
      </c>
      <c r="C784" s="1">
        <v>44.15</v>
      </c>
      <c r="D784">
        <v>2246</v>
      </c>
      <c r="E784" t="str">
        <f>_xlfn.XLOOKUP(A784, 'Customer Information'!$A$1:$A$1001, 'Customer Information'!$B$1:$B$1001)</f>
        <v>Medium</v>
      </c>
      <c r="F784" t="str">
        <f>_xlfn.XLOOKUP(A784, 'Customer Information'!$A$1:$A$1001, 'Customer Information'!$C$1:$C$1001)</f>
        <v>Young adults</v>
      </c>
      <c r="G784" t="str">
        <f>_xlfn.XLOOKUP('Customer Information'!A784, 'Customer Information'!$A$1:$A$1001, 'Customer Information'!$D$1:$D$1001)</f>
        <v>Yes</v>
      </c>
      <c r="H784" t="str">
        <f>INDEX('Additional Product Info.'!$A$1:$C$1001, MATCH('Product Positioning'!$A784, 'Additional Product Info.'!$A$1:$A$1001, 0), MATCH('Product Positioning'!H$1, 'Additional Product Info.'!$A$1:$C$1, 0))</f>
        <v>Aisle</v>
      </c>
      <c r="I784" t="str">
        <f>INDEX('Additional Product Info.'!$A$1:$C$1001, MATCH('Product Positioning'!$A784, 'Additional Product Info.'!$A$1:$A$1001, 0), MATCH('Product Positioning'!I$1, 'Additional Product Info.'!$A$1:$C$1, 0))</f>
        <v>Food</v>
      </c>
      <c r="J784" t="str">
        <f>_xlfn.XLOOKUP(A784, $A$1:$A$1001, 'Additional Product Info.'!$D$1:$D$1001)</f>
        <v>Yes</v>
      </c>
      <c r="K784" s="1">
        <f t="shared" si="24"/>
        <v>107628.32</v>
      </c>
      <c r="L784" s="1">
        <f t="shared" si="25"/>
        <v>3.7700000000000031</v>
      </c>
      <c r="M784" t="str">
        <f>IF(L784&lt;=Statistics!$E$6,"Low Difference",IF('Product Positioning'!L784&gt;=Statistics!$E$4,"High Difference","Moderate Difference"))</f>
        <v>High Difference</v>
      </c>
    </row>
    <row r="785" spans="1:13" x14ac:dyDescent="0.2">
      <c r="A785">
        <v>134989</v>
      </c>
      <c r="B785" s="1">
        <v>14.85</v>
      </c>
      <c r="C785" s="1">
        <v>12.52</v>
      </c>
      <c r="D785">
        <v>2571</v>
      </c>
      <c r="E785" t="str">
        <f>_xlfn.XLOOKUP(A785, 'Customer Information'!$A$1:$A$1001, 'Customer Information'!$B$1:$B$1001)</f>
        <v>High</v>
      </c>
      <c r="F785" t="str">
        <f>_xlfn.XLOOKUP(A785, 'Customer Information'!$A$1:$A$1001, 'Customer Information'!$C$1:$C$1001)</f>
        <v>Families</v>
      </c>
      <c r="G785" t="str">
        <f>_xlfn.XLOOKUP('Customer Information'!A785, 'Customer Information'!$A$1:$A$1001, 'Customer Information'!$D$1:$D$1001)</f>
        <v>Yes</v>
      </c>
      <c r="H785" t="str">
        <f>INDEX('Additional Product Info.'!$A$1:$C$1001, MATCH('Product Positioning'!$A785, 'Additional Product Info.'!$A$1:$A$1001, 0), MATCH('Product Positioning'!H$1, 'Additional Product Info.'!$A$1:$C$1, 0))</f>
        <v>Front of Store</v>
      </c>
      <c r="I785" t="str">
        <f>INDEX('Additional Product Info.'!$A$1:$C$1001, MATCH('Product Positioning'!$A785, 'Additional Product Info.'!$A$1:$A$1001, 0), MATCH('Product Positioning'!I$1, 'Additional Product Info.'!$A$1:$C$1, 0))</f>
        <v>Clothing</v>
      </c>
      <c r="J785" t="str">
        <f>_xlfn.XLOOKUP(A785, $A$1:$A$1001, 'Additional Product Info.'!$D$1:$D$1001)</f>
        <v>Yes</v>
      </c>
      <c r="K785" s="1">
        <f t="shared" si="24"/>
        <v>38179.35</v>
      </c>
      <c r="L785" s="1">
        <f t="shared" si="25"/>
        <v>2.33</v>
      </c>
      <c r="M785" t="str">
        <f>IF(L785&lt;=Statistics!$E$6,"Low Difference",IF('Product Positioning'!L785&gt;=Statistics!$E$4,"High Difference","Moderate Difference"))</f>
        <v>Moderate Difference</v>
      </c>
    </row>
    <row r="786" spans="1:13" x14ac:dyDescent="0.2">
      <c r="A786">
        <v>162691</v>
      </c>
      <c r="B786" s="1">
        <v>36.770000000000003</v>
      </c>
      <c r="C786" s="1">
        <v>35.21</v>
      </c>
      <c r="D786">
        <v>690</v>
      </c>
      <c r="E786" t="str">
        <f>_xlfn.XLOOKUP(A786, 'Customer Information'!$A$1:$A$1001, 'Customer Information'!$B$1:$B$1001)</f>
        <v>High</v>
      </c>
      <c r="F786" t="str">
        <f>_xlfn.XLOOKUP(A786, 'Customer Information'!$A$1:$A$1001, 'Customer Information'!$C$1:$C$1001)</f>
        <v>Families</v>
      </c>
      <c r="G786" t="str">
        <f>_xlfn.XLOOKUP('Customer Information'!A786, 'Customer Information'!$A$1:$A$1001, 'Customer Information'!$D$1:$D$1001)</f>
        <v>Yes</v>
      </c>
      <c r="H786" t="str">
        <f>INDEX('Additional Product Info.'!$A$1:$C$1001, MATCH('Product Positioning'!$A786, 'Additional Product Info.'!$A$1:$A$1001, 0), MATCH('Product Positioning'!H$1, 'Additional Product Info.'!$A$1:$C$1, 0))</f>
        <v>Front of Store</v>
      </c>
      <c r="I786" t="str">
        <f>INDEX('Additional Product Info.'!$A$1:$C$1001, MATCH('Product Positioning'!$A786, 'Additional Product Info.'!$A$1:$A$1001, 0), MATCH('Product Positioning'!I$1, 'Additional Product Info.'!$A$1:$C$1, 0))</f>
        <v>Clothing</v>
      </c>
      <c r="J786" t="str">
        <f>_xlfn.XLOOKUP(A786, $A$1:$A$1001, 'Additional Product Info.'!$D$1:$D$1001)</f>
        <v>No</v>
      </c>
      <c r="K786" s="1">
        <f t="shared" si="24"/>
        <v>25371.300000000003</v>
      </c>
      <c r="L786" s="1">
        <f t="shared" si="25"/>
        <v>1.5600000000000023</v>
      </c>
      <c r="M786" t="str">
        <f>IF(L786&lt;=Statistics!$E$6,"Low Difference",IF('Product Positioning'!L786&gt;=Statistics!$E$4,"High Difference","Moderate Difference"))</f>
        <v>Moderate Difference</v>
      </c>
    </row>
    <row r="787" spans="1:13" x14ac:dyDescent="0.2">
      <c r="A787">
        <v>187196</v>
      </c>
      <c r="B787" s="1">
        <v>37.130000000000003</v>
      </c>
      <c r="C787" s="1">
        <v>35.06</v>
      </c>
      <c r="D787">
        <v>2876</v>
      </c>
      <c r="E787" t="str">
        <f>_xlfn.XLOOKUP(A787, 'Customer Information'!$A$1:$A$1001, 'Customer Information'!$B$1:$B$1001)</f>
        <v>Low</v>
      </c>
      <c r="F787" t="str">
        <f>_xlfn.XLOOKUP(A787, 'Customer Information'!$A$1:$A$1001, 'Customer Information'!$C$1:$C$1001)</f>
        <v>College students</v>
      </c>
      <c r="G787" t="str">
        <f>_xlfn.XLOOKUP('Customer Information'!A787, 'Customer Information'!$A$1:$A$1001, 'Customer Information'!$D$1:$D$1001)</f>
        <v>No</v>
      </c>
      <c r="H787" t="str">
        <f>INDEX('Additional Product Info.'!$A$1:$C$1001, MATCH('Product Positioning'!$A787, 'Additional Product Info.'!$A$1:$A$1001, 0), MATCH('Product Positioning'!H$1, 'Additional Product Info.'!$A$1:$C$1, 0))</f>
        <v>End-cap</v>
      </c>
      <c r="I787" t="str">
        <f>INDEX('Additional Product Info.'!$A$1:$C$1001, MATCH('Product Positioning'!$A787, 'Additional Product Info.'!$A$1:$A$1001, 0), MATCH('Product Positioning'!I$1, 'Additional Product Info.'!$A$1:$C$1, 0))</f>
        <v>Food</v>
      </c>
      <c r="J787" t="str">
        <f>_xlfn.XLOOKUP(A787, $A$1:$A$1001, 'Additional Product Info.'!$D$1:$D$1001)</f>
        <v>Yes</v>
      </c>
      <c r="K787" s="1">
        <f t="shared" si="24"/>
        <v>106785.88</v>
      </c>
      <c r="L787" s="1">
        <f t="shared" si="25"/>
        <v>2.0700000000000003</v>
      </c>
      <c r="M787" t="str">
        <f>IF(L787&lt;=Statistics!$E$6,"Low Difference",IF('Product Positioning'!L787&gt;=Statistics!$E$4,"High Difference","Moderate Difference"))</f>
        <v>Moderate Difference</v>
      </c>
    </row>
    <row r="788" spans="1:13" x14ac:dyDescent="0.2">
      <c r="A788">
        <v>121378</v>
      </c>
      <c r="B788" s="1">
        <v>9.26</v>
      </c>
      <c r="C788" s="1">
        <v>9.07</v>
      </c>
      <c r="D788">
        <v>2168</v>
      </c>
      <c r="E788" t="str">
        <f>_xlfn.XLOOKUP(A788, 'Customer Information'!$A$1:$A$1001, 'Customer Information'!$B$1:$B$1001)</f>
        <v>Medium</v>
      </c>
      <c r="F788" t="str">
        <f>_xlfn.XLOOKUP(A788, 'Customer Information'!$A$1:$A$1001, 'Customer Information'!$C$1:$C$1001)</f>
        <v>Seniors</v>
      </c>
      <c r="G788" t="str">
        <f>_xlfn.XLOOKUP('Customer Information'!A788, 'Customer Information'!$A$1:$A$1001, 'Customer Information'!$D$1:$D$1001)</f>
        <v>Yes</v>
      </c>
      <c r="H788" t="str">
        <f>INDEX('Additional Product Info.'!$A$1:$C$1001, MATCH('Product Positioning'!$A788, 'Additional Product Info.'!$A$1:$A$1001, 0), MATCH('Product Positioning'!H$1, 'Additional Product Info.'!$A$1:$C$1, 0))</f>
        <v>End-cap</v>
      </c>
      <c r="I788" t="str">
        <f>INDEX('Additional Product Info.'!$A$1:$C$1001, MATCH('Product Positioning'!$A788, 'Additional Product Info.'!$A$1:$A$1001, 0), MATCH('Product Positioning'!I$1, 'Additional Product Info.'!$A$1:$C$1, 0))</f>
        <v>Electronics</v>
      </c>
      <c r="J788" t="str">
        <f>_xlfn.XLOOKUP(A788, $A$1:$A$1001, 'Additional Product Info.'!$D$1:$D$1001)</f>
        <v>Yes</v>
      </c>
      <c r="K788" s="1">
        <f t="shared" si="24"/>
        <v>20075.68</v>
      </c>
      <c r="L788" s="1">
        <f t="shared" si="25"/>
        <v>0.1899999999999995</v>
      </c>
      <c r="M788" t="str">
        <f>IF(L788&lt;=Statistics!$E$6,"Low Difference",IF('Product Positioning'!L788&gt;=Statistics!$E$4,"High Difference","Moderate Difference"))</f>
        <v>Low Difference</v>
      </c>
    </row>
    <row r="789" spans="1:13" x14ac:dyDescent="0.2">
      <c r="A789">
        <v>142482</v>
      </c>
      <c r="B789" s="1">
        <v>27.59</v>
      </c>
      <c r="C789" s="1">
        <v>26.89</v>
      </c>
      <c r="D789">
        <v>1362</v>
      </c>
      <c r="E789" t="str">
        <f>_xlfn.XLOOKUP(A789, 'Customer Information'!$A$1:$A$1001, 'Customer Information'!$B$1:$B$1001)</f>
        <v>High</v>
      </c>
      <c r="F789" t="str">
        <f>_xlfn.XLOOKUP(A789, 'Customer Information'!$A$1:$A$1001, 'Customer Information'!$C$1:$C$1001)</f>
        <v>Young adults</v>
      </c>
      <c r="G789" t="str">
        <f>_xlfn.XLOOKUP('Customer Information'!A789, 'Customer Information'!$A$1:$A$1001, 'Customer Information'!$D$1:$D$1001)</f>
        <v>No</v>
      </c>
      <c r="H789" t="str">
        <f>INDEX('Additional Product Info.'!$A$1:$C$1001, MATCH('Product Positioning'!$A789, 'Additional Product Info.'!$A$1:$A$1001, 0), MATCH('Product Positioning'!H$1, 'Additional Product Info.'!$A$1:$C$1, 0))</f>
        <v>End-cap</v>
      </c>
      <c r="I789" t="str">
        <f>INDEX('Additional Product Info.'!$A$1:$C$1001, MATCH('Product Positioning'!$A789, 'Additional Product Info.'!$A$1:$A$1001, 0), MATCH('Product Positioning'!I$1, 'Additional Product Info.'!$A$1:$C$1, 0))</f>
        <v>Electronics</v>
      </c>
      <c r="J789" t="str">
        <f>_xlfn.XLOOKUP(A789, $A$1:$A$1001, 'Additional Product Info.'!$D$1:$D$1001)</f>
        <v>No</v>
      </c>
      <c r="K789" s="1">
        <f t="shared" si="24"/>
        <v>37577.58</v>
      </c>
      <c r="L789" s="1">
        <f t="shared" si="25"/>
        <v>0.69999999999999929</v>
      </c>
      <c r="M789" t="str">
        <f>IF(L789&lt;=Statistics!$E$6,"Low Difference",IF('Product Positioning'!L789&gt;=Statistics!$E$4,"High Difference","Moderate Difference"))</f>
        <v>Low Difference</v>
      </c>
    </row>
    <row r="790" spans="1:13" x14ac:dyDescent="0.2">
      <c r="A790">
        <v>176723</v>
      </c>
      <c r="B790" s="1">
        <v>47.41</v>
      </c>
      <c r="C790" s="1">
        <v>45.53</v>
      </c>
      <c r="D790">
        <v>1524</v>
      </c>
      <c r="E790" t="str">
        <f>_xlfn.XLOOKUP(A790, 'Customer Information'!$A$1:$A$1001, 'Customer Information'!$B$1:$B$1001)</f>
        <v>Low</v>
      </c>
      <c r="F790" t="str">
        <f>_xlfn.XLOOKUP(A790, 'Customer Information'!$A$1:$A$1001, 'Customer Information'!$C$1:$C$1001)</f>
        <v>Families</v>
      </c>
      <c r="G790" t="str">
        <f>_xlfn.XLOOKUP('Customer Information'!A790, 'Customer Information'!$A$1:$A$1001, 'Customer Information'!$D$1:$D$1001)</f>
        <v>No</v>
      </c>
      <c r="H790" t="str">
        <f>INDEX('Additional Product Info.'!$A$1:$C$1001, MATCH('Product Positioning'!$A790, 'Additional Product Info.'!$A$1:$A$1001, 0), MATCH('Product Positioning'!H$1, 'Additional Product Info.'!$A$1:$C$1, 0))</f>
        <v>Aisle</v>
      </c>
      <c r="I790" t="str">
        <f>INDEX('Additional Product Info.'!$A$1:$C$1001, MATCH('Product Positioning'!$A790, 'Additional Product Info.'!$A$1:$A$1001, 0), MATCH('Product Positioning'!I$1, 'Additional Product Info.'!$A$1:$C$1, 0))</f>
        <v>Electronics</v>
      </c>
      <c r="J790" t="str">
        <f>_xlfn.XLOOKUP(A790, $A$1:$A$1001, 'Additional Product Info.'!$D$1:$D$1001)</f>
        <v>Yes</v>
      </c>
      <c r="K790" s="1">
        <f t="shared" si="24"/>
        <v>72252.84</v>
      </c>
      <c r="L790" s="1">
        <f t="shared" si="25"/>
        <v>1.8799999999999955</v>
      </c>
      <c r="M790" t="str">
        <f>IF(L790&lt;=Statistics!$E$6,"Low Difference",IF('Product Positioning'!L790&gt;=Statistics!$E$4,"High Difference","Moderate Difference"))</f>
        <v>Moderate Difference</v>
      </c>
    </row>
    <row r="791" spans="1:13" x14ac:dyDescent="0.2">
      <c r="A791">
        <v>132654</v>
      </c>
      <c r="B791" s="1">
        <v>36.75</v>
      </c>
      <c r="C791" s="1">
        <v>36.090000000000003</v>
      </c>
      <c r="D791">
        <v>1875</v>
      </c>
      <c r="E791" t="str">
        <f>_xlfn.XLOOKUP(A791, 'Customer Information'!$A$1:$A$1001, 'Customer Information'!$B$1:$B$1001)</f>
        <v>Low</v>
      </c>
      <c r="F791" t="str">
        <f>_xlfn.XLOOKUP(A791, 'Customer Information'!$A$1:$A$1001, 'Customer Information'!$C$1:$C$1001)</f>
        <v>Seniors</v>
      </c>
      <c r="G791" t="str">
        <f>_xlfn.XLOOKUP('Customer Information'!A791, 'Customer Information'!$A$1:$A$1001, 'Customer Information'!$D$1:$D$1001)</f>
        <v>No</v>
      </c>
      <c r="H791" t="str">
        <f>INDEX('Additional Product Info.'!$A$1:$C$1001, MATCH('Product Positioning'!$A791, 'Additional Product Info.'!$A$1:$A$1001, 0), MATCH('Product Positioning'!H$1, 'Additional Product Info.'!$A$1:$C$1, 0))</f>
        <v>Front of Store</v>
      </c>
      <c r="I791" t="str">
        <f>INDEX('Additional Product Info.'!$A$1:$C$1001, MATCH('Product Positioning'!$A791, 'Additional Product Info.'!$A$1:$A$1001, 0), MATCH('Product Positioning'!I$1, 'Additional Product Info.'!$A$1:$C$1, 0))</f>
        <v>Food</v>
      </c>
      <c r="J791" t="str">
        <f>_xlfn.XLOOKUP(A791, $A$1:$A$1001, 'Additional Product Info.'!$D$1:$D$1001)</f>
        <v>Yes</v>
      </c>
      <c r="K791" s="1">
        <f t="shared" si="24"/>
        <v>68906.25</v>
      </c>
      <c r="L791" s="1">
        <f t="shared" si="25"/>
        <v>0.65999999999999659</v>
      </c>
      <c r="M791" t="str">
        <f>IF(L791&lt;=Statistics!$E$6,"Low Difference",IF('Product Positioning'!L791&gt;=Statistics!$E$4,"High Difference","Moderate Difference"))</f>
        <v>Low Difference</v>
      </c>
    </row>
    <row r="792" spans="1:13" x14ac:dyDescent="0.2">
      <c r="A792">
        <v>169453</v>
      </c>
      <c r="B792" s="1">
        <v>12.09</v>
      </c>
      <c r="C792" s="1">
        <v>10.47</v>
      </c>
      <c r="D792">
        <v>2177</v>
      </c>
      <c r="E792" t="str">
        <f>_xlfn.XLOOKUP(A792, 'Customer Information'!$A$1:$A$1001, 'Customer Information'!$B$1:$B$1001)</f>
        <v>Medium</v>
      </c>
      <c r="F792" t="str">
        <f>_xlfn.XLOOKUP(A792, 'Customer Information'!$A$1:$A$1001, 'Customer Information'!$C$1:$C$1001)</f>
        <v>Seniors</v>
      </c>
      <c r="G792" t="str">
        <f>_xlfn.XLOOKUP('Customer Information'!A792, 'Customer Information'!$A$1:$A$1001, 'Customer Information'!$D$1:$D$1001)</f>
        <v>No</v>
      </c>
      <c r="H792" t="str">
        <f>INDEX('Additional Product Info.'!$A$1:$C$1001, MATCH('Product Positioning'!$A792, 'Additional Product Info.'!$A$1:$A$1001, 0), MATCH('Product Positioning'!H$1, 'Additional Product Info.'!$A$1:$C$1, 0))</f>
        <v>Aisle</v>
      </c>
      <c r="I792" t="str">
        <f>INDEX('Additional Product Info.'!$A$1:$C$1001, MATCH('Product Positioning'!$A792, 'Additional Product Info.'!$A$1:$A$1001, 0), MATCH('Product Positioning'!I$1, 'Additional Product Info.'!$A$1:$C$1, 0))</f>
        <v>Electronics</v>
      </c>
      <c r="J792" t="str">
        <f>_xlfn.XLOOKUP(A792, $A$1:$A$1001, 'Additional Product Info.'!$D$1:$D$1001)</f>
        <v>Yes</v>
      </c>
      <c r="K792" s="1">
        <f t="shared" si="24"/>
        <v>26319.93</v>
      </c>
      <c r="L792" s="1">
        <f t="shared" si="25"/>
        <v>1.6199999999999992</v>
      </c>
      <c r="M792" t="str">
        <f>IF(L792&lt;=Statistics!$E$6,"Low Difference",IF('Product Positioning'!L792&gt;=Statistics!$E$4,"High Difference","Moderate Difference"))</f>
        <v>Moderate Difference</v>
      </c>
    </row>
    <row r="793" spans="1:13" x14ac:dyDescent="0.2">
      <c r="A793">
        <v>165328</v>
      </c>
      <c r="B793" s="1">
        <v>37.369999999999997</v>
      </c>
      <c r="C793" s="1">
        <v>32.700000000000003</v>
      </c>
      <c r="D793">
        <v>719</v>
      </c>
      <c r="E793" t="str">
        <f>_xlfn.XLOOKUP(A793, 'Customer Information'!$A$1:$A$1001, 'Customer Information'!$B$1:$B$1001)</f>
        <v>Medium</v>
      </c>
      <c r="F793" t="str">
        <f>_xlfn.XLOOKUP(A793, 'Customer Information'!$A$1:$A$1001, 'Customer Information'!$C$1:$C$1001)</f>
        <v>Families</v>
      </c>
      <c r="G793" t="str">
        <f>_xlfn.XLOOKUP('Customer Information'!A793, 'Customer Information'!$A$1:$A$1001, 'Customer Information'!$D$1:$D$1001)</f>
        <v>Yes</v>
      </c>
      <c r="H793" t="str">
        <f>INDEX('Additional Product Info.'!$A$1:$C$1001, MATCH('Product Positioning'!$A793, 'Additional Product Info.'!$A$1:$A$1001, 0), MATCH('Product Positioning'!H$1, 'Additional Product Info.'!$A$1:$C$1, 0))</f>
        <v>End-cap</v>
      </c>
      <c r="I793" t="str">
        <f>INDEX('Additional Product Info.'!$A$1:$C$1001, MATCH('Product Positioning'!$A793, 'Additional Product Info.'!$A$1:$A$1001, 0), MATCH('Product Positioning'!I$1, 'Additional Product Info.'!$A$1:$C$1, 0))</f>
        <v>Food</v>
      </c>
      <c r="J793" t="str">
        <f>_xlfn.XLOOKUP(A793, $A$1:$A$1001, 'Additional Product Info.'!$D$1:$D$1001)</f>
        <v>No</v>
      </c>
      <c r="K793" s="1">
        <f t="shared" si="24"/>
        <v>26869.03</v>
      </c>
      <c r="L793" s="1">
        <f t="shared" si="25"/>
        <v>4.6699999999999946</v>
      </c>
      <c r="M793" t="str">
        <f>IF(L793&lt;=Statistics!$E$6,"Low Difference",IF('Product Positioning'!L793&gt;=Statistics!$E$4,"High Difference","Moderate Difference"))</f>
        <v>High Difference</v>
      </c>
    </row>
    <row r="794" spans="1:13" x14ac:dyDescent="0.2">
      <c r="A794">
        <v>189998</v>
      </c>
      <c r="B794" s="1">
        <v>27.39</v>
      </c>
      <c r="C794" s="1">
        <v>27.22</v>
      </c>
      <c r="D794">
        <v>2206</v>
      </c>
      <c r="E794" t="str">
        <f>_xlfn.XLOOKUP(A794, 'Customer Information'!$A$1:$A$1001, 'Customer Information'!$B$1:$B$1001)</f>
        <v>High</v>
      </c>
      <c r="F794" t="str">
        <f>_xlfn.XLOOKUP(A794, 'Customer Information'!$A$1:$A$1001, 'Customer Information'!$C$1:$C$1001)</f>
        <v>Young adults</v>
      </c>
      <c r="G794" t="str">
        <f>_xlfn.XLOOKUP('Customer Information'!A794, 'Customer Information'!$A$1:$A$1001, 'Customer Information'!$D$1:$D$1001)</f>
        <v>Yes</v>
      </c>
      <c r="H794" t="str">
        <f>INDEX('Additional Product Info.'!$A$1:$C$1001, MATCH('Product Positioning'!$A794, 'Additional Product Info.'!$A$1:$A$1001, 0), MATCH('Product Positioning'!H$1, 'Additional Product Info.'!$A$1:$C$1, 0))</f>
        <v>Aisle</v>
      </c>
      <c r="I794" t="str">
        <f>INDEX('Additional Product Info.'!$A$1:$C$1001, MATCH('Product Positioning'!$A794, 'Additional Product Info.'!$A$1:$A$1001, 0), MATCH('Product Positioning'!I$1, 'Additional Product Info.'!$A$1:$C$1, 0))</f>
        <v>Electronics</v>
      </c>
      <c r="J794" t="str">
        <f>_xlfn.XLOOKUP(A794, $A$1:$A$1001, 'Additional Product Info.'!$D$1:$D$1001)</f>
        <v>No</v>
      </c>
      <c r="K794" s="1">
        <f t="shared" si="24"/>
        <v>60422.340000000004</v>
      </c>
      <c r="L794" s="1">
        <f t="shared" si="25"/>
        <v>0.17000000000000171</v>
      </c>
      <c r="M794" t="str">
        <f>IF(L794&lt;=Statistics!$E$6,"Low Difference",IF('Product Positioning'!L794&gt;=Statistics!$E$4,"High Difference","Moderate Difference"))</f>
        <v>Low Difference</v>
      </c>
    </row>
    <row r="795" spans="1:13" x14ac:dyDescent="0.2">
      <c r="A795">
        <v>171481</v>
      </c>
      <c r="B795" s="1">
        <v>37.53</v>
      </c>
      <c r="C795" s="1">
        <v>35.46</v>
      </c>
      <c r="D795">
        <v>2212</v>
      </c>
      <c r="E795" t="str">
        <f>_xlfn.XLOOKUP(A795, 'Customer Information'!$A$1:$A$1001, 'Customer Information'!$B$1:$B$1001)</f>
        <v>High</v>
      </c>
      <c r="F795" t="str">
        <f>_xlfn.XLOOKUP(A795, 'Customer Information'!$A$1:$A$1001, 'Customer Information'!$C$1:$C$1001)</f>
        <v>Families</v>
      </c>
      <c r="G795" t="str">
        <f>_xlfn.XLOOKUP('Customer Information'!A795, 'Customer Information'!$A$1:$A$1001, 'Customer Information'!$D$1:$D$1001)</f>
        <v>No</v>
      </c>
      <c r="H795" t="str">
        <f>INDEX('Additional Product Info.'!$A$1:$C$1001, MATCH('Product Positioning'!$A795, 'Additional Product Info.'!$A$1:$A$1001, 0), MATCH('Product Positioning'!H$1, 'Additional Product Info.'!$A$1:$C$1, 0))</f>
        <v>Aisle</v>
      </c>
      <c r="I795" t="str">
        <f>INDEX('Additional Product Info.'!$A$1:$C$1001, MATCH('Product Positioning'!$A795, 'Additional Product Info.'!$A$1:$A$1001, 0), MATCH('Product Positioning'!I$1, 'Additional Product Info.'!$A$1:$C$1, 0))</f>
        <v>Clothing</v>
      </c>
      <c r="J795" t="str">
        <f>_xlfn.XLOOKUP(A795, $A$1:$A$1001, 'Additional Product Info.'!$D$1:$D$1001)</f>
        <v>Yes</v>
      </c>
      <c r="K795" s="1">
        <f t="shared" si="24"/>
        <v>83016.36</v>
      </c>
      <c r="L795" s="1">
        <f t="shared" si="25"/>
        <v>2.0700000000000003</v>
      </c>
      <c r="M795" t="str">
        <f>IF(L795&lt;=Statistics!$E$6,"Low Difference",IF('Product Positioning'!L795&gt;=Statistics!$E$4,"High Difference","Moderate Difference"))</f>
        <v>Moderate Difference</v>
      </c>
    </row>
    <row r="796" spans="1:13" x14ac:dyDescent="0.2">
      <c r="A796">
        <v>166674</v>
      </c>
      <c r="B796" s="1">
        <v>11.36</v>
      </c>
      <c r="C796" s="1">
        <v>6.76</v>
      </c>
      <c r="D796">
        <v>638</v>
      </c>
      <c r="E796" t="str">
        <f>_xlfn.XLOOKUP(A796, 'Customer Information'!$A$1:$A$1001, 'Customer Information'!$B$1:$B$1001)</f>
        <v>Low</v>
      </c>
      <c r="F796" t="str">
        <f>_xlfn.XLOOKUP(A796, 'Customer Information'!$A$1:$A$1001, 'Customer Information'!$C$1:$C$1001)</f>
        <v>Seniors</v>
      </c>
      <c r="G796" t="str">
        <f>_xlfn.XLOOKUP('Customer Information'!A796, 'Customer Information'!$A$1:$A$1001, 'Customer Information'!$D$1:$D$1001)</f>
        <v>Yes</v>
      </c>
      <c r="H796" t="str">
        <f>INDEX('Additional Product Info.'!$A$1:$C$1001, MATCH('Product Positioning'!$A796, 'Additional Product Info.'!$A$1:$A$1001, 0), MATCH('Product Positioning'!H$1, 'Additional Product Info.'!$A$1:$C$1, 0))</f>
        <v>End-cap</v>
      </c>
      <c r="I796" t="str">
        <f>INDEX('Additional Product Info.'!$A$1:$C$1001, MATCH('Product Positioning'!$A796, 'Additional Product Info.'!$A$1:$A$1001, 0), MATCH('Product Positioning'!I$1, 'Additional Product Info.'!$A$1:$C$1, 0))</f>
        <v>Clothing</v>
      </c>
      <c r="J796" t="str">
        <f>_xlfn.XLOOKUP(A796, $A$1:$A$1001, 'Additional Product Info.'!$D$1:$D$1001)</f>
        <v>Yes</v>
      </c>
      <c r="K796" s="1">
        <f t="shared" si="24"/>
        <v>7247.6799999999994</v>
      </c>
      <c r="L796" s="1">
        <f t="shared" si="25"/>
        <v>4.5999999999999996</v>
      </c>
      <c r="M796" t="str">
        <f>IF(L796&lt;=Statistics!$E$6,"Low Difference",IF('Product Positioning'!L796&gt;=Statistics!$E$4,"High Difference","Moderate Difference"))</f>
        <v>High Difference</v>
      </c>
    </row>
    <row r="797" spans="1:13" x14ac:dyDescent="0.2">
      <c r="A797">
        <v>110674</v>
      </c>
      <c r="B797" s="1">
        <v>36.21</v>
      </c>
      <c r="C797" s="1">
        <v>33.76</v>
      </c>
      <c r="D797">
        <v>2726</v>
      </c>
      <c r="E797" t="str">
        <f>_xlfn.XLOOKUP(A797, 'Customer Information'!$A$1:$A$1001, 'Customer Information'!$B$1:$B$1001)</f>
        <v>Low</v>
      </c>
      <c r="F797" t="str">
        <f>_xlfn.XLOOKUP(A797, 'Customer Information'!$A$1:$A$1001, 'Customer Information'!$C$1:$C$1001)</f>
        <v>Seniors</v>
      </c>
      <c r="G797" t="str">
        <f>_xlfn.XLOOKUP('Customer Information'!A797, 'Customer Information'!$A$1:$A$1001, 'Customer Information'!$D$1:$D$1001)</f>
        <v>Yes</v>
      </c>
      <c r="H797" t="str">
        <f>INDEX('Additional Product Info.'!$A$1:$C$1001, MATCH('Product Positioning'!$A797, 'Additional Product Info.'!$A$1:$A$1001, 0), MATCH('Product Positioning'!H$1, 'Additional Product Info.'!$A$1:$C$1, 0))</f>
        <v>End-cap</v>
      </c>
      <c r="I797" t="str">
        <f>INDEX('Additional Product Info.'!$A$1:$C$1001, MATCH('Product Positioning'!$A797, 'Additional Product Info.'!$A$1:$A$1001, 0), MATCH('Product Positioning'!I$1, 'Additional Product Info.'!$A$1:$C$1, 0))</f>
        <v>Electronics</v>
      </c>
      <c r="J797" t="str">
        <f>_xlfn.XLOOKUP(A797, $A$1:$A$1001, 'Additional Product Info.'!$D$1:$D$1001)</f>
        <v>No</v>
      </c>
      <c r="K797" s="1">
        <f t="shared" si="24"/>
        <v>98708.46</v>
      </c>
      <c r="L797" s="1">
        <f t="shared" si="25"/>
        <v>2.4500000000000028</v>
      </c>
      <c r="M797" t="str">
        <f>IF(L797&lt;=Statistics!$E$6,"Low Difference",IF('Product Positioning'!L797&gt;=Statistics!$E$4,"High Difference","Moderate Difference"))</f>
        <v>Moderate Difference</v>
      </c>
    </row>
    <row r="798" spans="1:13" x14ac:dyDescent="0.2">
      <c r="A798">
        <v>110417</v>
      </c>
      <c r="B798" s="1">
        <v>43.02</v>
      </c>
      <c r="C798" s="1">
        <v>42.63</v>
      </c>
      <c r="D798">
        <v>2352</v>
      </c>
      <c r="E798" t="str">
        <f>_xlfn.XLOOKUP(A798, 'Customer Information'!$A$1:$A$1001, 'Customer Information'!$B$1:$B$1001)</f>
        <v>Low</v>
      </c>
      <c r="F798" t="str">
        <f>_xlfn.XLOOKUP(A798, 'Customer Information'!$A$1:$A$1001, 'Customer Information'!$C$1:$C$1001)</f>
        <v>Young adults</v>
      </c>
      <c r="G798" t="str">
        <f>_xlfn.XLOOKUP('Customer Information'!A798, 'Customer Information'!$A$1:$A$1001, 'Customer Information'!$D$1:$D$1001)</f>
        <v>Yes</v>
      </c>
      <c r="H798" t="str">
        <f>INDEX('Additional Product Info.'!$A$1:$C$1001, MATCH('Product Positioning'!$A798, 'Additional Product Info.'!$A$1:$A$1001, 0), MATCH('Product Positioning'!H$1, 'Additional Product Info.'!$A$1:$C$1, 0))</f>
        <v>End-cap</v>
      </c>
      <c r="I798" t="str">
        <f>INDEX('Additional Product Info.'!$A$1:$C$1001, MATCH('Product Positioning'!$A798, 'Additional Product Info.'!$A$1:$A$1001, 0), MATCH('Product Positioning'!I$1, 'Additional Product Info.'!$A$1:$C$1, 0))</f>
        <v>Clothing</v>
      </c>
      <c r="J798" t="str">
        <f>_xlfn.XLOOKUP(A798, $A$1:$A$1001, 'Additional Product Info.'!$D$1:$D$1001)</f>
        <v>Yes</v>
      </c>
      <c r="K798" s="1">
        <f t="shared" si="24"/>
        <v>101183.04000000001</v>
      </c>
      <c r="L798" s="1">
        <f t="shared" si="25"/>
        <v>0.39000000000000057</v>
      </c>
      <c r="M798" t="str">
        <f>IF(L798&lt;=Statistics!$E$6,"Low Difference",IF('Product Positioning'!L798&gt;=Statistics!$E$4,"High Difference","Moderate Difference"))</f>
        <v>Low Difference</v>
      </c>
    </row>
    <row r="799" spans="1:13" x14ac:dyDescent="0.2">
      <c r="A799">
        <v>166698</v>
      </c>
      <c r="B799" s="1">
        <v>47.18</v>
      </c>
      <c r="C799" s="1">
        <v>46.66</v>
      </c>
      <c r="D799">
        <v>2528</v>
      </c>
      <c r="E799" t="str">
        <f>_xlfn.XLOOKUP(A799, 'Customer Information'!$A$1:$A$1001, 'Customer Information'!$B$1:$B$1001)</f>
        <v>Low</v>
      </c>
      <c r="F799" t="str">
        <f>_xlfn.XLOOKUP(A799, 'Customer Information'!$A$1:$A$1001, 'Customer Information'!$C$1:$C$1001)</f>
        <v>Young adults</v>
      </c>
      <c r="G799" t="str">
        <f>_xlfn.XLOOKUP('Customer Information'!A799, 'Customer Information'!$A$1:$A$1001, 'Customer Information'!$D$1:$D$1001)</f>
        <v>No</v>
      </c>
      <c r="H799" t="str">
        <f>INDEX('Additional Product Info.'!$A$1:$C$1001, MATCH('Product Positioning'!$A799, 'Additional Product Info.'!$A$1:$A$1001, 0), MATCH('Product Positioning'!H$1, 'Additional Product Info.'!$A$1:$C$1, 0))</f>
        <v>End-cap</v>
      </c>
      <c r="I799" t="str">
        <f>INDEX('Additional Product Info.'!$A$1:$C$1001, MATCH('Product Positioning'!$A799, 'Additional Product Info.'!$A$1:$A$1001, 0), MATCH('Product Positioning'!I$1, 'Additional Product Info.'!$A$1:$C$1, 0))</f>
        <v>Clothing</v>
      </c>
      <c r="J799" t="str">
        <f>_xlfn.XLOOKUP(A799, $A$1:$A$1001, 'Additional Product Info.'!$D$1:$D$1001)</f>
        <v>No</v>
      </c>
      <c r="K799" s="1">
        <f t="shared" si="24"/>
        <v>119271.03999999999</v>
      </c>
      <c r="L799" s="1">
        <f t="shared" si="25"/>
        <v>0.52000000000000313</v>
      </c>
      <c r="M799" t="str">
        <f>IF(L799&lt;=Statistics!$E$6,"Low Difference",IF('Product Positioning'!L799&gt;=Statistics!$E$4,"High Difference","Moderate Difference"))</f>
        <v>Low Difference</v>
      </c>
    </row>
    <row r="800" spans="1:13" x14ac:dyDescent="0.2">
      <c r="A800">
        <v>179623</v>
      </c>
      <c r="B800" s="1">
        <v>5.08</v>
      </c>
      <c r="C800" s="1">
        <v>3.34</v>
      </c>
      <c r="D800">
        <v>2284</v>
      </c>
      <c r="E800" t="str">
        <f>_xlfn.XLOOKUP(A800, 'Customer Information'!$A$1:$A$1001, 'Customer Information'!$B$1:$B$1001)</f>
        <v>Low</v>
      </c>
      <c r="F800" t="str">
        <f>_xlfn.XLOOKUP(A800, 'Customer Information'!$A$1:$A$1001, 'Customer Information'!$C$1:$C$1001)</f>
        <v>College students</v>
      </c>
      <c r="G800" t="str">
        <f>_xlfn.XLOOKUP('Customer Information'!A800, 'Customer Information'!$A$1:$A$1001, 'Customer Information'!$D$1:$D$1001)</f>
        <v>Yes</v>
      </c>
      <c r="H800" t="str">
        <f>INDEX('Additional Product Info.'!$A$1:$C$1001, MATCH('Product Positioning'!$A800, 'Additional Product Info.'!$A$1:$A$1001, 0), MATCH('Product Positioning'!H$1, 'Additional Product Info.'!$A$1:$C$1, 0))</f>
        <v>Front of Store</v>
      </c>
      <c r="I800" t="str">
        <f>INDEX('Additional Product Info.'!$A$1:$C$1001, MATCH('Product Positioning'!$A800, 'Additional Product Info.'!$A$1:$A$1001, 0), MATCH('Product Positioning'!I$1, 'Additional Product Info.'!$A$1:$C$1, 0))</f>
        <v>Food</v>
      </c>
      <c r="J800" t="str">
        <f>_xlfn.XLOOKUP(A800, $A$1:$A$1001, 'Additional Product Info.'!$D$1:$D$1001)</f>
        <v>Yes</v>
      </c>
      <c r="K800" s="1">
        <f t="shared" si="24"/>
        <v>11602.72</v>
      </c>
      <c r="L800" s="1">
        <f t="shared" si="25"/>
        <v>1.7400000000000002</v>
      </c>
      <c r="M800" t="str">
        <f>IF(L800&lt;=Statistics!$E$6,"Low Difference",IF('Product Positioning'!L800&gt;=Statistics!$E$4,"High Difference","Moderate Difference"))</f>
        <v>Moderate Difference</v>
      </c>
    </row>
    <row r="801" spans="1:13" x14ac:dyDescent="0.2">
      <c r="A801">
        <v>196326</v>
      </c>
      <c r="B801" s="1">
        <v>32.979999999999997</v>
      </c>
      <c r="C801" s="1">
        <v>28.94</v>
      </c>
      <c r="D801">
        <v>2015</v>
      </c>
      <c r="E801" t="str">
        <f>_xlfn.XLOOKUP(A801, 'Customer Information'!$A$1:$A$1001, 'Customer Information'!$B$1:$B$1001)</f>
        <v>Medium</v>
      </c>
      <c r="F801" t="str">
        <f>_xlfn.XLOOKUP(A801, 'Customer Information'!$A$1:$A$1001, 'Customer Information'!$C$1:$C$1001)</f>
        <v>Seniors</v>
      </c>
      <c r="G801" t="str">
        <f>_xlfn.XLOOKUP('Customer Information'!A801, 'Customer Information'!$A$1:$A$1001, 'Customer Information'!$D$1:$D$1001)</f>
        <v>Yes</v>
      </c>
      <c r="H801" t="str">
        <f>INDEX('Additional Product Info.'!$A$1:$C$1001, MATCH('Product Positioning'!$A801, 'Additional Product Info.'!$A$1:$A$1001, 0), MATCH('Product Positioning'!H$1, 'Additional Product Info.'!$A$1:$C$1, 0))</f>
        <v>Aisle</v>
      </c>
      <c r="I801" t="str">
        <f>INDEX('Additional Product Info.'!$A$1:$C$1001, MATCH('Product Positioning'!$A801, 'Additional Product Info.'!$A$1:$A$1001, 0), MATCH('Product Positioning'!I$1, 'Additional Product Info.'!$A$1:$C$1, 0))</f>
        <v>Food</v>
      </c>
      <c r="J801" t="str">
        <f>_xlfn.XLOOKUP(A801, $A$1:$A$1001, 'Additional Product Info.'!$D$1:$D$1001)</f>
        <v>Yes</v>
      </c>
      <c r="K801" s="1">
        <f t="shared" si="24"/>
        <v>66454.7</v>
      </c>
      <c r="L801" s="1">
        <f t="shared" si="25"/>
        <v>4.0399999999999956</v>
      </c>
      <c r="M801" t="str">
        <f>IF(L801&lt;=Statistics!$E$6,"Low Difference",IF('Product Positioning'!L801&gt;=Statistics!$E$4,"High Difference","Moderate Difference"))</f>
        <v>High Difference</v>
      </c>
    </row>
    <row r="802" spans="1:13" x14ac:dyDescent="0.2">
      <c r="A802">
        <v>175453</v>
      </c>
      <c r="B802" s="1">
        <v>12.65</v>
      </c>
      <c r="C802" s="1">
        <v>9.75</v>
      </c>
      <c r="D802">
        <v>1603</v>
      </c>
      <c r="E802" t="str">
        <f>_xlfn.XLOOKUP(A802, 'Customer Information'!$A$1:$A$1001, 'Customer Information'!$B$1:$B$1001)</f>
        <v>Low</v>
      </c>
      <c r="F802" t="str">
        <f>_xlfn.XLOOKUP(A802, 'Customer Information'!$A$1:$A$1001, 'Customer Information'!$C$1:$C$1001)</f>
        <v>Seniors</v>
      </c>
      <c r="G802" t="str">
        <f>_xlfn.XLOOKUP('Customer Information'!A802, 'Customer Information'!$A$1:$A$1001, 'Customer Information'!$D$1:$D$1001)</f>
        <v>No</v>
      </c>
      <c r="H802" t="str">
        <f>INDEX('Additional Product Info.'!$A$1:$C$1001, MATCH('Product Positioning'!$A802, 'Additional Product Info.'!$A$1:$A$1001, 0), MATCH('Product Positioning'!H$1, 'Additional Product Info.'!$A$1:$C$1, 0))</f>
        <v>End-cap</v>
      </c>
      <c r="I802" t="str">
        <f>INDEX('Additional Product Info.'!$A$1:$C$1001, MATCH('Product Positioning'!$A802, 'Additional Product Info.'!$A$1:$A$1001, 0), MATCH('Product Positioning'!I$1, 'Additional Product Info.'!$A$1:$C$1, 0))</f>
        <v>Electronics</v>
      </c>
      <c r="J802" t="str">
        <f>_xlfn.XLOOKUP(A802, $A$1:$A$1001, 'Additional Product Info.'!$D$1:$D$1001)</f>
        <v>Yes</v>
      </c>
      <c r="K802" s="1">
        <f t="shared" si="24"/>
        <v>20277.95</v>
      </c>
      <c r="L802" s="1">
        <f t="shared" si="25"/>
        <v>2.9000000000000004</v>
      </c>
      <c r="M802" t="str">
        <f>IF(L802&lt;=Statistics!$E$6,"Low Difference",IF('Product Positioning'!L802&gt;=Statistics!$E$4,"High Difference","Moderate Difference"))</f>
        <v>Moderate Difference</v>
      </c>
    </row>
    <row r="803" spans="1:13" x14ac:dyDescent="0.2">
      <c r="A803">
        <v>153183</v>
      </c>
      <c r="B803" s="1">
        <v>38.1</v>
      </c>
      <c r="C803" s="1">
        <v>34.700000000000003</v>
      </c>
      <c r="D803">
        <v>822</v>
      </c>
      <c r="E803" t="str">
        <f>_xlfn.XLOOKUP(A803, 'Customer Information'!$A$1:$A$1001, 'Customer Information'!$B$1:$B$1001)</f>
        <v>Medium</v>
      </c>
      <c r="F803" t="str">
        <f>_xlfn.XLOOKUP(A803, 'Customer Information'!$A$1:$A$1001, 'Customer Information'!$C$1:$C$1001)</f>
        <v>Families</v>
      </c>
      <c r="G803" t="str">
        <f>_xlfn.XLOOKUP('Customer Information'!A803, 'Customer Information'!$A$1:$A$1001, 'Customer Information'!$D$1:$D$1001)</f>
        <v>No</v>
      </c>
      <c r="H803" t="str">
        <f>INDEX('Additional Product Info.'!$A$1:$C$1001, MATCH('Product Positioning'!$A803, 'Additional Product Info.'!$A$1:$A$1001, 0), MATCH('Product Positioning'!H$1, 'Additional Product Info.'!$A$1:$C$1, 0))</f>
        <v>End-cap</v>
      </c>
      <c r="I803" t="str">
        <f>INDEX('Additional Product Info.'!$A$1:$C$1001, MATCH('Product Positioning'!$A803, 'Additional Product Info.'!$A$1:$A$1001, 0), MATCH('Product Positioning'!I$1, 'Additional Product Info.'!$A$1:$C$1, 0))</f>
        <v>Clothing</v>
      </c>
      <c r="J803" t="str">
        <f>_xlfn.XLOOKUP(A803, $A$1:$A$1001, 'Additional Product Info.'!$D$1:$D$1001)</f>
        <v>No</v>
      </c>
      <c r="K803" s="1">
        <f t="shared" si="24"/>
        <v>31318.2</v>
      </c>
      <c r="L803" s="1">
        <f t="shared" si="25"/>
        <v>3.3999999999999986</v>
      </c>
      <c r="M803" t="str">
        <f>IF(L803&lt;=Statistics!$E$6,"Low Difference",IF('Product Positioning'!L803&gt;=Statistics!$E$4,"High Difference","Moderate Difference"))</f>
        <v>Moderate Difference</v>
      </c>
    </row>
    <row r="804" spans="1:13" x14ac:dyDescent="0.2">
      <c r="A804">
        <v>195160</v>
      </c>
      <c r="B804" s="1">
        <v>21.92</v>
      </c>
      <c r="C804" s="1">
        <v>18</v>
      </c>
      <c r="D804">
        <v>1792</v>
      </c>
      <c r="E804" t="str">
        <f>_xlfn.XLOOKUP(A804, 'Customer Information'!$A$1:$A$1001, 'Customer Information'!$B$1:$B$1001)</f>
        <v>Low</v>
      </c>
      <c r="F804" t="str">
        <f>_xlfn.XLOOKUP(A804, 'Customer Information'!$A$1:$A$1001, 'Customer Information'!$C$1:$C$1001)</f>
        <v>Young adults</v>
      </c>
      <c r="G804" t="str">
        <f>_xlfn.XLOOKUP('Customer Information'!A804, 'Customer Information'!$A$1:$A$1001, 'Customer Information'!$D$1:$D$1001)</f>
        <v>Yes</v>
      </c>
      <c r="H804" t="str">
        <f>INDEX('Additional Product Info.'!$A$1:$C$1001, MATCH('Product Positioning'!$A804, 'Additional Product Info.'!$A$1:$A$1001, 0), MATCH('Product Positioning'!H$1, 'Additional Product Info.'!$A$1:$C$1, 0))</f>
        <v>Front of Store</v>
      </c>
      <c r="I804" t="str">
        <f>INDEX('Additional Product Info.'!$A$1:$C$1001, MATCH('Product Positioning'!$A804, 'Additional Product Info.'!$A$1:$A$1001, 0), MATCH('Product Positioning'!I$1, 'Additional Product Info.'!$A$1:$C$1, 0))</f>
        <v>Food</v>
      </c>
      <c r="J804" t="str">
        <f>_xlfn.XLOOKUP(A804, $A$1:$A$1001, 'Additional Product Info.'!$D$1:$D$1001)</f>
        <v>No</v>
      </c>
      <c r="K804" s="1">
        <f t="shared" si="24"/>
        <v>39280.639999999999</v>
      </c>
      <c r="L804" s="1">
        <f t="shared" si="25"/>
        <v>3.9200000000000017</v>
      </c>
      <c r="M804" t="str">
        <f>IF(L804&lt;=Statistics!$E$6,"Low Difference",IF('Product Positioning'!L804&gt;=Statistics!$E$4,"High Difference","Moderate Difference"))</f>
        <v>High Difference</v>
      </c>
    </row>
    <row r="805" spans="1:13" x14ac:dyDescent="0.2">
      <c r="A805">
        <v>116201</v>
      </c>
      <c r="B805" s="1">
        <v>30.31</v>
      </c>
      <c r="C805" s="1">
        <v>29.05</v>
      </c>
      <c r="D805">
        <v>2761</v>
      </c>
      <c r="E805" t="str">
        <f>_xlfn.XLOOKUP(A805, 'Customer Information'!$A$1:$A$1001, 'Customer Information'!$B$1:$B$1001)</f>
        <v>Low</v>
      </c>
      <c r="F805" t="str">
        <f>_xlfn.XLOOKUP(A805, 'Customer Information'!$A$1:$A$1001, 'Customer Information'!$C$1:$C$1001)</f>
        <v>Young adults</v>
      </c>
      <c r="G805" t="str">
        <f>_xlfn.XLOOKUP('Customer Information'!A805, 'Customer Information'!$A$1:$A$1001, 'Customer Information'!$D$1:$D$1001)</f>
        <v>No</v>
      </c>
      <c r="H805" t="str">
        <f>INDEX('Additional Product Info.'!$A$1:$C$1001, MATCH('Product Positioning'!$A805, 'Additional Product Info.'!$A$1:$A$1001, 0), MATCH('Product Positioning'!H$1, 'Additional Product Info.'!$A$1:$C$1, 0))</f>
        <v>Aisle</v>
      </c>
      <c r="I805" t="str">
        <f>INDEX('Additional Product Info.'!$A$1:$C$1001, MATCH('Product Positioning'!$A805, 'Additional Product Info.'!$A$1:$A$1001, 0), MATCH('Product Positioning'!I$1, 'Additional Product Info.'!$A$1:$C$1, 0))</f>
        <v>Clothing</v>
      </c>
      <c r="J805" t="str">
        <f>_xlfn.XLOOKUP(A805, $A$1:$A$1001, 'Additional Product Info.'!$D$1:$D$1001)</f>
        <v>No</v>
      </c>
      <c r="K805" s="1">
        <f t="shared" si="24"/>
        <v>83685.91</v>
      </c>
      <c r="L805" s="1">
        <f t="shared" si="25"/>
        <v>1.259999999999998</v>
      </c>
      <c r="M805" t="str">
        <f>IF(L805&lt;=Statistics!$E$6,"Low Difference",IF('Product Positioning'!L805&gt;=Statistics!$E$4,"High Difference","Moderate Difference"))</f>
        <v>Moderate Difference</v>
      </c>
    </row>
    <row r="806" spans="1:13" x14ac:dyDescent="0.2">
      <c r="A806">
        <v>188566</v>
      </c>
      <c r="B806" s="1">
        <v>49.34</v>
      </c>
      <c r="C806" s="1">
        <v>46.31</v>
      </c>
      <c r="D806">
        <v>2071</v>
      </c>
      <c r="E806" t="str">
        <f>_xlfn.XLOOKUP(A806, 'Customer Information'!$A$1:$A$1001, 'Customer Information'!$B$1:$B$1001)</f>
        <v>Medium</v>
      </c>
      <c r="F806" t="str">
        <f>_xlfn.XLOOKUP(A806, 'Customer Information'!$A$1:$A$1001, 'Customer Information'!$C$1:$C$1001)</f>
        <v>Families</v>
      </c>
      <c r="G806" t="str">
        <f>_xlfn.XLOOKUP('Customer Information'!A806, 'Customer Information'!$A$1:$A$1001, 'Customer Information'!$D$1:$D$1001)</f>
        <v>Yes</v>
      </c>
      <c r="H806" t="str">
        <f>INDEX('Additional Product Info.'!$A$1:$C$1001, MATCH('Product Positioning'!$A806, 'Additional Product Info.'!$A$1:$A$1001, 0), MATCH('Product Positioning'!H$1, 'Additional Product Info.'!$A$1:$C$1, 0))</f>
        <v>Aisle</v>
      </c>
      <c r="I806" t="str">
        <f>INDEX('Additional Product Info.'!$A$1:$C$1001, MATCH('Product Positioning'!$A806, 'Additional Product Info.'!$A$1:$A$1001, 0), MATCH('Product Positioning'!I$1, 'Additional Product Info.'!$A$1:$C$1, 0))</f>
        <v>Electronics</v>
      </c>
      <c r="J806" t="str">
        <f>_xlfn.XLOOKUP(A806, $A$1:$A$1001, 'Additional Product Info.'!$D$1:$D$1001)</f>
        <v>No</v>
      </c>
      <c r="K806" s="1">
        <f t="shared" si="24"/>
        <v>102183.14000000001</v>
      </c>
      <c r="L806" s="1">
        <f t="shared" si="25"/>
        <v>3.0300000000000011</v>
      </c>
      <c r="M806" t="str">
        <f>IF(L806&lt;=Statistics!$E$6,"Low Difference",IF('Product Positioning'!L806&gt;=Statistics!$E$4,"High Difference","Moderate Difference"))</f>
        <v>Moderate Difference</v>
      </c>
    </row>
    <row r="807" spans="1:13" x14ac:dyDescent="0.2">
      <c r="A807">
        <v>151362</v>
      </c>
      <c r="B807" s="1">
        <v>22.05</v>
      </c>
      <c r="C807" s="1">
        <v>19.73</v>
      </c>
      <c r="D807">
        <v>1112</v>
      </c>
      <c r="E807" t="str">
        <f>_xlfn.XLOOKUP(A807, 'Customer Information'!$A$1:$A$1001, 'Customer Information'!$B$1:$B$1001)</f>
        <v>Medium</v>
      </c>
      <c r="F807" t="str">
        <f>_xlfn.XLOOKUP(A807, 'Customer Information'!$A$1:$A$1001, 'Customer Information'!$C$1:$C$1001)</f>
        <v>Families</v>
      </c>
      <c r="G807" t="str">
        <f>_xlfn.XLOOKUP('Customer Information'!A807, 'Customer Information'!$A$1:$A$1001, 'Customer Information'!$D$1:$D$1001)</f>
        <v>No</v>
      </c>
      <c r="H807" t="str">
        <f>INDEX('Additional Product Info.'!$A$1:$C$1001, MATCH('Product Positioning'!$A807, 'Additional Product Info.'!$A$1:$A$1001, 0), MATCH('Product Positioning'!H$1, 'Additional Product Info.'!$A$1:$C$1, 0))</f>
        <v>Front of Store</v>
      </c>
      <c r="I807" t="str">
        <f>INDEX('Additional Product Info.'!$A$1:$C$1001, MATCH('Product Positioning'!$A807, 'Additional Product Info.'!$A$1:$A$1001, 0), MATCH('Product Positioning'!I$1, 'Additional Product Info.'!$A$1:$C$1, 0))</f>
        <v>Food</v>
      </c>
      <c r="J807" t="str">
        <f>_xlfn.XLOOKUP(A807, $A$1:$A$1001, 'Additional Product Info.'!$D$1:$D$1001)</f>
        <v>No</v>
      </c>
      <c r="K807" s="1">
        <f t="shared" si="24"/>
        <v>24519.600000000002</v>
      </c>
      <c r="L807" s="1">
        <f t="shared" si="25"/>
        <v>2.3200000000000003</v>
      </c>
      <c r="M807" t="str">
        <f>IF(L807&lt;=Statistics!$E$6,"Low Difference",IF('Product Positioning'!L807&gt;=Statistics!$E$4,"High Difference","Moderate Difference"))</f>
        <v>Moderate Difference</v>
      </c>
    </row>
    <row r="808" spans="1:13" x14ac:dyDescent="0.2">
      <c r="A808">
        <v>189612</v>
      </c>
      <c r="B808" s="1">
        <v>49.94</v>
      </c>
      <c r="C808" s="1">
        <v>48.09</v>
      </c>
      <c r="D808">
        <v>809</v>
      </c>
      <c r="E808" t="str">
        <f>_xlfn.XLOOKUP(A808, 'Customer Information'!$A$1:$A$1001, 'Customer Information'!$B$1:$B$1001)</f>
        <v>High</v>
      </c>
      <c r="F808" t="str">
        <f>_xlfn.XLOOKUP(A808, 'Customer Information'!$A$1:$A$1001, 'Customer Information'!$C$1:$C$1001)</f>
        <v>Families</v>
      </c>
      <c r="G808" t="str">
        <f>_xlfn.XLOOKUP('Customer Information'!A808, 'Customer Information'!$A$1:$A$1001, 'Customer Information'!$D$1:$D$1001)</f>
        <v>Yes</v>
      </c>
      <c r="H808" t="str">
        <f>INDEX('Additional Product Info.'!$A$1:$C$1001, MATCH('Product Positioning'!$A808, 'Additional Product Info.'!$A$1:$A$1001, 0), MATCH('Product Positioning'!H$1, 'Additional Product Info.'!$A$1:$C$1, 0))</f>
        <v>End-cap</v>
      </c>
      <c r="I808" t="str">
        <f>INDEX('Additional Product Info.'!$A$1:$C$1001, MATCH('Product Positioning'!$A808, 'Additional Product Info.'!$A$1:$A$1001, 0), MATCH('Product Positioning'!I$1, 'Additional Product Info.'!$A$1:$C$1, 0))</f>
        <v>Food</v>
      </c>
      <c r="J808" t="str">
        <f>_xlfn.XLOOKUP(A808, $A$1:$A$1001, 'Additional Product Info.'!$D$1:$D$1001)</f>
        <v>Yes</v>
      </c>
      <c r="K808" s="1">
        <f t="shared" si="24"/>
        <v>40401.46</v>
      </c>
      <c r="L808" s="1">
        <f t="shared" si="25"/>
        <v>1.8499999999999943</v>
      </c>
      <c r="M808" t="str">
        <f>IF(L808&lt;=Statistics!$E$6,"Low Difference",IF('Product Positioning'!L808&gt;=Statistics!$E$4,"High Difference","Moderate Difference"))</f>
        <v>Moderate Difference</v>
      </c>
    </row>
    <row r="809" spans="1:13" x14ac:dyDescent="0.2">
      <c r="A809">
        <v>144433</v>
      </c>
      <c r="B809" s="1">
        <v>41.17</v>
      </c>
      <c r="C809" s="1">
        <v>37.58</v>
      </c>
      <c r="D809">
        <v>1412</v>
      </c>
      <c r="E809" t="str">
        <f>_xlfn.XLOOKUP(A809, 'Customer Information'!$A$1:$A$1001, 'Customer Information'!$B$1:$B$1001)</f>
        <v>Low</v>
      </c>
      <c r="F809" t="str">
        <f>_xlfn.XLOOKUP(A809, 'Customer Information'!$A$1:$A$1001, 'Customer Information'!$C$1:$C$1001)</f>
        <v>Seniors</v>
      </c>
      <c r="G809" t="str">
        <f>_xlfn.XLOOKUP('Customer Information'!A809, 'Customer Information'!$A$1:$A$1001, 'Customer Information'!$D$1:$D$1001)</f>
        <v>No</v>
      </c>
      <c r="H809" t="str">
        <f>INDEX('Additional Product Info.'!$A$1:$C$1001, MATCH('Product Positioning'!$A809, 'Additional Product Info.'!$A$1:$A$1001, 0), MATCH('Product Positioning'!H$1, 'Additional Product Info.'!$A$1:$C$1, 0))</f>
        <v>Front of Store</v>
      </c>
      <c r="I809" t="str">
        <f>INDEX('Additional Product Info.'!$A$1:$C$1001, MATCH('Product Positioning'!$A809, 'Additional Product Info.'!$A$1:$A$1001, 0), MATCH('Product Positioning'!I$1, 'Additional Product Info.'!$A$1:$C$1, 0))</f>
        <v>Electronics</v>
      </c>
      <c r="J809" t="str">
        <f>_xlfn.XLOOKUP(A809, $A$1:$A$1001, 'Additional Product Info.'!$D$1:$D$1001)</f>
        <v>No</v>
      </c>
      <c r="K809" s="1">
        <f t="shared" si="24"/>
        <v>58132.04</v>
      </c>
      <c r="L809" s="1">
        <f t="shared" si="25"/>
        <v>3.5900000000000034</v>
      </c>
      <c r="M809" t="str">
        <f>IF(L809&lt;=Statistics!$E$6,"Low Difference",IF('Product Positioning'!L809&gt;=Statistics!$E$4,"High Difference","Moderate Difference"))</f>
        <v>Moderate Difference</v>
      </c>
    </row>
    <row r="810" spans="1:13" x14ac:dyDescent="0.2">
      <c r="A810">
        <v>157449</v>
      </c>
      <c r="B810" s="1">
        <v>33.65</v>
      </c>
      <c r="C810" s="1">
        <v>32.64</v>
      </c>
      <c r="D810">
        <v>951</v>
      </c>
      <c r="E810" t="str">
        <f>_xlfn.XLOOKUP(A810, 'Customer Information'!$A$1:$A$1001, 'Customer Information'!$B$1:$B$1001)</f>
        <v>Low</v>
      </c>
      <c r="F810" t="str">
        <f>_xlfn.XLOOKUP(A810, 'Customer Information'!$A$1:$A$1001, 'Customer Information'!$C$1:$C$1001)</f>
        <v>College students</v>
      </c>
      <c r="G810" t="str">
        <f>_xlfn.XLOOKUP('Customer Information'!A810, 'Customer Information'!$A$1:$A$1001, 'Customer Information'!$D$1:$D$1001)</f>
        <v>No</v>
      </c>
      <c r="H810" t="str">
        <f>INDEX('Additional Product Info.'!$A$1:$C$1001, MATCH('Product Positioning'!$A810, 'Additional Product Info.'!$A$1:$A$1001, 0), MATCH('Product Positioning'!H$1, 'Additional Product Info.'!$A$1:$C$1, 0))</f>
        <v>Aisle</v>
      </c>
      <c r="I810" t="str">
        <f>INDEX('Additional Product Info.'!$A$1:$C$1001, MATCH('Product Positioning'!$A810, 'Additional Product Info.'!$A$1:$A$1001, 0), MATCH('Product Positioning'!I$1, 'Additional Product Info.'!$A$1:$C$1, 0))</f>
        <v>Food</v>
      </c>
      <c r="J810" t="str">
        <f>_xlfn.XLOOKUP(A810, $A$1:$A$1001, 'Additional Product Info.'!$D$1:$D$1001)</f>
        <v>No</v>
      </c>
      <c r="K810" s="1">
        <f t="shared" si="24"/>
        <v>32001.149999999998</v>
      </c>
      <c r="L810" s="1">
        <f t="shared" si="25"/>
        <v>1.009999999999998</v>
      </c>
      <c r="M810" t="str">
        <f>IF(L810&lt;=Statistics!$E$6,"Low Difference",IF('Product Positioning'!L810&gt;=Statistics!$E$4,"High Difference","Moderate Difference"))</f>
        <v>Low Difference</v>
      </c>
    </row>
    <row r="811" spans="1:13" x14ac:dyDescent="0.2">
      <c r="A811">
        <v>165623</v>
      </c>
      <c r="B811" s="1">
        <v>17.03</v>
      </c>
      <c r="C811" s="1">
        <v>15.52</v>
      </c>
      <c r="D811">
        <v>2379</v>
      </c>
      <c r="E811" t="str">
        <f>_xlfn.XLOOKUP(A811, 'Customer Information'!$A$1:$A$1001, 'Customer Information'!$B$1:$B$1001)</f>
        <v>High</v>
      </c>
      <c r="F811" t="str">
        <f>_xlfn.XLOOKUP(A811, 'Customer Information'!$A$1:$A$1001, 'Customer Information'!$C$1:$C$1001)</f>
        <v>College students</v>
      </c>
      <c r="G811" t="str">
        <f>_xlfn.XLOOKUP('Customer Information'!A811, 'Customer Information'!$A$1:$A$1001, 'Customer Information'!$D$1:$D$1001)</f>
        <v>No</v>
      </c>
      <c r="H811" t="str">
        <f>INDEX('Additional Product Info.'!$A$1:$C$1001, MATCH('Product Positioning'!$A811, 'Additional Product Info.'!$A$1:$A$1001, 0), MATCH('Product Positioning'!H$1, 'Additional Product Info.'!$A$1:$C$1, 0))</f>
        <v>End-cap</v>
      </c>
      <c r="I811" t="str">
        <f>INDEX('Additional Product Info.'!$A$1:$C$1001, MATCH('Product Positioning'!$A811, 'Additional Product Info.'!$A$1:$A$1001, 0), MATCH('Product Positioning'!I$1, 'Additional Product Info.'!$A$1:$C$1, 0))</f>
        <v>Electronics</v>
      </c>
      <c r="J811" t="str">
        <f>_xlfn.XLOOKUP(A811, $A$1:$A$1001, 'Additional Product Info.'!$D$1:$D$1001)</f>
        <v>Yes</v>
      </c>
      <c r="K811" s="1">
        <f t="shared" si="24"/>
        <v>40514.370000000003</v>
      </c>
      <c r="L811" s="1">
        <f t="shared" si="25"/>
        <v>1.5100000000000016</v>
      </c>
      <c r="M811" t="str">
        <f>IF(L811&lt;=Statistics!$E$6,"Low Difference",IF('Product Positioning'!L811&gt;=Statistics!$E$4,"High Difference","Moderate Difference"))</f>
        <v>Moderate Difference</v>
      </c>
    </row>
    <row r="812" spans="1:13" x14ac:dyDescent="0.2">
      <c r="A812">
        <v>137925</v>
      </c>
      <c r="B812" s="1">
        <v>45.44</v>
      </c>
      <c r="C812" s="1">
        <v>41.87</v>
      </c>
      <c r="D812">
        <v>2336</v>
      </c>
      <c r="E812" t="str">
        <f>_xlfn.XLOOKUP(A812, 'Customer Information'!$A$1:$A$1001, 'Customer Information'!$B$1:$B$1001)</f>
        <v>Medium</v>
      </c>
      <c r="F812" t="str">
        <f>_xlfn.XLOOKUP(A812, 'Customer Information'!$A$1:$A$1001, 'Customer Information'!$C$1:$C$1001)</f>
        <v>Young adults</v>
      </c>
      <c r="G812" t="str">
        <f>_xlfn.XLOOKUP('Customer Information'!A812, 'Customer Information'!$A$1:$A$1001, 'Customer Information'!$D$1:$D$1001)</f>
        <v>No</v>
      </c>
      <c r="H812" t="str">
        <f>INDEX('Additional Product Info.'!$A$1:$C$1001, MATCH('Product Positioning'!$A812, 'Additional Product Info.'!$A$1:$A$1001, 0), MATCH('Product Positioning'!H$1, 'Additional Product Info.'!$A$1:$C$1, 0))</f>
        <v>End-cap</v>
      </c>
      <c r="I812" t="str">
        <f>INDEX('Additional Product Info.'!$A$1:$C$1001, MATCH('Product Positioning'!$A812, 'Additional Product Info.'!$A$1:$A$1001, 0), MATCH('Product Positioning'!I$1, 'Additional Product Info.'!$A$1:$C$1, 0))</f>
        <v>Electronics</v>
      </c>
      <c r="J812" t="str">
        <f>_xlfn.XLOOKUP(A812, $A$1:$A$1001, 'Additional Product Info.'!$D$1:$D$1001)</f>
        <v>No</v>
      </c>
      <c r="K812" s="1">
        <f t="shared" si="24"/>
        <v>106147.84</v>
      </c>
      <c r="L812" s="1">
        <f t="shared" si="25"/>
        <v>3.5700000000000003</v>
      </c>
      <c r="M812" t="str">
        <f>IF(L812&lt;=Statistics!$E$6,"Low Difference",IF('Product Positioning'!L812&gt;=Statistics!$E$4,"High Difference","Moderate Difference"))</f>
        <v>Moderate Difference</v>
      </c>
    </row>
    <row r="813" spans="1:13" x14ac:dyDescent="0.2">
      <c r="A813">
        <v>115111</v>
      </c>
      <c r="B813" s="1">
        <v>16.88</v>
      </c>
      <c r="C813" s="1">
        <v>13.12</v>
      </c>
      <c r="D813">
        <v>1592</v>
      </c>
      <c r="E813" t="str">
        <f>_xlfn.XLOOKUP(A813, 'Customer Information'!$A$1:$A$1001, 'Customer Information'!$B$1:$B$1001)</f>
        <v>Medium</v>
      </c>
      <c r="F813" t="str">
        <f>_xlfn.XLOOKUP(A813, 'Customer Information'!$A$1:$A$1001, 'Customer Information'!$C$1:$C$1001)</f>
        <v>Families</v>
      </c>
      <c r="G813" t="str">
        <f>_xlfn.XLOOKUP('Customer Information'!A813, 'Customer Information'!$A$1:$A$1001, 'Customer Information'!$D$1:$D$1001)</f>
        <v>No</v>
      </c>
      <c r="H813" t="str">
        <f>INDEX('Additional Product Info.'!$A$1:$C$1001, MATCH('Product Positioning'!$A813, 'Additional Product Info.'!$A$1:$A$1001, 0), MATCH('Product Positioning'!H$1, 'Additional Product Info.'!$A$1:$C$1, 0))</f>
        <v>Aisle</v>
      </c>
      <c r="I813" t="str">
        <f>INDEX('Additional Product Info.'!$A$1:$C$1001, MATCH('Product Positioning'!$A813, 'Additional Product Info.'!$A$1:$A$1001, 0), MATCH('Product Positioning'!I$1, 'Additional Product Info.'!$A$1:$C$1, 0))</f>
        <v>Clothing</v>
      </c>
      <c r="J813" t="str">
        <f>_xlfn.XLOOKUP(A813, $A$1:$A$1001, 'Additional Product Info.'!$D$1:$D$1001)</f>
        <v>No</v>
      </c>
      <c r="K813" s="1">
        <f t="shared" si="24"/>
        <v>26872.959999999999</v>
      </c>
      <c r="L813" s="1">
        <f t="shared" si="25"/>
        <v>3.76</v>
      </c>
      <c r="M813" t="str">
        <f>IF(L813&lt;=Statistics!$E$6,"Low Difference",IF('Product Positioning'!L813&gt;=Statistics!$E$4,"High Difference","Moderate Difference"))</f>
        <v>High Difference</v>
      </c>
    </row>
    <row r="814" spans="1:13" x14ac:dyDescent="0.2">
      <c r="A814">
        <v>171502</v>
      </c>
      <c r="B814" s="1">
        <v>10.49</v>
      </c>
      <c r="C814" s="1">
        <v>8.4499999999999993</v>
      </c>
      <c r="D814">
        <v>635</v>
      </c>
      <c r="E814" t="str">
        <f>_xlfn.XLOOKUP(A814, 'Customer Information'!$A$1:$A$1001, 'Customer Information'!$B$1:$B$1001)</f>
        <v>Medium</v>
      </c>
      <c r="F814" t="str">
        <f>_xlfn.XLOOKUP(A814, 'Customer Information'!$A$1:$A$1001, 'Customer Information'!$C$1:$C$1001)</f>
        <v>Seniors</v>
      </c>
      <c r="G814" t="str">
        <f>_xlfn.XLOOKUP('Customer Information'!A814, 'Customer Information'!$A$1:$A$1001, 'Customer Information'!$D$1:$D$1001)</f>
        <v>Yes</v>
      </c>
      <c r="H814" t="str">
        <f>INDEX('Additional Product Info.'!$A$1:$C$1001, MATCH('Product Positioning'!$A814, 'Additional Product Info.'!$A$1:$A$1001, 0), MATCH('Product Positioning'!H$1, 'Additional Product Info.'!$A$1:$C$1, 0))</f>
        <v>Front of Store</v>
      </c>
      <c r="I814" t="str">
        <f>INDEX('Additional Product Info.'!$A$1:$C$1001, MATCH('Product Positioning'!$A814, 'Additional Product Info.'!$A$1:$A$1001, 0), MATCH('Product Positioning'!I$1, 'Additional Product Info.'!$A$1:$C$1, 0))</f>
        <v>Food</v>
      </c>
      <c r="J814" t="str">
        <f>_xlfn.XLOOKUP(A814, $A$1:$A$1001, 'Additional Product Info.'!$D$1:$D$1001)</f>
        <v>Yes</v>
      </c>
      <c r="K814" s="1">
        <f t="shared" si="24"/>
        <v>6661.1500000000005</v>
      </c>
      <c r="L814" s="1">
        <f t="shared" si="25"/>
        <v>2.0400000000000009</v>
      </c>
      <c r="M814" t="str">
        <f>IF(L814&lt;=Statistics!$E$6,"Low Difference",IF('Product Positioning'!L814&gt;=Statistics!$E$4,"High Difference","Moderate Difference"))</f>
        <v>Moderate Difference</v>
      </c>
    </row>
    <row r="815" spans="1:13" x14ac:dyDescent="0.2">
      <c r="A815">
        <v>193698</v>
      </c>
      <c r="B815" s="1">
        <v>7.95</v>
      </c>
      <c r="C815" s="1">
        <v>3.06</v>
      </c>
      <c r="D815">
        <v>1029</v>
      </c>
      <c r="E815" t="str">
        <f>_xlfn.XLOOKUP(A815, 'Customer Information'!$A$1:$A$1001, 'Customer Information'!$B$1:$B$1001)</f>
        <v>Medium</v>
      </c>
      <c r="F815" t="str">
        <f>_xlfn.XLOOKUP(A815, 'Customer Information'!$A$1:$A$1001, 'Customer Information'!$C$1:$C$1001)</f>
        <v>Young adults</v>
      </c>
      <c r="G815" t="str">
        <f>_xlfn.XLOOKUP('Customer Information'!A815, 'Customer Information'!$A$1:$A$1001, 'Customer Information'!$D$1:$D$1001)</f>
        <v>No</v>
      </c>
      <c r="H815" t="str">
        <f>INDEX('Additional Product Info.'!$A$1:$C$1001, MATCH('Product Positioning'!$A815, 'Additional Product Info.'!$A$1:$A$1001, 0), MATCH('Product Positioning'!H$1, 'Additional Product Info.'!$A$1:$C$1, 0))</f>
        <v>End-cap</v>
      </c>
      <c r="I815" t="str">
        <f>INDEX('Additional Product Info.'!$A$1:$C$1001, MATCH('Product Positioning'!$A815, 'Additional Product Info.'!$A$1:$A$1001, 0), MATCH('Product Positioning'!I$1, 'Additional Product Info.'!$A$1:$C$1, 0))</f>
        <v>Food</v>
      </c>
      <c r="J815" t="str">
        <f>_xlfn.XLOOKUP(A815, $A$1:$A$1001, 'Additional Product Info.'!$D$1:$D$1001)</f>
        <v>No</v>
      </c>
      <c r="K815" s="1">
        <f t="shared" si="24"/>
        <v>8180.55</v>
      </c>
      <c r="L815" s="1">
        <f t="shared" si="25"/>
        <v>4.8900000000000006</v>
      </c>
      <c r="M815" t="str">
        <f>IF(L815&lt;=Statistics!$E$6,"Low Difference",IF('Product Positioning'!L815&gt;=Statistics!$E$4,"High Difference","Moderate Difference"))</f>
        <v>High Difference</v>
      </c>
    </row>
    <row r="816" spans="1:13" x14ac:dyDescent="0.2">
      <c r="A816">
        <v>151572</v>
      </c>
      <c r="B816" s="1">
        <v>29</v>
      </c>
      <c r="C816" s="1">
        <v>26.1</v>
      </c>
      <c r="D816">
        <v>1602</v>
      </c>
      <c r="E816" t="str">
        <f>_xlfn.XLOOKUP(A816, 'Customer Information'!$A$1:$A$1001, 'Customer Information'!$B$1:$B$1001)</f>
        <v>Low</v>
      </c>
      <c r="F816" t="str">
        <f>_xlfn.XLOOKUP(A816, 'Customer Information'!$A$1:$A$1001, 'Customer Information'!$C$1:$C$1001)</f>
        <v>College students</v>
      </c>
      <c r="G816" t="str">
        <f>_xlfn.XLOOKUP('Customer Information'!A816, 'Customer Information'!$A$1:$A$1001, 'Customer Information'!$D$1:$D$1001)</f>
        <v>Yes</v>
      </c>
      <c r="H816" t="str">
        <f>INDEX('Additional Product Info.'!$A$1:$C$1001, MATCH('Product Positioning'!$A816, 'Additional Product Info.'!$A$1:$A$1001, 0), MATCH('Product Positioning'!H$1, 'Additional Product Info.'!$A$1:$C$1, 0))</f>
        <v>Front of Store</v>
      </c>
      <c r="I816" t="str">
        <f>INDEX('Additional Product Info.'!$A$1:$C$1001, MATCH('Product Positioning'!$A816, 'Additional Product Info.'!$A$1:$A$1001, 0), MATCH('Product Positioning'!I$1, 'Additional Product Info.'!$A$1:$C$1, 0))</f>
        <v>Food</v>
      </c>
      <c r="J816" t="str">
        <f>_xlfn.XLOOKUP(A816, $A$1:$A$1001, 'Additional Product Info.'!$D$1:$D$1001)</f>
        <v>Yes</v>
      </c>
      <c r="K816" s="1">
        <f t="shared" si="24"/>
        <v>46458</v>
      </c>
      <c r="L816" s="1">
        <f t="shared" si="25"/>
        <v>2.8999999999999986</v>
      </c>
      <c r="M816" t="str">
        <f>IF(L816&lt;=Statistics!$E$6,"Low Difference",IF('Product Positioning'!L816&gt;=Statistics!$E$4,"High Difference","Moderate Difference"))</f>
        <v>Moderate Difference</v>
      </c>
    </row>
    <row r="817" spans="1:13" x14ac:dyDescent="0.2">
      <c r="A817">
        <v>158886</v>
      </c>
      <c r="B817" s="1">
        <v>33.24</v>
      </c>
      <c r="C817" s="1">
        <v>29.24</v>
      </c>
      <c r="D817">
        <v>664</v>
      </c>
      <c r="E817" t="str">
        <f>_xlfn.XLOOKUP(A817, 'Customer Information'!$A$1:$A$1001, 'Customer Information'!$B$1:$B$1001)</f>
        <v>Medium</v>
      </c>
      <c r="F817" t="str">
        <f>_xlfn.XLOOKUP(A817, 'Customer Information'!$A$1:$A$1001, 'Customer Information'!$C$1:$C$1001)</f>
        <v>Seniors</v>
      </c>
      <c r="G817" t="str">
        <f>_xlfn.XLOOKUP('Customer Information'!A817, 'Customer Information'!$A$1:$A$1001, 'Customer Information'!$D$1:$D$1001)</f>
        <v>Yes</v>
      </c>
      <c r="H817" t="str">
        <f>INDEX('Additional Product Info.'!$A$1:$C$1001, MATCH('Product Positioning'!$A817, 'Additional Product Info.'!$A$1:$A$1001, 0), MATCH('Product Positioning'!H$1, 'Additional Product Info.'!$A$1:$C$1, 0))</f>
        <v>End-cap</v>
      </c>
      <c r="I817" t="str">
        <f>INDEX('Additional Product Info.'!$A$1:$C$1001, MATCH('Product Positioning'!$A817, 'Additional Product Info.'!$A$1:$A$1001, 0), MATCH('Product Positioning'!I$1, 'Additional Product Info.'!$A$1:$C$1, 0))</f>
        <v>Electronics</v>
      </c>
      <c r="J817" t="str">
        <f>_xlfn.XLOOKUP(A817, $A$1:$A$1001, 'Additional Product Info.'!$D$1:$D$1001)</f>
        <v>Yes</v>
      </c>
      <c r="K817" s="1">
        <f t="shared" si="24"/>
        <v>22071.360000000001</v>
      </c>
      <c r="L817" s="1">
        <f t="shared" si="25"/>
        <v>4.0000000000000036</v>
      </c>
      <c r="M817" t="str">
        <f>IF(L817&lt;=Statistics!$E$6,"Low Difference",IF('Product Positioning'!L817&gt;=Statistics!$E$4,"High Difference","Moderate Difference"))</f>
        <v>High Difference</v>
      </c>
    </row>
    <row r="818" spans="1:13" x14ac:dyDescent="0.2">
      <c r="A818">
        <v>111012</v>
      </c>
      <c r="B818" s="1">
        <v>39.229999999999997</v>
      </c>
      <c r="C818" s="1">
        <v>37.69</v>
      </c>
      <c r="D818">
        <v>725</v>
      </c>
      <c r="E818" t="str">
        <f>_xlfn.XLOOKUP(A818, 'Customer Information'!$A$1:$A$1001, 'Customer Information'!$B$1:$B$1001)</f>
        <v>Medium</v>
      </c>
      <c r="F818" t="str">
        <f>_xlfn.XLOOKUP(A818, 'Customer Information'!$A$1:$A$1001, 'Customer Information'!$C$1:$C$1001)</f>
        <v>College students</v>
      </c>
      <c r="G818" t="str">
        <f>_xlfn.XLOOKUP('Customer Information'!A818, 'Customer Information'!$A$1:$A$1001, 'Customer Information'!$D$1:$D$1001)</f>
        <v>No</v>
      </c>
      <c r="H818" t="str">
        <f>INDEX('Additional Product Info.'!$A$1:$C$1001, MATCH('Product Positioning'!$A818, 'Additional Product Info.'!$A$1:$A$1001, 0), MATCH('Product Positioning'!H$1, 'Additional Product Info.'!$A$1:$C$1, 0))</f>
        <v>Front of Store</v>
      </c>
      <c r="I818" t="str">
        <f>INDEX('Additional Product Info.'!$A$1:$C$1001, MATCH('Product Positioning'!$A818, 'Additional Product Info.'!$A$1:$A$1001, 0), MATCH('Product Positioning'!I$1, 'Additional Product Info.'!$A$1:$C$1, 0))</f>
        <v>Food</v>
      </c>
      <c r="J818" t="str">
        <f>_xlfn.XLOOKUP(A818, $A$1:$A$1001, 'Additional Product Info.'!$D$1:$D$1001)</f>
        <v>No</v>
      </c>
      <c r="K818" s="1">
        <f t="shared" si="24"/>
        <v>28441.749999999996</v>
      </c>
      <c r="L818" s="1">
        <f t="shared" si="25"/>
        <v>1.5399999999999991</v>
      </c>
      <c r="M818" t="str">
        <f>IF(L818&lt;=Statistics!$E$6,"Low Difference",IF('Product Positioning'!L818&gt;=Statistics!$E$4,"High Difference","Moderate Difference"))</f>
        <v>Moderate Difference</v>
      </c>
    </row>
    <row r="819" spans="1:13" x14ac:dyDescent="0.2">
      <c r="A819">
        <v>143251</v>
      </c>
      <c r="B819" s="1">
        <v>9.89</v>
      </c>
      <c r="C819" s="1">
        <v>8.8800000000000008</v>
      </c>
      <c r="D819">
        <v>2354</v>
      </c>
      <c r="E819" t="str">
        <f>_xlfn.XLOOKUP(A819, 'Customer Information'!$A$1:$A$1001, 'Customer Information'!$B$1:$B$1001)</f>
        <v>Low</v>
      </c>
      <c r="F819" t="str">
        <f>_xlfn.XLOOKUP(A819, 'Customer Information'!$A$1:$A$1001, 'Customer Information'!$C$1:$C$1001)</f>
        <v>Seniors</v>
      </c>
      <c r="G819" t="str">
        <f>_xlfn.XLOOKUP('Customer Information'!A819, 'Customer Information'!$A$1:$A$1001, 'Customer Information'!$D$1:$D$1001)</f>
        <v>No</v>
      </c>
      <c r="H819" t="str">
        <f>INDEX('Additional Product Info.'!$A$1:$C$1001, MATCH('Product Positioning'!$A819, 'Additional Product Info.'!$A$1:$A$1001, 0), MATCH('Product Positioning'!H$1, 'Additional Product Info.'!$A$1:$C$1, 0))</f>
        <v>Aisle</v>
      </c>
      <c r="I819" t="str">
        <f>INDEX('Additional Product Info.'!$A$1:$C$1001, MATCH('Product Positioning'!$A819, 'Additional Product Info.'!$A$1:$A$1001, 0), MATCH('Product Positioning'!I$1, 'Additional Product Info.'!$A$1:$C$1, 0))</f>
        <v>Electronics</v>
      </c>
      <c r="J819" t="str">
        <f>_xlfn.XLOOKUP(A819, $A$1:$A$1001, 'Additional Product Info.'!$D$1:$D$1001)</f>
        <v>No</v>
      </c>
      <c r="K819" s="1">
        <f t="shared" si="24"/>
        <v>23281.06</v>
      </c>
      <c r="L819" s="1">
        <f t="shared" si="25"/>
        <v>1.0099999999999998</v>
      </c>
      <c r="M819" t="str">
        <f>IF(L819&lt;=Statistics!$E$6,"Low Difference",IF('Product Positioning'!L819&gt;=Statistics!$E$4,"High Difference","Moderate Difference"))</f>
        <v>Low Difference</v>
      </c>
    </row>
    <row r="820" spans="1:13" x14ac:dyDescent="0.2">
      <c r="A820">
        <v>178611</v>
      </c>
      <c r="B820" s="1">
        <v>24.97</v>
      </c>
      <c r="C820" s="1">
        <v>22.33</v>
      </c>
      <c r="D820">
        <v>992</v>
      </c>
      <c r="E820" t="str">
        <f>_xlfn.XLOOKUP(A820, 'Customer Information'!$A$1:$A$1001, 'Customer Information'!$B$1:$B$1001)</f>
        <v>Medium</v>
      </c>
      <c r="F820" t="str">
        <f>_xlfn.XLOOKUP(A820, 'Customer Information'!$A$1:$A$1001, 'Customer Information'!$C$1:$C$1001)</f>
        <v>Seniors</v>
      </c>
      <c r="G820" t="str">
        <f>_xlfn.XLOOKUP('Customer Information'!A820, 'Customer Information'!$A$1:$A$1001, 'Customer Information'!$D$1:$D$1001)</f>
        <v>Yes</v>
      </c>
      <c r="H820" t="str">
        <f>INDEX('Additional Product Info.'!$A$1:$C$1001, MATCH('Product Positioning'!$A820, 'Additional Product Info.'!$A$1:$A$1001, 0), MATCH('Product Positioning'!H$1, 'Additional Product Info.'!$A$1:$C$1, 0))</f>
        <v>Aisle</v>
      </c>
      <c r="I820" t="str">
        <f>INDEX('Additional Product Info.'!$A$1:$C$1001, MATCH('Product Positioning'!$A820, 'Additional Product Info.'!$A$1:$A$1001, 0), MATCH('Product Positioning'!I$1, 'Additional Product Info.'!$A$1:$C$1, 0))</f>
        <v>Food</v>
      </c>
      <c r="J820" t="str">
        <f>_xlfn.XLOOKUP(A820, $A$1:$A$1001, 'Additional Product Info.'!$D$1:$D$1001)</f>
        <v>No</v>
      </c>
      <c r="K820" s="1">
        <f t="shared" si="24"/>
        <v>24770.239999999998</v>
      </c>
      <c r="L820" s="1">
        <f t="shared" si="25"/>
        <v>2.6400000000000006</v>
      </c>
      <c r="M820" t="str">
        <f>IF(L820&lt;=Statistics!$E$6,"Low Difference",IF('Product Positioning'!L820&gt;=Statistics!$E$4,"High Difference","Moderate Difference"))</f>
        <v>Moderate Difference</v>
      </c>
    </row>
    <row r="821" spans="1:13" x14ac:dyDescent="0.2">
      <c r="A821">
        <v>114824</v>
      </c>
      <c r="B821" s="1">
        <v>43.12</v>
      </c>
      <c r="C821" s="1">
        <v>40.43</v>
      </c>
      <c r="D821">
        <v>852</v>
      </c>
      <c r="E821" t="str">
        <f>_xlfn.XLOOKUP(A821, 'Customer Information'!$A$1:$A$1001, 'Customer Information'!$B$1:$B$1001)</f>
        <v>High</v>
      </c>
      <c r="F821" t="str">
        <f>_xlfn.XLOOKUP(A821, 'Customer Information'!$A$1:$A$1001, 'Customer Information'!$C$1:$C$1001)</f>
        <v>Families</v>
      </c>
      <c r="G821" t="str">
        <f>_xlfn.XLOOKUP('Customer Information'!A821, 'Customer Information'!$A$1:$A$1001, 'Customer Information'!$D$1:$D$1001)</f>
        <v>Yes</v>
      </c>
      <c r="H821" t="str">
        <f>INDEX('Additional Product Info.'!$A$1:$C$1001, MATCH('Product Positioning'!$A821, 'Additional Product Info.'!$A$1:$A$1001, 0), MATCH('Product Positioning'!H$1, 'Additional Product Info.'!$A$1:$C$1, 0))</f>
        <v>Front of Store</v>
      </c>
      <c r="I821" t="str">
        <f>INDEX('Additional Product Info.'!$A$1:$C$1001, MATCH('Product Positioning'!$A821, 'Additional Product Info.'!$A$1:$A$1001, 0), MATCH('Product Positioning'!I$1, 'Additional Product Info.'!$A$1:$C$1, 0))</f>
        <v>Clothing</v>
      </c>
      <c r="J821" t="str">
        <f>_xlfn.XLOOKUP(A821, $A$1:$A$1001, 'Additional Product Info.'!$D$1:$D$1001)</f>
        <v>Yes</v>
      </c>
      <c r="K821" s="1">
        <f t="shared" si="24"/>
        <v>36738.239999999998</v>
      </c>
      <c r="L821" s="1">
        <f t="shared" si="25"/>
        <v>2.6899999999999977</v>
      </c>
      <c r="M821" t="str">
        <f>IF(L821&lt;=Statistics!$E$6,"Low Difference",IF('Product Positioning'!L821&gt;=Statistics!$E$4,"High Difference","Moderate Difference"))</f>
        <v>Moderate Difference</v>
      </c>
    </row>
    <row r="822" spans="1:13" x14ac:dyDescent="0.2">
      <c r="A822">
        <v>168713</v>
      </c>
      <c r="B822" s="1">
        <v>29.88</v>
      </c>
      <c r="C822" s="1">
        <v>26.59</v>
      </c>
      <c r="D822">
        <v>2112</v>
      </c>
      <c r="E822" t="str">
        <f>_xlfn.XLOOKUP(A822, 'Customer Information'!$A$1:$A$1001, 'Customer Information'!$B$1:$B$1001)</f>
        <v>High</v>
      </c>
      <c r="F822" t="str">
        <f>_xlfn.XLOOKUP(A822, 'Customer Information'!$A$1:$A$1001, 'Customer Information'!$C$1:$C$1001)</f>
        <v>Young adults</v>
      </c>
      <c r="G822" t="str">
        <f>_xlfn.XLOOKUP('Customer Information'!A822, 'Customer Information'!$A$1:$A$1001, 'Customer Information'!$D$1:$D$1001)</f>
        <v>Yes</v>
      </c>
      <c r="H822" t="str">
        <f>INDEX('Additional Product Info.'!$A$1:$C$1001, MATCH('Product Positioning'!$A822, 'Additional Product Info.'!$A$1:$A$1001, 0), MATCH('Product Positioning'!H$1, 'Additional Product Info.'!$A$1:$C$1, 0))</f>
        <v>End-cap</v>
      </c>
      <c r="I822" t="str">
        <f>INDEX('Additional Product Info.'!$A$1:$C$1001, MATCH('Product Positioning'!$A822, 'Additional Product Info.'!$A$1:$A$1001, 0), MATCH('Product Positioning'!I$1, 'Additional Product Info.'!$A$1:$C$1, 0))</f>
        <v>Food</v>
      </c>
      <c r="J822" t="str">
        <f>_xlfn.XLOOKUP(A822, $A$1:$A$1001, 'Additional Product Info.'!$D$1:$D$1001)</f>
        <v>Yes</v>
      </c>
      <c r="K822" s="1">
        <f t="shared" si="24"/>
        <v>63106.559999999998</v>
      </c>
      <c r="L822" s="1">
        <f t="shared" si="25"/>
        <v>3.2899999999999991</v>
      </c>
      <c r="M822" t="str">
        <f>IF(L822&lt;=Statistics!$E$6,"Low Difference",IF('Product Positioning'!L822&gt;=Statistics!$E$4,"High Difference","Moderate Difference"))</f>
        <v>Moderate Difference</v>
      </c>
    </row>
    <row r="823" spans="1:13" x14ac:dyDescent="0.2">
      <c r="A823">
        <v>140868</v>
      </c>
      <c r="B823" s="1">
        <v>19.11</v>
      </c>
      <c r="C823" s="1">
        <v>16.399999999999999</v>
      </c>
      <c r="D823">
        <v>675</v>
      </c>
      <c r="E823" t="str">
        <f>_xlfn.XLOOKUP(A823, 'Customer Information'!$A$1:$A$1001, 'Customer Information'!$B$1:$B$1001)</f>
        <v>Low</v>
      </c>
      <c r="F823" t="str">
        <f>_xlfn.XLOOKUP(A823, 'Customer Information'!$A$1:$A$1001, 'Customer Information'!$C$1:$C$1001)</f>
        <v>Families</v>
      </c>
      <c r="G823" t="str">
        <f>_xlfn.XLOOKUP('Customer Information'!A823, 'Customer Information'!$A$1:$A$1001, 'Customer Information'!$D$1:$D$1001)</f>
        <v>No</v>
      </c>
      <c r="H823" t="str">
        <f>INDEX('Additional Product Info.'!$A$1:$C$1001, MATCH('Product Positioning'!$A823, 'Additional Product Info.'!$A$1:$A$1001, 0), MATCH('Product Positioning'!H$1, 'Additional Product Info.'!$A$1:$C$1, 0))</f>
        <v>Front of Store</v>
      </c>
      <c r="I823" t="str">
        <f>INDEX('Additional Product Info.'!$A$1:$C$1001, MATCH('Product Positioning'!$A823, 'Additional Product Info.'!$A$1:$A$1001, 0), MATCH('Product Positioning'!I$1, 'Additional Product Info.'!$A$1:$C$1, 0))</f>
        <v>Food</v>
      </c>
      <c r="J823" t="str">
        <f>_xlfn.XLOOKUP(A823, $A$1:$A$1001, 'Additional Product Info.'!$D$1:$D$1001)</f>
        <v>No</v>
      </c>
      <c r="K823" s="1">
        <f t="shared" si="24"/>
        <v>12899.25</v>
      </c>
      <c r="L823" s="1">
        <f t="shared" si="25"/>
        <v>2.7100000000000009</v>
      </c>
      <c r="M823" t="str">
        <f>IF(L823&lt;=Statistics!$E$6,"Low Difference",IF('Product Positioning'!L823&gt;=Statistics!$E$4,"High Difference","Moderate Difference"))</f>
        <v>Moderate Difference</v>
      </c>
    </row>
    <row r="824" spans="1:13" x14ac:dyDescent="0.2">
      <c r="A824">
        <v>146780</v>
      </c>
      <c r="B824" s="1">
        <v>49.36</v>
      </c>
      <c r="C824" s="1">
        <v>45.93</v>
      </c>
      <c r="D824">
        <v>2080</v>
      </c>
      <c r="E824" t="str">
        <f>_xlfn.XLOOKUP(A824, 'Customer Information'!$A$1:$A$1001, 'Customer Information'!$B$1:$B$1001)</f>
        <v>Low</v>
      </c>
      <c r="F824" t="str">
        <f>_xlfn.XLOOKUP(A824, 'Customer Information'!$A$1:$A$1001, 'Customer Information'!$C$1:$C$1001)</f>
        <v>College students</v>
      </c>
      <c r="G824" t="str">
        <f>_xlfn.XLOOKUP('Customer Information'!A824, 'Customer Information'!$A$1:$A$1001, 'Customer Information'!$D$1:$D$1001)</f>
        <v>No</v>
      </c>
      <c r="H824" t="str">
        <f>INDEX('Additional Product Info.'!$A$1:$C$1001, MATCH('Product Positioning'!$A824, 'Additional Product Info.'!$A$1:$A$1001, 0), MATCH('Product Positioning'!H$1, 'Additional Product Info.'!$A$1:$C$1, 0))</f>
        <v>End-cap</v>
      </c>
      <c r="I824" t="str">
        <f>INDEX('Additional Product Info.'!$A$1:$C$1001, MATCH('Product Positioning'!$A824, 'Additional Product Info.'!$A$1:$A$1001, 0), MATCH('Product Positioning'!I$1, 'Additional Product Info.'!$A$1:$C$1, 0))</f>
        <v>Electronics</v>
      </c>
      <c r="J824" t="str">
        <f>_xlfn.XLOOKUP(A824, $A$1:$A$1001, 'Additional Product Info.'!$D$1:$D$1001)</f>
        <v>No</v>
      </c>
      <c r="K824" s="1">
        <f t="shared" si="24"/>
        <v>102668.8</v>
      </c>
      <c r="L824" s="1">
        <f t="shared" si="25"/>
        <v>3.4299999999999997</v>
      </c>
      <c r="M824" t="str">
        <f>IF(L824&lt;=Statistics!$E$6,"Low Difference",IF('Product Positioning'!L824&gt;=Statistics!$E$4,"High Difference","Moderate Difference"))</f>
        <v>Moderate Difference</v>
      </c>
    </row>
    <row r="825" spans="1:13" x14ac:dyDescent="0.2">
      <c r="A825">
        <v>172105</v>
      </c>
      <c r="B825" s="1">
        <v>9.85</v>
      </c>
      <c r="C825" s="1">
        <v>8.59</v>
      </c>
      <c r="D825">
        <v>2299</v>
      </c>
      <c r="E825" t="str">
        <f>_xlfn.XLOOKUP(A825, 'Customer Information'!$A$1:$A$1001, 'Customer Information'!$B$1:$B$1001)</f>
        <v>High</v>
      </c>
      <c r="F825" t="str">
        <f>_xlfn.XLOOKUP(A825, 'Customer Information'!$A$1:$A$1001, 'Customer Information'!$C$1:$C$1001)</f>
        <v>Families</v>
      </c>
      <c r="G825" t="str">
        <f>_xlfn.XLOOKUP('Customer Information'!A825, 'Customer Information'!$A$1:$A$1001, 'Customer Information'!$D$1:$D$1001)</f>
        <v>Yes</v>
      </c>
      <c r="H825" t="str">
        <f>INDEX('Additional Product Info.'!$A$1:$C$1001, MATCH('Product Positioning'!$A825, 'Additional Product Info.'!$A$1:$A$1001, 0), MATCH('Product Positioning'!H$1, 'Additional Product Info.'!$A$1:$C$1, 0))</f>
        <v>Aisle</v>
      </c>
      <c r="I825" t="str">
        <f>INDEX('Additional Product Info.'!$A$1:$C$1001, MATCH('Product Positioning'!$A825, 'Additional Product Info.'!$A$1:$A$1001, 0), MATCH('Product Positioning'!I$1, 'Additional Product Info.'!$A$1:$C$1, 0))</f>
        <v>Electronics</v>
      </c>
      <c r="J825" t="str">
        <f>_xlfn.XLOOKUP(A825, $A$1:$A$1001, 'Additional Product Info.'!$D$1:$D$1001)</f>
        <v>No</v>
      </c>
      <c r="K825" s="1">
        <f t="shared" si="24"/>
        <v>22645.149999999998</v>
      </c>
      <c r="L825" s="1">
        <f t="shared" si="25"/>
        <v>1.2599999999999998</v>
      </c>
      <c r="M825" t="str">
        <f>IF(L825&lt;=Statistics!$E$6,"Low Difference",IF('Product Positioning'!L825&gt;=Statistics!$E$4,"High Difference","Moderate Difference"))</f>
        <v>Moderate Difference</v>
      </c>
    </row>
    <row r="826" spans="1:13" x14ac:dyDescent="0.2">
      <c r="A826">
        <v>111455</v>
      </c>
      <c r="B826" s="1">
        <v>27.05</v>
      </c>
      <c r="C826" s="1">
        <v>26.24</v>
      </c>
      <c r="D826">
        <v>2229</v>
      </c>
      <c r="E826" t="str">
        <f>_xlfn.XLOOKUP(A826, 'Customer Information'!$A$1:$A$1001, 'Customer Information'!$B$1:$B$1001)</f>
        <v>High</v>
      </c>
      <c r="F826" t="str">
        <f>_xlfn.XLOOKUP(A826, 'Customer Information'!$A$1:$A$1001, 'Customer Information'!$C$1:$C$1001)</f>
        <v>College students</v>
      </c>
      <c r="G826" t="str">
        <f>_xlfn.XLOOKUP('Customer Information'!A826, 'Customer Information'!$A$1:$A$1001, 'Customer Information'!$D$1:$D$1001)</f>
        <v>Yes</v>
      </c>
      <c r="H826" t="str">
        <f>INDEX('Additional Product Info.'!$A$1:$C$1001, MATCH('Product Positioning'!$A826, 'Additional Product Info.'!$A$1:$A$1001, 0), MATCH('Product Positioning'!H$1, 'Additional Product Info.'!$A$1:$C$1, 0))</f>
        <v>End-cap</v>
      </c>
      <c r="I826" t="str">
        <f>INDEX('Additional Product Info.'!$A$1:$C$1001, MATCH('Product Positioning'!$A826, 'Additional Product Info.'!$A$1:$A$1001, 0), MATCH('Product Positioning'!I$1, 'Additional Product Info.'!$A$1:$C$1, 0))</f>
        <v>Electronics</v>
      </c>
      <c r="J826" t="str">
        <f>_xlfn.XLOOKUP(A826, $A$1:$A$1001, 'Additional Product Info.'!$D$1:$D$1001)</f>
        <v>Yes</v>
      </c>
      <c r="K826" s="1">
        <f t="shared" si="24"/>
        <v>60294.450000000004</v>
      </c>
      <c r="L826" s="1">
        <f t="shared" si="25"/>
        <v>0.81000000000000227</v>
      </c>
      <c r="M826" t="str">
        <f>IF(L826&lt;=Statistics!$E$6,"Low Difference",IF('Product Positioning'!L826&gt;=Statistics!$E$4,"High Difference","Moderate Difference"))</f>
        <v>Low Difference</v>
      </c>
    </row>
    <row r="827" spans="1:13" x14ac:dyDescent="0.2">
      <c r="A827">
        <v>129927</v>
      </c>
      <c r="B827" s="1">
        <v>6.75</v>
      </c>
      <c r="C827" s="1">
        <v>4.72</v>
      </c>
      <c r="D827">
        <v>647</v>
      </c>
      <c r="E827" t="str">
        <f>_xlfn.XLOOKUP(A827, 'Customer Information'!$A$1:$A$1001, 'Customer Information'!$B$1:$B$1001)</f>
        <v>High</v>
      </c>
      <c r="F827" t="str">
        <f>_xlfn.XLOOKUP(A827, 'Customer Information'!$A$1:$A$1001, 'Customer Information'!$C$1:$C$1001)</f>
        <v>Seniors</v>
      </c>
      <c r="G827" t="str">
        <f>_xlfn.XLOOKUP('Customer Information'!A827, 'Customer Information'!$A$1:$A$1001, 'Customer Information'!$D$1:$D$1001)</f>
        <v>No</v>
      </c>
      <c r="H827" t="str">
        <f>INDEX('Additional Product Info.'!$A$1:$C$1001, MATCH('Product Positioning'!$A827, 'Additional Product Info.'!$A$1:$A$1001, 0), MATCH('Product Positioning'!H$1, 'Additional Product Info.'!$A$1:$C$1, 0))</f>
        <v>End-cap</v>
      </c>
      <c r="I827" t="str">
        <f>INDEX('Additional Product Info.'!$A$1:$C$1001, MATCH('Product Positioning'!$A827, 'Additional Product Info.'!$A$1:$A$1001, 0), MATCH('Product Positioning'!I$1, 'Additional Product Info.'!$A$1:$C$1, 0))</f>
        <v>Clothing</v>
      </c>
      <c r="J827" t="str">
        <f>_xlfn.XLOOKUP(A827, $A$1:$A$1001, 'Additional Product Info.'!$D$1:$D$1001)</f>
        <v>No</v>
      </c>
      <c r="K827" s="1">
        <f t="shared" si="24"/>
        <v>4367.25</v>
      </c>
      <c r="L827" s="1">
        <f t="shared" si="25"/>
        <v>2.0300000000000002</v>
      </c>
      <c r="M827" t="str">
        <f>IF(L827&lt;=Statistics!$E$6,"Low Difference",IF('Product Positioning'!L827&gt;=Statistics!$E$4,"High Difference","Moderate Difference"))</f>
        <v>Moderate Difference</v>
      </c>
    </row>
    <row r="828" spans="1:13" x14ac:dyDescent="0.2">
      <c r="A828">
        <v>139494</v>
      </c>
      <c r="B828" s="1">
        <v>32.22</v>
      </c>
      <c r="C828" s="1">
        <v>31.89</v>
      </c>
      <c r="D828">
        <v>1140</v>
      </c>
      <c r="E828" t="str">
        <f>_xlfn.XLOOKUP(A828, 'Customer Information'!$A$1:$A$1001, 'Customer Information'!$B$1:$B$1001)</f>
        <v>Medium</v>
      </c>
      <c r="F828" t="str">
        <f>_xlfn.XLOOKUP(A828, 'Customer Information'!$A$1:$A$1001, 'Customer Information'!$C$1:$C$1001)</f>
        <v>Families</v>
      </c>
      <c r="G828" t="str">
        <f>_xlfn.XLOOKUP('Customer Information'!A828, 'Customer Information'!$A$1:$A$1001, 'Customer Information'!$D$1:$D$1001)</f>
        <v>No</v>
      </c>
      <c r="H828" t="str">
        <f>INDEX('Additional Product Info.'!$A$1:$C$1001, MATCH('Product Positioning'!$A828, 'Additional Product Info.'!$A$1:$A$1001, 0), MATCH('Product Positioning'!H$1, 'Additional Product Info.'!$A$1:$C$1, 0))</f>
        <v>Front of Store</v>
      </c>
      <c r="I828" t="str">
        <f>INDEX('Additional Product Info.'!$A$1:$C$1001, MATCH('Product Positioning'!$A828, 'Additional Product Info.'!$A$1:$A$1001, 0), MATCH('Product Positioning'!I$1, 'Additional Product Info.'!$A$1:$C$1, 0))</f>
        <v>Food</v>
      </c>
      <c r="J828" t="str">
        <f>_xlfn.XLOOKUP(A828, $A$1:$A$1001, 'Additional Product Info.'!$D$1:$D$1001)</f>
        <v>Yes</v>
      </c>
      <c r="K828" s="1">
        <f t="shared" si="24"/>
        <v>36730.799999999996</v>
      </c>
      <c r="L828" s="1">
        <f t="shared" si="25"/>
        <v>0.32999999999999829</v>
      </c>
      <c r="M828" t="str">
        <f>IF(L828&lt;=Statistics!$E$6,"Low Difference",IF('Product Positioning'!L828&gt;=Statistics!$E$4,"High Difference","Moderate Difference"))</f>
        <v>Low Difference</v>
      </c>
    </row>
    <row r="829" spans="1:13" x14ac:dyDescent="0.2">
      <c r="A829">
        <v>163982</v>
      </c>
      <c r="B829" s="1">
        <v>20.9</v>
      </c>
      <c r="C829" s="1">
        <v>19.2</v>
      </c>
      <c r="D829">
        <v>779</v>
      </c>
      <c r="E829" t="str">
        <f>_xlfn.XLOOKUP(A829, 'Customer Information'!$A$1:$A$1001, 'Customer Information'!$B$1:$B$1001)</f>
        <v>Medium</v>
      </c>
      <c r="F829" t="str">
        <f>_xlfn.XLOOKUP(A829, 'Customer Information'!$A$1:$A$1001, 'Customer Information'!$C$1:$C$1001)</f>
        <v>Families</v>
      </c>
      <c r="G829" t="str">
        <f>_xlfn.XLOOKUP('Customer Information'!A829, 'Customer Information'!$A$1:$A$1001, 'Customer Information'!$D$1:$D$1001)</f>
        <v>No</v>
      </c>
      <c r="H829" t="str">
        <f>INDEX('Additional Product Info.'!$A$1:$C$1001, MATCH('Product Positioning'!$A829, 'Additional Product Info.'!$A$1:$A$1001, 0), MATCH('Product Positioning'!H$1, 'Additional Product Info.'!$A$1:$C$1, 0))</f>
        <v>Front of Store</v>
      </c>
      <c r="I829" t="str">
        <f>INDEX('Additional Product Info.'!$A$1:$C$1001, MATCH('Product Positioning'!$A829, 'Additional Product Info.'!$A$1:$A$1001, 0), MATCH('Product Positioning'!I$1, 'Additional Product Info.'!$A$1:$C$1, 0))</f>
        <v>Clothing</v>
      </c>
      <c r="J829" t="str">
        <f>_xlfn.XLOOKUP(A829, $A$1:$A$1001, 'Additional Product Info.'!$D$1:$D$1001)</f>
        <v>No</v>
      </c>
      <c r="K829" s="1">
        <f t="shared" si="24"/>
        <v>16281.099999999999</v>
      </c>
      <c r="L829" s="1">
        <f t="shared" si="25"/>
        <v>1.6999999999999993</v>
      </c>
      <c r="M829" t="str">
        <f>IF(L829&lt;=Statistics!$E$6,"Low Difference",IF('Product Positioning'!L829&gt;=Statistics!$E$4,"High Difference","Moderate Difference"))</f>
        <v>Moderate Difference</v>
      </c>
    </row>
    <row r="830" spans="1:13" x14ac:dyDescent="0.2">
      <c r="A830">
        <v>112511</v>
      </c>
      <c r="B830" s="1">
        <v>47.2</v>
      </c>
      <c r="C830" s="1">
        <v>44.69</v>
      </c>
      <c r="D830">
        <v>2587</v>
      </c>
      <c r="E830" t="str">
        <f>_xlfn.XLOOKUP(A830, 'Customer Information'!$A$1:$A$1001, 'Customer Information'!$B$1:$B$1001)</f>
        <v>Medium</v>
      </c>
      <c r="F830" t="str">
        <f>_xlfn.XLOOKUP(A830, 'Customer Information'!$A$1:$A$1001, 'Customer Information'!$C$1:$C$1001)</f>
        <v>Young adults</v>
      </c>
      <c r="G830" t="str">
        <f>_xlfn.XLOOKUP('Customer Information'!A830, 'Customer Information'!$A$1:$A$1001, 'Customer Information'!$D$1:$D$1001)</f>
        <v>Yes</v>
      </c>
      <c r="H830" t="str">
        <f>INDEX('Additional Product Info.'!$A$1:$C$1001, MATCH('Product Positioning'!$A830, 'Additional Product Info.'!$A$1:$A$1001, 0), MATCH('Product Positioning'!H$1, 'Additional Product Info.'!$A$1:$C$1, 0))</f>
        <v>End-cap</v>
      </c>
      <c r="I830" t="str">
        <f>INDEX('Additional Product Info.'!$A$1:$C$1001, MATCH('Product Positioning'!$A830, 'Additional Product Info.'!$A$1:$A$1001, 0), MATCH('Product Positioning'!I$1, 'Additional Product Info.'!$A$1:$C$1, 0))</f>
        <v>Clothing</v>
      </c>
      <c r="J830" t="str">
        <f>_xlfn.XLOOKUP(A830, $A$1:$A$1001, 'Additional Product Info.'!$D$1:$D$1001)</f>
        <v>Yes</v>
      </c>
      <c r="K830" s="1">
        <f t="shared" si="24"/>
        <v>122106.40000000001</v>
      </c>
      <c r="L830" s="1">
        <f t="shared" si="25"/>
        <v>2.5100000000000051</v>
      </c>
      <c r="M830" t="str">
        <f>IF(L830&lt;=Statistics!$E$6,"Low Difference",IF('Product Positioning'!L830&gt;=Statistics!$E$4,"High Difference","Moderate Difference"))</f>
        <v>Moderate Difference</v>
      </c>
    </row>
    <row r="831" spans="1:13" x14ac:dyDescent="0.2">
      <c r="A831">
        <v>146982</v>
      </c>
      <c r="B831" s="1">
        <v>29.92</v>
      </c>
      <c r="C831" s="1">
        <v>29.86</v>
      </c>
      <c r="D831">
        <v>972</v>
      </c>
      <c r="E831" t="str">
        <f>_xlfn.XLOOKUP(A831, 'Customer Information'!$A$1:$A$1001, 'Customer Information'!$B$1:$B$1001)</f>
        <v>Medium</v>
      </c>
      <c r="F831" t="str">
        <f>_xlfn.XLOOKUP(A831, 'Customer Information'!$A$1:$A$1001, 'Customer Information'!$C$1:$C$1001)</f>
        <v>Young adults</v>
      </c>
      <c r="G831" t="str">
        <f>_xlfn.XLOOKUP('Customer Information'!A831, 'Customer Information'!$A$1:$A$1001, 'Customer Information'!$D$1:$D$1001)</f>
        <v>Yes</v>
      </c>
      <c r="H831" t="str">
        <f>INDEX('Additional Product Info.'!$A$1:$C$1001, MATCH('Product Positioning'!$A831, 'Additional Product Info.'!$A$1:$A$1001, 0), MATCH('Product Positioning'!H$1, 'Additional Product Info.'!$A$1:$C$1, 0))</f>
        <v>End-cap</v>
      </c>
      <c r="I831" t="str">
        <f>INDEX('Additional Product Info.'!$A$1:$C$1001, MATCH('Product Positioning'!$A831, 'Additional Product Info.'!$A$1:$A$1001, 0), MATCH('Product Positioning'!I$1, 'Additional Product Info.'!$A$1:$C$1, 0))</f>
        <v>Clothing</v>
      </c>
      <c r="J831" t="str">
        <f>_xlfn.XLOOKUP(A831, $A$1:$A$1001, 'Additional Product Info.'!$D$1:$D$1001)</f>
        <v>Yes</v>
      </c>
      <c r="K831" s="1">
        <f t="shared" si="24"/>
        <v>29082.240000000002</v>
      </c>
      <c r="L831" s="1">
        <f t="shared" si="25"/>
        <v>6.0000000000002274E-2</v>
      </c>
      <c r="M831" t="str">
        <f>IF(L831&lt;=Statistics!$E$6,"Low Difference",IF('Product Positioning'!L831&gt;=Statistics!$E$4,"High Difference","Moderate Difference"))</f>
        <v>Low Difference</v>
      </c>
    </row>
    <row r="832" spans="1:13" x14ac:dyDescent="0.2">
      <c r="A832">
        <v>171517</v>
      </c>
      <c r="B832" s="1">
        <v>18.7</v>
      </c>
      <c r="C832" s="1">
        <v>16.64</v>
      </c>
      <c r="D832">
        <v>1069</v>
      </c>
      <c r="E832" t="str">
        <f>_xlfn.XLOOKUP(A832, 'Customer Information'!$A$1:$A$1001, 'Customer Information'!$B$1:$B$1001)</f>
        <v>Medium</v>
      </c>
      <c r="F832" t="str">
        <f>_xlfn.XLOOKUP(A832, 'Customer Information'!$A$1:$A$1001, 'Customer Information'!$C$1:$C$1001)</f>
        <v>Young adults</v>
      </c>
      <c r="G832" t="str">
        <f>_xlfn.XLOOKUP('Customer Information'!A832, 'Customer Information'!$A$1:$A$1001, 'Customer Information'!$D$1:$D$1001)</f>
        <v>Yes</v>
      </c>
      <c r="H832" t="str">
        <f>INDEX('Additional Product Info.'!$A$1:$C$1001, MATCH('Product Positioning'!$A832, 'Additional Product Info.'!$A$1:$A$1001, 0), MATCH('Product Positioning'!H$1, 'Additional Product Info.'!$A$1:$C$1, 0))</f>
        <v>Front of Store</v>
      </c>
      <c r="I832" t="str">
        <f>INDEX('Additional Product Info.'!$A$1:$C$1001, MATCH('Product Positioning'!$A832, 'Additional Product Info.'!$A$1:$A$1001, 0), MATCH('Product Positioning'!I$1, 'Additional Product Info.'!$A$1:$C$1, 0))</f>
        <v>Food</v>
      </c>
      <c r="J832" t="str">
        <f>_xlfn.XLOOKUP(A832, $A$1:$A$1001, 'Additional Product Info.'!$D$1:$D$1001)</f>
        <v>No</v>
      </c>
      <c r="K832" s="1">
        <f t="shared" si="24"/>
        <v>19990.3</v>
      </c>
      <c r="L832" s="1">
        <f t="shared" si="25"/>
        <v>2.0599999999999987</v>
      </c>
      <c r="M832" t="str">
        <f>IF(L832&lt;=Statistics!$E$6,"Low Difference",IF('Product Positioning'!L832&gt;=Statistics!$E$4,"High Difference","Moderate Difference"))</f>
        <v>Moderate Difference</v>
      </c>
    </row>
    <row r="833" spans="1:13" x14ac:dyDescent="0.2">
      <c r="A833">
        <v>181233</v>
      </c>
      <c r="B833" s="1">
        <v>20.7</v>
      </c>
      <c r="C833" s="1">
        <v>19.350000000000001</v>
      </c>
      <c r="D833">
        <v>2632</v>
      </c>
      <c r="E833" t="str">
        <f>_xlfn.XLOOKUP(A833, 'Customer Information'!$A$1:$A$1001, 'Customer Information'!$B$1:$B$1001)</f>
        <v>High</v>
      </c>
      <c r="F833" t="str">
        <f>_xlfn.XLOOKUP(A833, 'Customer Information'!$A$1:$A$1001, 'Customer Information'!$C$1:$C$1001)</f>
        <v>Seniors</v>
      </c>
      <c r="G833" t="str">
        <f>_xlfn.XLOOKUP('Customer Information'!A833, 'Customer Information'!$A$1:$A$1001, 'Customer Information'!$D$1:$D$1001)</f>
        <v>No</v>
      </c>
      <c r="H833" t="str">
        <f>INDEX('Additional Product Info.'!$A$1:$C$1001, MATCH('Product Positioning'!$A833, 'Additional Product Info.'!$A$1:$A$1001, 0), MATCH('Product Positioning'!H$1, 'Additional Product Info.'!$A$1:$C$1, 0))</f>
        <v>Front of Store</v>
      </c>
      <c r="I833" t="str">
        <f>INDEX('Additional Product Info.'!$A$1:$C$1001, MATCH('Product Positioning'!$A833, 'Additional Product Info.'!$A$1:$A$1001, 0), MATCH('Product Positioning'!I$1, 'Additional Product Info.'!$A$1:$C$1, 0))</f>
        <v>Clothing</v>
      </c>
      <c r="J833" t="str">
        <f>_xlfn.XLOOKUP(A833, $A$1:$A$1001, 'Additional Product Info.'!$D$1:$D$1001)</f>
        <v>No</v>
      </c>
      <c r="K833" s="1">
        <f t="shared" si="24"/>
        <v>54482.400000000001</v>
      </c>
      <c r="L833" s="1">
        <f t="shared" si="25"/>
        <v>1.3499999999999979</v>
      </c>
      <c r="M833" t="str">
        <f>IF(L833&lt;=Statistics!$E$6,"Low Difference",IF('Product Positioning'!L833&gt;=Statistics!$E$4,"High Difference","Moderate Difference"))</f>
        <v>Moderate Difference</v>
      </c>
    </row>
    <row r="834" spans="1:13" x14ac:dyDescent="0.2">
      <c r="A834">
        <v>147559</v>
      </c>
      <c r="B834" s="1">
        <v>16.97</v>
      </c>
      <c r="C834" s="1">
        <v>16.54</v>
      </c>
      <c r="D834">
        <v>2628</v>
      </c>
      <c r="E834" t="str">
        <f>_xlfn.XLOOKUP(A834, 'Customer Information'!$A$1:$A$1001, 'Customer Information'!$B$1:$B$1001)</f>
        <v>High</v>
      </c>
      <c r="F834" t="str">
        <f>_xlfn.XLOOKUP(A834, 'Customer Information'!$A$1:$A$1001, 'Customer Information'!$C$1:$C$1001)</f>
        <v>College students</v>
      </c>
      <c r="G834" t="str">
        <f>_xlfn.XLOOKUP('Customer Information'!A834, 'Customer Information'!$A$1:$A$1001, 'Customer Information'!$D$1:$D$1001)</f>
        <v>No</v>
      </c>
      <c r="H834" t="str">
        <f>INDEX('Additional Product Info.'!$A$1:$C$1001, MATCH('Product Positioning'!$A834, 'Additional Product Info.'!$A$1:$A$1001, 0), MATCH('Product Positioning'!H$1, 'Additional Product Info.'!$A$1:$C$1, 0))</f>
        <v>Aisle</v>
      </c>
      <c r="I834" t="str">
        <f>INDEX('Additional Product Info.'!$A$1:$C$1001, MATCH('Product Positioning'!$A834, 'Additional Product Info.'!$A$1:$A$1001, 0), MATCH('Product Positioning'!I$1, 'Additional Product Info.'!$A$1:$C$1, 0))</f>
        <v>Clothing</v>
      </c>
      <c r="J834" t="str">
        <f>_xlfn.XLOOKUP(A834, $A$1:$A$1001, 'Additional Product Info.'!$D$1:$D$1001)</f>
        <v>No</v>
      </c>
      <c r="K834" s="1">
        <f t="shared" ref="K834:K897" si="26">B834*D834</f>
        <v>44597.159999999996</v>
      </c>
      <c r="L834" s="1">
        <f t="shared" ref="L834:L897" si="27">ABS(B834-C834)</f>
        <v>0.42999999999999972</v>
      </c>
      <c r="M834" t="str">
        <f>IF(L834&lt;=Statistics!$E$6,"Low Difference",IF('Product Positioning'!L834&gt;=Statistics!$E$4,"High Difference","Moderate Difference"))</f>
        <v>Low Difference</v>
      </c>
    </row>
    <row r="835" spans="1:13" x14ac:dyDescent="0.2">
      <c r="A835">
        <v>158151</v>
      </c>
      <c r="B835" s="1">
        <v>36.75</v>
      </c>
      <c r="C835" s="1">
        <v>34.840000000000003</v>
      </c>
      <c r="D835">
        <v>626</v>
      </c>
      <c r="E835" t="str">
        <f>_xlfn.XLOOKUP(A835, 'Customer Information'!$A$1:$A$1001, 'Customer Information'!$B$1:$B$1001)</f>
        <v>Low</v>
      </c>
      <c r="F835" t="str">
        <f>_xlfn.XLOOKUP(A835, 'Customer Information'!$A$1:$A$1001, 'Customer Information'!$C$1:$C$1001)</f>
        <v>Young adults</v>
      </c>
      <c r="G835" t="str">
        <f>_xlfn.XLOOKUP('Customer Information'!A835, 'Customer Information'!$A$1:$A$1001, 'Customer Information'!$D$1:$D$1001)</f>
        <v>No</v>
      </c>
      <c r="H835" t="str">
        <f>INDEX('Additional Product Info.'!$A$1:$C$1001, MATCH('Product Positioning'!$A835, 'Additional Product Info.'!$A$1:$A$1001, 0), MATCH('Product Positioning'!H$1, 'Additional Product Info.'!$A$1:$C$1, 0))</f>
        <v>Aisle</v>
      </c>
      <c r="I835" t="str">
        <f>INDEX('Additional Product Info.'!$A$1:$C$1001, MATCH('Product Positioning'!$A835, 'Additional Product Info.'!$A$1:$A$1001, 0), MATCH('Product Positioning'!I$1, 'Additional Product Info.'!$A$1:$C$1, 0))</f>
        <v>Food</v>
      </c>
      <c r="J835" t="str">
        <f>_xlfn.XLOOKUP(A835, $A$1:$A$1001, 'Additional Product Info.'!$D$1:$D$1001)</f>
        <v>No</v>
      </c>
      <c r="K835" s="1">
        <f t="shared" si="26"/>
        <v>23005.5</v>
      </c>
      <c r="L835" s="1">
        <f t="shared" si="27"/>
        <v>1.9099999999999966</v>
      </c>
      <c r="M835" t="str">
        <f>IF(L835&lt;=Statistics!$E$6,"Low Difference",IF('Product Positioning'!L835&gt;=Statistics!$E$4,"High Difference","Moderate Difference"))</f>
        <v>Moderate Difference</v>
      </c>
    </row>
    <row r="836" spans="1:13" x14ac:dyDescent="0.2">
      <c r="A836">
        <v>199194</v>
      </c>
      <c r="B836" s="1">
        <v>8.58</v>
      </c>
      <c r="C836" s="1">
        <v>4.6500000000000004</v>
      </c>
      <c r="D836">
        <v>2315</v>
      </c>
      <c r="E836" t="str">
        <f>_xlfn.XLOOKUP(A836, 'Customer Information'!$A$1:$A$1001, 'Customer Information'!$B$1:$B$1001)</f>
        <v>High</v>
      </c>
      <c r="F836" t="str">
        <f>_xlfn.XLOOKUP(A836, 'Customer Information'!$A$1:$A$1001, 'Customer Information'!$C$1:$C$1001)</f>
        <v>Seniors</v>
      </c>
      <c r="G836" t="str">
        <f>_xlfn.XLOOKUP('Customer Information'!A836, 'Customer Information'!$A$1:$A$1001, 'Customer Information'!$D$1:$D$1001)</f>
        <v>Yes</v>
      </c>
      <c r="H836" t="str">
        <f>INDEX('Additional Product Info.'!$A$1:$C$1001, MATCH('Product Positioning'!$A836, 'Additional Product Info.'!$A$1:$A$1001, 0), MATCH('Product Positioning'!H$1, 'Additional Product Info.'!$A$1:$C$1, 0))</f>
        <v>Front of Store</v>
      </c>
      <c r="I836" t="str">
        <f>INDEX('Additional Product Info.'!$A$1:$C$1001, MATCH('Product Positioning'!$A836, 'Additional Product Info.'!$A$1:$A$1001, 0), MATCH('Product Positioning'!I$1, 'Additional Product Info.'!$A$1:$C$1, 0))</f>
        <v>Food</v>
      </c>
      <c r="J836" t="str">
        <f>_xlfn.XLOOKUP(A836, $A$1:$A$1001, 'Additional Product Info.'!$D$1:$D$1001)</f>
        <v>No</v>
      </c>
      <c r="K836" s="1">
        <f t="shared" si="26"/>
        <v>19862.7</v>
      </c>
      <c r="L836" s="1">
        <f t="shared" si="27"/>
        <v>3.9299999999999997</v>
      </c>
      <c r="M836" t="str">
        <f>IF(L836&lt;=Statistics!$E$6,"Low Difference",IF('Product Positioning'!L836&gt;=Statistics!$E$4,"High Difference","Moderate Difference"))</f>
        <v>High Difference</v>
      </c>
    </row>
    <row r="837" spans="1:13" x14ac:dyDescent="0.2">
      <c r="A837">
        <v>187447</v>
      </c>
      <c r="B837" s="1">
        <v>30.46</v>
      </c>
      <c r="C837" s="1">
        <v>26.95</v>
      </c>
      <c r="D837">
        <v>1253</v>
      </c>
      <c r="E837" t="str">
        <f>_xlfn.XLOOKUP(A837, 'Customer Information'!$A$1:$A$1001, 'Customer Information'!$B$1:$B$1001)</f>
        <v>High</v>
      </c>
      <c r="F837" t="str">
        <f>_xlfn.XLOOKUP(A837, 'Customer Information'!$A$1:$A$1001, 'Customer Information'!$C$1:$C$1001)</f>
        <v>College students</v>
      </c>
      <c r="G837" t="str">
        <f>_xlfn.XLOOKUP('Customer Information'!A837, 'Customer Information'!$A$1:$A$1001, 'Customer Information'!$D$1:$D$1001)</f>
        <v>Yes</v>
      </c>
      <c r="H837" t="str">
        <f>INDEX('Additional Product Info.'!$A$1:$C$1001, MATCH('Product Positioning'!$A837, 'Additional Product Info.'!$A$1:$A$1001, 0), MATCH('Product Positioning'!H$1, 'Additional Product Info.'!$A$1:$C$1, 0))</f>
        <v>Front of Store</v>
      </c>
      <c r="I837" t="str">
        <f>INDEX('Additional Product Info.'!$A$1:$C$1001, MATCH('Product Positioning'!$A837, 'Additional Product Info.'!$A$1:$A$1001, 0), MATCH('Product Positioning'!I$1, 'Additional Product Info.'!$A$1:$C$1, 0))</f>
        <v>Food</v>
      </c>
      <c r="J837" t="str">
        <f>_xlfn.XLOOKUP(A837, $A$1:$A$1001, 'Additional Product Info.'!$D$1:$D$1001)</f>
        <v>Yes</v>
      </c>
      <c r="K837" s="1">
        <f t="shared" si="26"/>
        <v>38166.380000000005</v>
      </c>
      <c r="L837" s="1">
        <f t="shared" si="27"/>
        <v>3.5100000000000016</v>
      </c>
      <c r="M837" t="str">
        <f>IF(L837&lt;=Statistics!$E$6,"Low Difference",IF('Product Positioning'!L837&gt;=Statistics!$E$4,"High Difference","Moderate Difference"))</f>
        <v>Moderate Difference</v>
      </c>
    </row>
    <row r="838" spans="1:13" x14ac:dyDescent="0.2">
      <c r="A838">
        <v>175725</v>
      </c>
      <c r="B838" s="1">
        <v>39.97</v>
      </c>
      <c r="C838" s="1">
        <v>39.71</v>
      </c>
      <c r="D838">
        <v>1083</v>
      </c>
      <c r="E838" t="str">
        <f>_xlfn.XLOOKUP(A838, 'Customer Information'!$A$1:$A$1001, 'Customer Information'!$B$1:$B$1001)</f>
        <v>Low</v>
      </c>
      <c r="F838" t="str">
        <f>_xlfn.XLOOKUP(A838, 'Customer Information'!$A$1:$A$1001, 'Customer Information'!$C$1:$C$1001)</f>
        <v>Young adults</v>
      </c>
      <c r="G838" t="str">
        <f>_xlfn.XLOOKUP('Customer Information'!A838, 'Customer Information'!$A$1:$A$1001, 'Customer Information'!$D$1:$D$1001)</f>
        <v>Yes</v>
      </c>
      <c r="H838" t="str">
        <f>INDEX('Additional Product Info.'!$A$1:$C$1001, MATCH('Product Positioning'!$A838, 'Additional Product Info.'!$A$1:$A$1001, 0), MATCH('Product Positioning'!H$1, 'Additional Product Info.'!$A$1:$C$1, 0))</f>
        <v>End-cap</v>
      </c>
      <c r="I838" t="str">
        <f>INDEX('Additional Product Info.'!$A$1:$C$1001, MATCH('Product Positioning'!$A838, 'Additional Product Info.'!$A$1:$A$1001, 0), MATCH('Product Positioning'!I$1, 'Additional Product Info.'!$A$1:$C$1, 0))</f>
        <v>Electronics</v>
      </c>
      <c r="J838" t="str">
        <f>_xlfn.XLOOKUP(A838, $A$1:$A$1001, 'Additional Product Info.'!$D$1:$D$1001)</f>
        <v>Yes</v>
      </c>
      <c r="K838" s="1">
        <f t="shared" si="26"/>
        <v>43287.51</v>
      </c>
      <c r="L838" s="1">
        <f t="shared" si="27"/>
        <v>0.25999999999999801</v>
      </c>
      <c r="M838" t="str">
        <f>IF(L838&lt;=Statistics!$E$6,"Low Difference",IF('Product Positioning'!L838&gt;=Statistics!$E$4,"High Difference","Moderate Difference"))</f>
        <v>Low Difference</v>
      </c>
    </row>
    <row r="839" spans="1:13" x14ac:dyDescent="0.2">
      <c r="A839">
        <v>131107</v>
      </c>
      <c r="B839" s="1">
        <v>31.79</v>
      </c>
      <c r="C839" s="1">
        <v>26.83</v>
      </c>
      <c r="D839">
        <v>1089</v>
      </c>
      <c r="E839" t="str">
        <f>_xlfn.XLOOKUP(A839, 'Customer Information'!$A$1:$A$1001, 'Customer Information'!$B$1:$B$1001)</f>
        <v>Low</v>
      </c>
      <c r="F839" t="str">
        <f>_xlfn.XLOOKUP(A839, 'Customer Information'!$A$1:$A$1001, 'Customer Information'!$C$1:$C$1001)</f>
        <v>Young adults</v>
      </c>
      <c r="G839" t="str">
        <f>_xlfn.XLOOKUP('Customer Information'!A839, 'Customer Information'!$A$1:$A$1001, 'Customer Information'!$D$1:$D$1001)</f>
        <v>No</v>
      </c>
      <c r="H839" t="str">
        <f>INDEX('Additional Product Info.'!$A$1:$C$1001, MATCH('Product Positioning'!$A839, 'Additional Product Info.'!$A$1:$A$1001, 0), MATCH('Product Positioning'!H$1, 'Additional Product Info.'!$A$1:$C$1, 0))</f>
        <v>Aisle</v>
      </c>
      <c r="I839" t="str">
        <f>INDEX('Additional Product Info.'!$A$1:$C$1001, MATCH('Product Positioning'!$A839, 'Additional Product Info.'!$A$1:$A$1001, 0), MATCH('Product Positioning'!I$1, 'Additional Product Info.'!$A$1:$C$1, 0))</f>
        <v>Clothing</v>
      </c>
      <c r="J839" t="str">
        <f>_xlfn.XLOOKUP(A839, $A$1:$A$1001, 'Additional Product Info.'!$D$1:$D$1001)</f>
        <v>Yes</v>
      </c>
      <c r="K839" s="1">
        <f t="shared" si="26"/>
        <v>34619.31</v>
      </c>
      <c r="L839" s="1">
        <f t="shared" si="27"/>
        <v>4.9600000000000009</v>
      </c>
      <c r="M839" t="str">
        <f>IF(L839&lt;=Statistics!$E$6,"Low Difference",IF('Product Positioning'!L839&gt;=Statistics!$E$4,"High Difference","Moderate Difference"))</f>
        <v>High Difference</v>
      </c>
    </row>
    <row r="840" spans="1:13" x14ac:dyDescent="0.2">
      <c r="A840">
        <v>186541</v>
      </c>
      <c r="B840" s="1">
        <v>40.590000000000003</v>
      </c>
      <c r="C840" s="1">
        <v>35.65</v>
      </c>
      <c r="D840">
        <v>2969</v>
      </c>
      <c r="E840" t="str">
        <f>_xlfn.XLOOKUP(A840, 'Customer Information'!$A$1:$A$1001, 'Customer Information'!$B$1:$B$1001)</f>
        <v>High</v>
      </c>
      <c r="F840" t="str">
        <f>_xlfn.XLOOKUP(A840, 'Customer Information'!$A$1:$A$1001, 'Customer Information'!$C$1:$C$1001)</f>
        <v>Young adults</v>
      </c>
      <c r="G840" t="str">
        <f>_xlfn.XLOOKUP('Customer Information'!A840, 'Customer Information'!$A$1:$A$1001, 'Customer Information'!$D$1:$D$1001)</f>
        <v>Yes</v>
      </c>
      <c r="H840" t="str">
        <f>INDEX('Additional Product Info.'!$A$1:$C$1001, MATCH('Product Positioning'!$A840, 'Additional Product Info.'!$A$1:$A$1001, 0), MATCH('Product Positioning'!H$1, 'Additional Product Info.'!$A$1:$C$1, 0))</f>
        <v>Aisle</v>
      </c>
      <c r="I840" t="str">
        <f>INDEX('Additional Product Info.'!$A$1:$C$1001, MATCH('Product Positioning'!$A840, 'Additional Product Info.'!$A$1:$A$1001, 0), MATCH('Product Positioning'!I$1, 'Additional Product Info.'!$A$1:$C$1, 0))</f>
        <v>Clothing</v>
      </c>
      <c r="J840" t="str">
        <f>_xlfn.XLOOKUP(A840, $A$1:$A$1001, 'Additional Product Info.'!$D$1:$D$1001)</f>
        <v>No</v>
      </c>
      <c r="K840" s="1">
        <f t="shared" si="26"/>
        <v>120511.71</v>
      </c>
      <c r="L840" s="1">
        <f t="shared" si="27"/>
        <v>4.9400000000000048</v>
      </c>
      <c r="M840" t="str">
        <f>IF(L840&lt;=Statistics!$E$6,"Low Difference",IF('Product Positioning'!L840&gt;=Statistics!$E$4,"High Difference","Moderate Difference"))</f>
        <v>High Difference</v>
      </c>
    </row>
    <row r="841" spans="1:13" x14ac:dyDescent="0.2">
      <c r="A841">
        <v>192046</v>
      </c>
      <c r="B841" s="1">
        <v>20.239999999999998</v>
      </c>
      <c r="C841" s="1">
        <v>20.18</v>
      </c>
      <c r="D841">
        <v>1387</v>
      </c>
      <c r="E841" t="str">
        <f>_xlfn.XLOOKUP(A841, 'Customer Information'!$A$1:$A$1001, 'Customer Information'!$B$1:$B$1001)</f>
        <v>Medium</v>
      </c>
      <c r="F841" t="str">
        <f>_xlfn.XLOOKUP(A841, 'Customer Information'!$A$1:$A$1001, 'Customer Information'!$C$1:$C$1001)</f>
        <v>Families</v>
      </c>
      <c r="G841" t="str">
        <f>_xlfn.XLOOKUP('Customer Information'!A841, 'Customer Information'!$A$1:$A$1001, 'Customer Information'!$D$1:$D$1001)</f>
        <v>Yes</v>
      </c>
      <c r="H841" t="str">
        <f>INDEX('Additional Product Info.'!$A$1:$C$1001, MATCH('Product Positioning'!$A841, 'Additional Product Info.'!$A$1:$A$1001, 0), MATCH('Product Positioning'!H$1, 'Additional Product Info.'!$A$1:$C$1, 0))</f>
        <v>Front of Store</v>
      </c>
      <c r="I841" t="str">
        <f>INDEX('Additional Product Info.'!$A$1:$C$1001, MATCH('Product Positioning'!$A841, 'Additional Product Info.'!$A$1:$A$1001, 0), MATCH('Product Positioning'!I$1, 'Additional Product Info.'!$A$1:$C$1, 0))</f>
        <v>Food</v>
      </c>
      <c r="J841" t="str">
        <f>_xlfn.XLOOKUP(A841, $A$1:$A$1001, 'Additional Product Info.'!$D$1:$D$1001)</f>
        <v>No</v>
      </c>
      <c r="K841" s="1">
        <f t="shared" si="26"/>
        <v>28072.879999999997</v>
      </c>
      <c r="L841" s="1">
        <f t="shared" si="27"/>
        <v>5.9999999999998721E-2</v>
      </c>
      <c r="M841" t="str">
        <f>IF(L841&lt;=Statistics!$E$6,"Low Difference",IF('Product Positioning'!L841&gt;=Statistics!$E$4,"High Difference","Moderate Difference"))</f>
        <v>Low Difference</v>
      </c>
    </row>
    <row r="842" spans="1:13" x14ac:dyDescent="0.2">
      <c r="A842">
        <v>147306</v>
      </c>
      <c r="B842" s="1">
        <v>18.5</v>
      </c>
      <c r="C842" s="1">
        <v>15.38</v>
      </c>
      <c r="D842">
        <v>1828</v>
      </c>
      <c r="E842" t="str">
        <f>_xlfn.XLOOKUP(A842, 'Customer Information'!$A$1:$A$1001, 'Customer Information'!$B$1:$B$1001)</f>
        <v>Low</v>
      </c>
      <c r="F842" t="str">
        <f>_xlfn.XLOOKUP(A842, 'Customer Information'!$A$1:$A$1001, 'Customer Information'!$C$1:$C$1001)</f>
        <v>College students</v>
      </c>
      <c r="G842" t="str">
        <f>_xlfn.XLOOKUP('Customer Information'!A842, 'Customer Information'!$A$1:$A$1001, 'Customer Information'!$D$1:$D$1001)</f>
        <v>No</v>
      </c>
      <c r="H842" t="str">
        <f>INDEX('Additional Product Info.'!$A$1:$C$1001, MATCH('Product Positioning'!$A842, 'Additional Product Info.'!$A$1:$A$1001, 0), MATCH('Product Positioning'!H$1, 'Additional Product Info.'!$A$1:$C$1, 0))</f>
        <v>Aisle</v>
      </c>
      <c r="I842" t="str">
        <f>INDEX('Additional Product Info.'!$A$1:$C$1001, MATCH('Product Positioning'!$A842, 'Additional Product Info.'!$A$1:$A$1001, 0), MATCH('Product Positioning'!I$1, 'Additional Product Info.'!$A$1:$C$1, 0))</f>
        <v>Clothing</v>
      </c>
      <c r="J842" t="str">
        <f>_xlfn.XLOOKUP(A842, $A$1:$A$1001, 'Additional Product Info.'!$D$1:$D$1001)</f>
        <v>Yes</v>
      </c>
      <c r="K842" s="1">
        <f t="shared" si="26"/>
        <v>33818</v>
      </c>
      <c r="L842" s="1">
        <f t="shared" si="27"/>
        <v>3.1199999999999992</v>
      </c>
      <c r="M842" t="str">
        <f>IF(L842&lt;=Statistics!$E$6,"Low Difference",IF('Product Positioning'!L842&gt;=Statistics!$E$4,"High Difference","Moderate Difference"))</f>
        <v>Moderate Difference</v>
      </c>
    </row>
    <row r="843" spans="1:13" x14ac:dyDescent="0.2">
      <c r="A843">
        <v>145684</v>
      </c>
      <c r="B843" s="1">
        <v>46.36</v>
      </c>
      <c r="C843" s="1">
        <v>42.96</v>
      </c>
      <c r="D843">
        <v>2267</v>
      </c>
      <c r="E843" t="str">
        <f>_xlfn.XLOOKUP(A843, 'Customer Information'!$A$1:$A$1001, 'Customer Information'!$B$1:$B$1001)</f>
        <v>Low</v>
      </c>
      <c r="F843" t="str">
        <f>_xlfn.XLOOKUP(A843, 'Customer Information'!$A$1:$A$1001, 'Customer Information'!$C$1:$C$1001)</f>
        <v>College students</v>
      </c>
      <c r="G843" t="str">
        <f>_xlfn.XLOOKUP('Customer Information'!A843, 'Customer Information'!$A$1:$A$1001, 'Customer Information'!$D$1:$D$1001)</f>
        <v>Yes</v>
      </c>
      <c r="H843" t="str">
        <f>INDEX('Additional Product Info.'!$A$1:$C$1001, MATCH('Product Positioning'!$A843, 'Additional Product Info.'!$A$1:$A$1001, 0), MATCH('Product Positioning'!H$1, 'Additional Product Info.'!$A$1:$C$1, 0))</f>
        <v>Front of Store</v>
      </c>
      <c r="I843" t="str">
        <f>INDEX('Additional Product Info.'!$A$1:$C$1001, MATCH('Product Positioning'!$A843, 'Additional Product Info.'!$A$1:$A$1001, 0), MATCH('Product Positioning'!I$1, 'Additional Product Info.'!$A$1:$C$1, 0))</f>
        <v>Electronics</v>
      </c>
      <c r="J843" t="str">
        <f>_xlfn.XLOOKUP(A843, $A$1:$A$1001, 'Additional Product Info.'!$D$1:$D$1001)</f>
        <v>No</v>
      </c>
      <c r="K843" s="1">
        <f t="shared" si="26"/>
        <v>105098.12</v>
      </c>
      <c r="L843" s="1">
        <f t="shared" si="27"/>
        <v>3.3999999999999986</v>
      </c>
      <c r="M843" t="str">
        <f>IF(L843&lt;=Statistics!$E$6,"Low Difference",IF('Product Positioning'!L843&gt;=Statistics!$E$4,"High Difference","Moderate Difference"))</f>
        <v>Moderate Difference</v>
      </c>
    </row>
    <row r="844" spans="1:13" x14ac:dyDescent="0.2">
      <c r="A844">
        <v>118867</v>
      </c>
      <c r="B844" s="1">
        <v>11.15</v>
      </c>
      <c r="C844" s="1">
        <v>8.08</v>
      </c>
      <c r="D844">
        <v>2292</v>
      </c>
      <c r="E844" t="str">
        <f>_xlfn.XLOOKUP(A844, 'Customer Information'!$A$1:$A$1001, 'Customer Information'!$B$1:$B$1001)</f>
        <v>Medium</v>
      </c>
      <c r="F844" t="str">
        <f>_xlfn.XLOOKUP(A844, 'Customer Information'!$A$1:$A$1001, 'Customer Information'!$C$1:$C$1001)</f>
        <v>Families</v>
      </c>
      <c r="G844" t="str">
        <f>_xlfn.XLOOKUP('Customer Information'!A844, 'Customer Information'!$A$1:$A$1001, 'Customer Information'!$D$1:$D$1001)</f>
        <v>No</v>
      </c>
      <c r="H844" t="str">
        <f>INDEX('Additional Product Info.'!$A$1:$C$1001, MATCH('Product Positioning'!$A844, 'Additional Product Info.'!$A$1:$A$1001, 0), MATCH('Product Positioning'!H$1, 'Additional Product Info.'!$A$1:$C$1, 0))</f>
        <v>End-cap</v>
      </c>
      <c r="I844" t="str">
        <f>INDEX('Additional Product Info.'!$A$1:$C$1001, MATCH('Product Positioning'!$A844, 'Additional Product Info.'!$A$1:$A$1001, 0), MATCH('Product Positioning'!I$1, 'Additional Product Info.'!$A$1:$C$1, 0))</f>
        <v>Electronics</v>
      </c>
      <c r="J844" t="str">
        <f>_xlfn.XLOOKUP(A844, $A$1:$A$1001, 'Additional Product Info.'!$D$1:$D$1001)</f>
        <v>Yes</v>
      </c>
      <c r="K844" s="1">
        <f t="shared" si="26"/>
        <v>25555.8</v>
      </c>
      <c r="L844" s="1">
        <f t="shared" si="27"/>
        <v>3.0700000000000003</v>
      </c>
      <c r="M844" t="str">
        <f>IF(L844&lt;=Statistics!$E$6,"Low Difference",IF('Product Positioning'!L844&gt;=Statistics!$E$4,"High Difference","Moderate Difference"))</f>
        <v>Moderate Difference</v>
      </c>
    </row>
    <row r="845" spans="1:13" x14ac:dyDescent="0.2">
      <c r="A845">
        <v>143823</v>
      </c>
      <c r="B845" s="1">
        <v>47.99</v>
      </c>
      <c r="C845" s="1">
        <v>43.86</v>
      </c>
      <c r="D845">
        <v>2230</v>
      </c>
      <c r="E845" t="str">
        <f>_xlfn.XLOOKUP(A845, 'Customer Information'!$A$1:$A$1001, 'Customer Information'!$B$1:$B$1001)</f>
        <v>Medium</v>
      </c>
      <c r="F845" t="str">
        <f>_xlfn.XLOOKUP(A845, 'Customer Information'!$A$1:$A$1001, 'Customer Information'!$C$1:$C$1001)</f>
        <v>Young adults</v>
      </c>
      <c r="G845" t="str">
        <f>_xlfn.XLOOKUP('Customer Information'!A845, 'Customer Information'!$A$1:$A$1001, 'Customer Information'!$D$1:$D$1001)</f>
        <v>Yes</v>
      </c>
      <c r="H845" t="str">
        <f>INDEX('Additional Product Info.'!$A$1:$C$1001, MATCH('Product Positioning'!$A845, 'Additional Product Info.'!$A$1:$A$1001, 0), MATCH('Product Positioning'!H$1, 'Additional Product Info.'!$A$1:$C$1, 0))</f>
        <v>End-cap</v>
      </c>
      <c r="I845" t="str">
        <f>INDEX('Additional Product Info.'!$A$1:$C$1001, MATCH('Product Positioning'!$A845, 'Additional Product Info.'!$A$1:$A$1001, 0), MATCH('Product Positioning'!I$1, 'Additional Product Info.'!$A$1:$C$1, 0))</f>
        <v>Electronics</v>
      </c>
      <c r="J845" t="str">
        <f>_xlfn.XLOOKUP(A845, $A$1:$A$1001, 'Additional Product Info.'!$D$1:$D$1001)</f>
        <v>Yes</v>
      </c>
      <c r="K845" s="1">
        <f t="shared" si="26"/>
        <v>107017.70000000001</v>
      </c>
      <c r="L845" s="1">
        <f t="shared" si="27"/>
        <v>4.1300000000000026</v>
      </c>
      <c r="M845" t="str">
        <f>IF(L845&lt;=Statistics!$E$6,"Low Difference",IF('Product Positioning'!L845&gt;=Statistics!$E$4,"High Difference","Moderate Difference"))</f>
        <v>High Difference</v>
      </c>
    </row>
    <row r="846" spans="1:13" x14ac:dyDescent="0.2">
      <c r="A846">
        <v>194433</v>
      </c>
      <c r="B846" s="1">
        <v>21.67</v>
      </c>
      <c r="C846" s="1">
        <v>18.77</v>
      </c>
      <c r="D846">
        <v>2207</v>
      </c>
      <c r="E846" t="str">
        <f>_xlfn.XLOOKUP(A846, 'Customer Information'!$A$1:$A$1001, 'Customer Information'!$B$1:$B$1001)</f>
        <v>Low</v>
      </c>
      <c r="F846" t="str">
        <f>_xlfn.XLOOKUP(A846, 'Customer Information'!$A$1:$A$1001, 'Customer Information'!$C$1:$C$1001)</f>
        <v>Young adults</v>
      </c>
      <c r="G846" t="str">
        <f>_xlfn.XLOOKUP('Customer Information'!A846, 'Customer Information'!$A$1:$A$1001, 'Customer Information'!$D$1:$D$1001)</f>
        <v>No</v>
      </c>
      <c r="H846" t="str">
        <f>INDEX('Additional Product Info.'!$A$1:$C$1001, MATCH('Product Positioning'!$A846, 'Additional Product Info.'!$A$1:$A$1001, 0), MATCH('Product Positioning'!H$1, 'Additional Product Info.'!$A$1:$C$1, 0))</f>
        <v>Aisle</v>
      </c>
      <c r="I846" t="str">
        <f>INDEX('Additional Product Info.'!$A$1:$C$1001, MATCH('Product Positioning'!$A846, 'Additional Product Info.'!$A$1:$A$1001, 0), MATCH('Product Positioning'!I$1, 'Additional Product Info.'!$A$1:$C$1, 0))</f>
        <v>Food</v>
      </c>
      <c r="J846" t="str">
        <f>_xlfn.XLOOKUP(A846, $A$1:$A$1001, 'Additional Product Info.'!$D$1:$D$1001)</f>
        <v>No</v>
      </c>
      <c r="K846" s="1">
        <f t="shared" si="26"/>
        <v>47825.69</v>
      </c>
      <c r="L846" s="1">
        <f t="shared" si="27"/>
        <v>2.9000000000000021</v>
      </c>
      <c r="M846" t="str">
        <f>IF(L846&lt;=Statistics!$E$6,"Low Difference",IF('Product Positioning'!L846&gt;=Statistics!$E$4,"High Difference","Moderate Difference"))</f>
        <v>Moderate Difference</v>
      </c>
    </row>
    <row r="847" spans="1:13" x14ac:dyDescent="0.2">
      <c r="A847">
        <v>180551</v>
      </c>
      <c r="B847" s="1">
        <v>30.83</v>
      </c>
      <c r="C847" s="1">
        <v>30.37</v>
      </c>
      <c r="D847">
        <v>1999</v>
      </c>
      <c r="E847" t="str">
        <f>_xlfn.XLOOKUP(A847, 'Customer Information'!$A$1:$A$1001, 'Customer Information'!$B$1:$B$1001)</f>
        <v>Low</v>
      </c>
      <c r="F847" t="str">
        <f>_xlfn.XLOOKUP(A847, 'Customer Information'!$A$1:$A$1001, 'Customer Information'!$C$1:$C$1001)</f>
        <v>College students</v>
      </c>
      <c r="G847" t="str">
        <f>_xlfn.XLOOKUP('Customer Information'!A847, 'Customer Information'!$A$1:$A$1001, 'Customer Information'!$D$1:$D$1001)</f>
        <v>No</v>
      </c>
      <c r="H847" t="str">
        <f>INDEX('Additional Product Info.'!$A$1:$C$1001, MATCH('Product Positioning'!$A847, 'Additional Product Info.'!$A$1:$A$1001, 0), MATCH('Product Positioning'!H$1, 'Additional Product Info.'!$A$1:$C$1, 0))</f>
        <v>End-cap</v>
      </c>
      <c r="I847" t="str">
        <f>INDEX('Additional Product Info.'!$A$1:$C$1001, MATCH('Product Positioning'!$A847, 'Additional Product Info.'!$A$1:$A$1001, 0), MATCH('Product Positioning'!I$1, 'Additional Product Info.'!$A$1:$C$1, 0))</f>
        <v>Food</v>
      </c>
      <c r="J847" t="str">
        <f>_xlfn.XLOOKUP(A847, $A$1:$A$1001, 'Additional Product Info.'!$D$1:$D$1001)</f>
        <v>No</v>
      </c>
      <c r="K847" s="1">
        <f t="shared" si="26"/>
        <v>61629.17</v>
      </c>
      <c r="L847" s="1">
        <f t="shared" si="27"/>
        <v>0.4599999999999973</v>
      </c>
      <c r="M847" t="str">
        <f>IF(L847&lt;=Statistics!$E$6,"Low Difference",IF('Product Positioning'!L847&gt;=Statistics!$E$4,"High Difference","Moderate Difference"))</f>
        <v>Low Difference</v>
      </c>
    </row>
    <row r="848" spans="1:13" x14ac:dyDescent="0.2">
      <c r="A848">
        <v>180029</v>
      </c>
      <c r="B848" s="1">
        <v>37.72</v>
      </c>
      <c r="C848" s="1">
        <v>33.07</v>
      </c>
      <c r="D848">
        <v>1301</v>
      </c>
      <c r="E848" t="str">
        <f>_xlfn.XLOOKUP(A848, 'Customer Information'!$A$1:$A$1001, 'Customer Information'!$B$1:$B$1001)</f>
        <v>Low</v>
      </c>
      <c r="F848" t="str">
        <f>_xlfn.XLOOKUP(A848, 'Customer Information'!$A$1:$A$1001, 'Customer Information'!$C$1:$C$1001)</f>
        <v>Families</v>
      </c>
      <c r="G848" t="str">
        <f>_xlfn.XLOOKUP('Customer Information'!A848, 'Customer Information'!$A$1:$A$1001, 'Customer Information'!$D$1:$D$1001)</f>
        <v>No</v>
      </c>
      <c r="H848" t="str">
        <f>INDEX('Additional Product Info.'!$A$1:$C$1001, MATCH('Product Positioning'!$A848, 'Additional Product Info.'!$A$1:$A$1001, 0), MATCH('Product Positioning'!H$1, 'Additional Product Info.'!$A$1:$C$1, 0))</f>
        <v>Aisle</v>
      </c>
      <c r="I848" t="str">
        <f>INDEX('Additional Product Info.'!$A$1:$C$1001, MATCH('Product Positioning'!$A848, 'Additional Product Info.'!$A$1:$A$1001, 0), MATCH('Product Positioning'!I$1, 'Additional Product Info.'!$A$1:$C$1, 0))</f>
        <v>Clothing</v>
      </c>
      <c r="J848" t="str">
        <f>_xlfn.XLOOKUP(A848, $A$1:$A$1001, 'Additional Product Info.'!$D$1:$D$1001)</f>
        <v>Yes</v>
      </c>
      <c r="K848" s="1">
        <f t="shared" si="26"/>
        <v>49073.72</v>
      </c>
      <c r="L848" s="1">
        <f t="shared" si="27"/>
        <v>4.6499999999999986</v>
      </c>
      <c r="M848" t="str">
        <f>IF(L848&lt;=Statistics!$E$6,"Low Difference",IF('Product Positioning'!L848&gt;=Statistics!$E$4,"High Difference","Moderate Difference"))</f>
        <v>High Difference</v>
      </c>
    </row>
    <row r="849" spans="1:13" x14ac:dyDescent="0.2">
      <c r="A849">
        <v>158671</v>
      </c>
      <c r="B849" s="1">
        <v>28.37</v>
      </c>
      <c r="C849" s="1">
        <v>27.34</v>
      </c>
      <c r="D849">
        <v>1262</v>
      </c>
      <c r="E849" t="str">
        <f>_xlfn.XLOOKUP(A849, 'Customer Information'!$A$1:$A$1001, 'Customer Information'!$B$1:$B$1001)</f>
        <v>Medium</v>
      </c>
      <c r="F849" t="str">
        <f>_xlfn.XLOOKUP(A849, 'Customer Information'!$A$1:$A$1001, 'Customer Information'!$C$1:$C$1001)</f>
        <v>Seniors</v>
      </c>
      <c r="G849" t="str">
        <f>_xlfn.XLOOKUP('Customer Information'!A849, 'Customer Information'!$A$1:$A$1001, 'Customer Information'!$D$1:$D$1001)</f>
        <v>Yes</v>
      </c>
      <c r="H849" t="str">
        <f>INDEX('Additional Product Info.'!$A$1:$C$1001, MATCH('Product Positioning'!$A849, 'Additional Product Info.'!$A$1:$A$1001, 0), MATCH('Product Positioning'!H$1, 'Additional Product Info.'!$A$1:$C$1, 0))</f>
        <v>End-cap</v>
      </c>
      <c r="I849" t="str">
        <f>INDEX('Additional Product Info.'!$A$1:$C$1001, MATCH('Product Positioning'!$A849, 'Additional Product Info.'!$A$1:$A$1001, 0), MATCH('Product Positioning'!I$1, 'Additional Product Info.'!$A$1:$C$1, 0))</f>
        <v>Food</v>
      </c>
      <c r="J849" t="str">
        <f>_xlfn.XLOOKUP(A849, $A$1:$A$1001, 'Additional Product Info.'!$D$1:$D$1001)</f>
        <v>Yes</v>
      </c>
      <c r="K849" s="1">
        <f t="shared" si="26"/>
        <v>35802.94</v>
      </c>
      <c r="L849" s="1">
        <f t="shared" si="27"/>
        <v>1.0300000000000011</v>
      </c>
      <c r="M849" t="str">
        <f>IF(L849&lt;=Statistics!$E$6,"Low Difference",IF('Product Positioning'!L849&gt;=Statistics!$E$4,"High Difference","Moderate Difference"))</f>
        <v>Low Difference</v>
      </c>
    </row>
    <row r="850" spans="1:13" x14ac:dyDescent="0.2">
      <c r="A850">
        <v>196932</v>
      </c>
      <c r="B850" s="1">
        <v>49.66</v>
      </c>
      <c r="C850" s="1">
        <v>46.66</v>
      </c>
      <c r="D850">
        <v>2085</v>
      </c>
      <c r="E850" t="str">
        <f>_xlfn.XLOOKUP(A850, 'Customer Information'!$A$1:$A$1001, 'Customer Information'!$B$1:$B$1001)</f>
        <v>High</v>
      </c>
      <c r="F850" t="str">
        <f>_xlfn.XLOOKUP(A850, 'Customer Information'!$A$1:$A$1001, 'Customer Information'!$C$1:$C$1001)</f>
        <v>Young adults</v>
      </c>
      <c r="G850" t="str">
        <f>_xlfn.XLOOKUP('Customer Information'!A850, 'Customer Information'!$A$1:$A$1001, 'Customer Information'!$D$1:$D$1001)</f>
        <v>No</v>
      </c>
      <c r="H850" t="str">
        <f>INDEX('Additional Product Info.'!$A$1:$C$1001, MATCH('Product Positioning'!$A850, 'Additional Product Info.'!$A$1:$A$1001, 0), MATCH('Product Positioning'!H$1, 'Additional Product Info.'!$A$1:$C$1, 0))</f>
        <v>Aisle</v>
      </c>
      <c r="I850" t="str">
        <f>INDEX('Additional Product Info.'!$A$1:$C$1001, MATCH('Product Positioning'!$A850, 'Additional Product Info.'!$A$1:$A$1001, 0), MATCH('Product Positioning'!I$1, 'Additional Product Info.'!$A$1:$C$1, 0))</f>
        <v>Food</v>
      </c>
      <c r="J850" t="str">
        <f>_xlfn.XLOOKUP(A850, $A$1:$A$1001, 'Additional Product Info.'!$D$1:$D$1001)</f>
        <v>Yes</v>
      </c>
      <c r="K850" s="1">
        <f t="shared" si="26"/>
        <v>103541.09999999999</v>
      </c>
      <c r="L850" s="1">
        <f t="shared" si="27"/>
        <v>3</v>
      </c>
      <c r="M850" t="str">
        <f>IF(L850&lt;=Statistics!$E$6,"Low Difference",IF('Product Positioning'!L850&gt;=Statistics!$E$4,"High Difference","Moderate Difference"))</f>
        <v>Moderate Difference</v>
      </c>
    </row>
    <row r="851" spans="1:13" x14ac:dyDescent="0.2">
      <c r="A851">
        <v>188730</v>
      </c>
      <c r="B851" s="1">
        <v>22.04</v>
      </c>
      <c r="C851" s="1">
        <v>19.16</v>
      </c>
      <c r="D851">
        <v>2051</v>
      </c>
      <c r="E851" t="str">
        <f>_xlfn.XLOOKUP(A851, 'Customer Information'!$A$1:$A$1001, 'Customer Information'!$B$1:$B$1001)</f>
        <v>Medium</v>
      </c>
      <c r="F851" t="str">
        <f>_xlfn.XLOOKUP(A851, 'Customer Information'!$A$1:$A$1001, 'Customer Information'!$C$1:$C$1001)</f>
        <v>Families</v>
      </c>
      <c r="G851" t="str">
        <f>_xlfn.XLOOKUP('Customer Information'!A851, 'Customer Information'!$A$1:$A$1001, 'Customer Information'!$D$1:$D$1001)</f>
        <v>Yes</v>
      </c>
      <c r="H851" t="str">
        <f>INDEX('Additional Product Info.'!$A$1:$C$1001, MATCH('Product Positioning'!$A851, 'Additional Product Info.'!$A$1:$A$1001, 0), MATCH('Product Positioning'!H$1, 'Additional Product Info.'!$A$1:$C$1, 0))</f>
        <v>Aisle</v>
      </c>
      <c r="I851" t="str">
        <f>INDEX('Additional Product Info.'!$A$1:$C$1001, MATCH('Product Positioning'!$A851, 'Additional Product Info.'!$A$1:$A$1001, 0), MATCH('Product Positioning'!I$1, 'Additional Product Info.'!$A$1:$C$1, 0))</f>
        <v>Electronics</v>
      </c>
      <c r="J851" t="str">
        <f>_xlfn.XLOOKUP(A851, $A$1:$A$1001, 'Additional Product Info.'!$D$1:$D$1001)</f>
        <v>Yes</v>
      </c>
      <c r="K851" s="1">
        <f t="shared" si="26"/>
        <v>45204.04</v>
      </c>
      <c r="L851" s="1">
        <f t="shared" si="27"/>
        <v>2.879999999999999</v>
      </c>
      <c r="M851" t="str">
        <f>IF(L851&lt;=Statistics!$E$6,"Low Difference",IF('Product Positioning'!L851&gt;=Statistics!$E$4,"High Difference","Moderate Difference"))</f>
        <v>Moderate Difference</v>
      </c>
    </row>
    <row r="852" spans="1:13" x14ac:dyDescent="0.2">
      <c r="A852">
        <v>189853</v>
      </c>
      <c r="B852" s="1">
        <v>14.3</v>
      </c>
      <c r="C852" s="1">
        <v>11.08</v>
      </c>
      <c r="D852">
        <v>2479</v>
      </c>
      <c r="E852" t="str">
        <f>_xlfn.XLOOKUP(A852, 'Customer Information'!$A$1:$A$1001, 'Customer Information'!$B$1:$B$1001)</f>
        <v>Low</v>
      </c>
      <c r="F852" t="str">
        <f>_xlfn.XLOOKUP(A852, 'Customer Information'!$A$1:$A$1001, 'Customer Information'!$C$1:$C$1001)</f>
        <v>Families</v>
      </c>
      <c r="G852" t="str">
        <f>_xlfn.XLOOKUP('Customer Information'!A852, 'Customer Information'!$A$1:$A$1001, 'Customer Information'!$D$1:$D$1001)</f>
        <v>No</v>
      </c>
      <c r="H852" t="str">
        <f>INDEX('Additional Product Info.'!$A$1:$C$1001, MATCH('Product Positioning'!$A852, 'Additional Product Info.'!$A$1:$A$1001, 0), MATCH('Product Positioning'!H$1, 'Additional Product Info.'!$A$1:$C$1, 0))</f>
        <v>End-cap</v>
      </c>
      <c r="I852" t="str">
        <f>INDEX('Additional Product Info.'!$A$1:$C$1001, MATCH('Product Positioning'!$A852, 'Additional Product Info.'!$A$1:$A$1001, 0), MATCH('Product Positioning'!I$1, 'Additional Product Info.'!$A$1:$C$1, 0))</f>
        <v>Food</v>
      </c>
      <c r="J852" t="str">
        <f>_xlfn.XLOOKUP(A852, $A$1:$A$1001, 'Additional Product Info.'!$D$1:$D$1001)</f>
        <v>No</v>
      </c>
      <c r="K852" s="1">
        <f t="shared" si="26"/>
        <v>35449.700000000004</v>
      </c>
      <c r="L852" s="1">
        <f t="shared" si="27"/>
        <v>3.2200000000000006</v>
      </c>
      <c r="M852" t="str">
        <f>IF(L852&lt;=Statistics!$E$6,"Low Difference",IF('Product Positioning'!L852&gt;=Statistics!$E$4,"High Difference","Moderate Difference"))</f>
        <v>Moderate Difference</v>
      </c>
    </row>
    <row r="853" spans="1:13" x14ac:dyDescent="0.2">
      <c r="A853">
        <v>169236</v>
      </c>
      <c r="B853" s="1">
        <v>13.52</v>
      </c>
      <c r="C853" s="1">
        <v>9.5</v>
      </c>
      <c r="D853">
        <v>2234</v>
      </c>
      <c r="E853" t="str">
        <f>_xlfn.XLOOKUP(A853, 'Customer Information'!$A$1:$A$1001, 'Customer Information'!$B$1:$B$1001)</f>
        <v>Low</v>
      </c>
      <c r="F853" t="str">
        <f>_xlfn.XLOOKUP(A853, 'Customer Information'!$A$1:$A$1001, 'Customer Information'!$C$1:$C$1001)</f>
        <v>Young adults</v>
      </c>
      <c r="G853" t="str">
        <f>_xlfn.XLOOKUP('Customer Information'!A853, 'Customer Information'!$A$1:$A$1001, 'Customer Information'!$D$1:$D$1001)</f>
        <v>Yes</v>
      </c>
      <c r="H853" t="str">
        <f>INDEX('Additional Product Info.'!$A$1:$C$1001, MATCH('Product Positioning'!$A853, 'Additional Product Info.'!$A$1:$A$1001, 0), MATCH('Product Positioning'!H$1, 'Additional Product Info.'!$A$1:$C$1, 0))</f>
        <v>End-cap</v>
      </c>
      <c r="I853" t="str">
        <f>INDEX('Additional Product Info.'!$A$1:$C$1001, MATCH('Product Positioning'!$A853, 'Additional Product Info.'!$A$1:$A$1001, 0), MATCH('Product Positioning'!I$1, 'Additional Product Info.'!$A$1:$C$1, 0))</f>
        <v>Food</v>
      </c>
      <c r="J853" t="str">
        <f>_xlfn.XLOOKUP(A853, $A$1:$A$1001, 'Additional Product Info.'!$D$1:$D$1001)</f>
        <v>No</v>
      </c>
      <c r="K853" s="1">
        <f t="shared" si="26"/>
        <v>30203.68</v>
      </c>
      <c r="L853" s="1">
        <f t="shared" si="27"/>
        <v>4.0199999999999996</v>
      </c>
      <c r="M853" t="str">
        <f>IF(L853&lt;=Statistics!$E$6,"Low Difference",IF('Product Positioning'!L853&gt;=Statistics!$E$4,"High Difference","Moderate Difference"))</f>
        <v>High Difference</v>
      </c>
    </row>
    <row r="854" spans="1:13" x14ac:dyDescent="0.2">
      <c r="A854">
        <v>157660</v>
      </c>
      <c r="B854" s="1">
        <v>17.989999999999998</v>
      </c>
      <c r="C854" s="1">
        <v>14.93</v>
      </c>
      <c r="D854">
        <v>821</v>
      </c>
      <c r="E854" t="str">
        <f>_xlfn.XLOOKUP(A854, 'Customer Information'!$A$1:$A$1001, 'Customer Information'!$B$1:$B$1001)</f>
        <v>Medium</v>
      </c>
      <c r="F854" t="str">
        <f>_xlfn.XLOOKUP(A854, 'Customer Information'!$A$1:$A$1001, 'Customer Information'!$C$1:$C$1001)</f>
        <v>Young adults</v>
      </c>
      <c r="G854" t="str">
        <f>_xlfn.XLOOKUP('Customer Information'!A854, 'Customer Information'!$A$1:$A$1001, 'Customer Information'!$D$1:$D$1001)</f>
        <v>No</v>
      </c>
      <c r="H854" t="str">
        <f>INDEX('Additional Product Info.'!$A$1:$C$1001, MATCH('Product Positioning'!$A854, 'Additional Product Info.'!$A$1:$A$1001, 0), MATCH('Product Positioning'!H$1, 'Additional Product Info.'!$A$1:$C$1, 0))</f>
        <v>End-cap</v>
      </c>
      <c r="I854" t="str">
        <f>INDEX('Additional Product Info.'!$A$1:$C$1001, MATCH('Product Positioning'!$A854, 'Additional Product Info.'!$A$1:$A$1001, 0), MATCH('Product Positioning'!I$1, 'Additional Product Info.'!$A$1:$C$1, 0))</f>
        <v>Clothing</v>
      </c>
      <c r="J854" t="str">
        <f>_xlfn.XLOOKUP(A854, $A$1:$A$1001, 'Additional Product Info.'!$D$1:$D$1001)</f>
        <v>Yes</v>
      </c>
      <c r="K854" s="1">
        <f t="shared" si="26"/>
        <v>14769.789999999999</v>
      </c>
      <c r="L854" s="1">
        <f t="shared" si="27"/>
        <v>3.0599999999999987</v>
      </c>
      <c r="M854" t="str">
        <f>IF(L854&lt;=Statistics!$E$6,"Low Difference",IF('Product Positioning'!L854&gt;=Statistics!$E$4,"High Difference","Moderate Difference"))</f>
        <v>Moderate Difference</v>
      </c>
    </row>
    <row r="855" spans="1:13" x14ac:dyDescent="0.2">
      <c r="A855">
        <v>119645</v>
      </c>
      <c r="B855" s="1">
        <v>26.07</v>
      </c>
      <c r="C855" s="1">
        <v>24.32</v>
      </c>
      <c r="D855">
        <v>1634</v>
      </c>
      <c r="E855" t="str">
        <f>_xlfn.XLOOKUP(A855, 'Customer Information'!$A$1:$A$1001, 'Customer Information'!$B$1:$B$1001)</f>
        <v>High</v>
      </c>
      <c r="F855" t="str">
        <f>_xlfn.XLOOKUP(A855, 'Customer Information'!$A$1:$A$1001, 'Customer Information'!$C$1:$C$1001)</f>
        <v>Young adults</v>
      </c>
      <c r="G855" t="str">
        <f>_xlfn.XLOOKUP('Customer Information'!A855, 'Customer Information'!$A$1:$A$1001, 'Customer Information'!$D$1:$D$1001)</f>
        <v>No</v>
      </c>
      <c r="H855" t="str">
        <f>INDEX('Additional Product Info.'!$A$1:$C$1001, MATCH('Product Positioning'!$A855, 'Additional Product Info.'!$A$1:$A$1001, 0), MATCH('Product Positioning'!H$1, 'Additional Product Info.'!$A$1:$C$1, 0))</f>
        <v>End-cap</v>
      </c>
      <c r="I855" t="str">
        <f>INDEX('Additional Product Info.'!$A$1:$C$1001, MATCH('Product Positioning'!$A855, 'Additional Product Info.'!$A$1:$A$1001, 0), MATCH('Product Positioning'!I$1, 'Additional Product Info.'!$A$1:$C$1, 0))</f>
        <v>Food</v>
      </c>
      <c r="J855" t="str">
        <f>_xlfn.XLOOKUP(A855, $A$1:$A$1001, 'Additional Product Info.'!$D$1:$D$1001)</f>
        <v>Yes</v>
      </c>
      <c r="K855" s="1">
        <f t="shared" si="26"/>
        <v>42598.38</v>
      </c>
      <c r="L855" s="1">
        <f t="shared" si="27"/>
        <v>1.75</v>
      </c>
      <c r="M855" t="str">
        <f>IF(L855&lt;=Statistics!$E$6,"Low Difference",IF('Product Positioning'!L855&gt;=Statistics!$E$4,"High Difference","Moderate Difference"))</f>
        <v>Moderate Difference</v>
      </c>
    </row>
    <row r="856" spans="1:13" x14ac:dyDescent="0.2">
      <c r="A856">
        <v>142356</v>
      </c>
      <c r="B856" s="1">
        <v>27.16</v>
      </c>
      <c r="C856" s="1">
        <v>23.47</v>
      </c>
      <c r="D856">
        <v>1207</v>
      </c>
      <c r="E856" t="str">
        <f>_xlfn.XLOOKUP(A856, 'Customer Information'!$A$1:$A$1001, 'Customer Information'!$B$1:$B$1001)</f>
        <v>Medium</v>
      </c>
      <c r="F856" t="str">
        <f>_xlfn.XLOOKUP(A856, 'Customer Information'!$A$1:$A$1001, 'Customer Information'!$C$1:$C$1001)</f>
        <v>Families</v>
      </c>
      <c r="G856" t="str">
        <f>_xlfn.XLOOKUP('Customer Information'!A856, 'Customer Information'!$A$1:$A$1001, 'Customer Information'!$D$1:$D$1001)</f>
        <v>No</v>
      </c>
      <c r="H856" t="str">
        <f>INDEX('Additional Product Info.'!$A$1:$C$1001, MATCH('Product Positioning'!$A856, 'Additional Product Info.'!$A$1:$A$1001, 0), MATCH('Product Positioning'!H$1, 'Additional Product Info.'!$A$1:$C$1, 0))</f>
        <v>Aisle</v>
      </c>
      <c r="I856" t="str">
        <f>INDEX('Additional Product Info.'!$A$1:$C$1001, MATCH('Product Positioning'!$A856, 'Additional Product Info.'!$A$1:$A$1001, 0), MATCH('Product Positioning'!I$1, 'Additional Product Info.'!$A$1:$C$1, 0))</f>
        <v>Food</v>
      </c>
      <c r="J856" t="str">
        <f>_xlfn.XLOOKUP(A856, $A$1:$A$1001, 'Additional Product Info.'!$D$1:$D$1001)</f>
        <v>Yes</v>
      </c>
      <c r="K856" s="1">
        <f t="shared" si="26"/>
        <v>32782.120000000003</v>
      </c>
      <c r="L856" s="1">
        <f t="shared" si="27"/>
        <v>3.6900000000000013</v>
      </c>
      <c r="M856" t="str">
        <f>IF(L856&lt;=Statistics!$E$6,"Low Difference",IF('Product Positioning'!L856&gt;=Statistics!$E$4,"High Difference","Moderate Difference"))</f>
        <v>Moderate Difference</v>
      </c>
    </row>
    <row r="857" spans="1:13" x14ac:dyDescent="0.2">
      <c r="A857">
        <v>122078</v>
      </c>
      <c r="B857" s="1">
        <v>7.32</v>
      </c>
      <c r="C857" s="1">
        <v>4.8600000000000003</v>
      </c>
      <c r="D857">
        <v>1124</v>
      </c>
      <c r="E857" t="str">
        <f>_xlfn.XLOOKUP(A857, 'Customer Information'!$A$1:$A$1001, 'Customer Information'!$B$1:$B$1001)</f>
        <v>Medium</v>
      </c>
      <c r="F857" t="str">
        <f>_xlfn.XLOOKUP(A857, 'Customer Information'!$A$1:$A$1001, 'Customer Information'!$C$1:$C$1001)</f>
        <v>Young adults</v>
      </c>
      <c r="G857" t="str">
        <f>_xlfn.XLOOKUP('Customer Information'!A857, 'Customer Information'!$A$1:$A$1001, 'Customer Information'!$D$1:$D$1001)</f>
        <v>No</v>
      </c>
      <c r="H857" t="str">
        <f>INDEX('Additional Product Info.'!$A$1:$C$1001, MATCH('Product Positioning'!$A857, 'Additional Product Info.'!$A$1:$A$1001, 0), MATCH('Product Positioning'!H$1, 'Additional Product Info.'!$A$1:$C$1, 0))</f>
        <v>End-cap</v>
      </c>
      <c r="I857" t="str">
        <f>INDEX('Additional Product Info.'!$A$1:$C$1001, MATCH('Product Positioning'!$A857, 'Additional Product Info.'!$A$1:$A$1001, 0), MATCH('Product Positioning'!I$1, 'Additional Product Info.'!$A$1:$C$1, 0))</f>
        <v>Electronics</v>
      </c>
      <c r="J857" t="str">
        <f>_xlfn.XLOOKUP(A857, $A$1:$A$1001, 'Additional Product Info.'!$D$1:$D$1001)</f>
        <v>Yes</v>
      </c>
      <c r="K857" s="1">
        <f t="shared" si="26"/>
        <v>8227.68</v>
      </c>
      <c r="L857" s="1">
        <f t="shared" si="27"/>
        <v>2.46</v>
      </c>
      <c r="M857" t="str">
        <f>IF(L857&lt;=Statistics!$E$6,"Low Difference",IF('Product Positioning'!L857&gt;=Statistics!$E$4,"High Difference","Moderate Difference"))</f>
        <v>Moderate Difference</v>
      </c>
    </row>
    <row r="858" spans="1:13" x14ac:dyDescent="0.2">
      <c r="A858">
        <v>161248</v>
      </c>
      <c r="B858" s="1">
        <v>12.8</v>
      </c>
      <c r="C858" s="1">
        <v>11.34</v>
      </c>
      <c r="D858">
        <v>1167</v>
      </c>
      <c r="E858" t="str">
        <f>_xlfn.XLOOKUP(A858, 'Customer Information'!$A$1:$A$1001, 'Customer Information'!$B$1:$B$1001)</f>
        <v>Low</v>
      </c>
      <c r="F858" t="str">
        <f>_xlfn.XLOOKUP(A858, 'Customer Information'!$A$1:$A$1001, 'Customer Information'!$C$1:$C$1001)</f>
        <v>College students</v>
      </c>
      <c r="G858" t="str">
        <f>_xlfn.XLOOKUP('Customer Information'!A858, 'Customer Information'!$A$1:$A$1001, 'Customer Information'!$D$1:$D$1001)</f>
        <v>No</v>
      </c>
      <c r="H858" t="str">
        <f>INDEX('Additional Product Info.'!$A$1:$C$1001, MATCH('Product Positioning'!$A858, 'Additional Product Info.'!$A$1:$A$1001, 0), MATCH('Product Positioning'!H$1, 'Additional Product Info.'!$A$1:$C$1, 0))</f>
        <v>End-cap</v>
      </c>
      <c r="I858" t="str">
        <f>INDEX('Additional Product Info.'!$A$1:$C$1001, MATCH('Product Positioning'!$A858, 'Additional Product Info.'!$A$1:$A$1001, 0), MATCH('Product Positioning'!I$1, 'Additional Product Info.'!$A$1:$C$1, 0))</f>
        <v>Clothing</v>
      </c>
      <c r="J858" t="str">
        <f>_xlfn.XLOOKUP(A858, $A$1:$A$1001, 'Additional Product Info.'!$D$1:$D$1001)</f>
        <v>Yes</v>
      </c>
      <c r="K858" s="1">
        <f t="shared" si="26"/>
        <v>14937.6</v>
      </c>
      <c r="L858" s="1">
        <f t="shared" si="27"/>
        <v>1.4600000000000009</v>
      </c>
      <c r="M858" t="str">
        <f>IF(L858&lt;=Statistics!$E$6,"Low Difference",IF('Product Positioning'!L858&gt;=Statistics!$E$4,"High Difference","Moderate Difference"))</f>
        <v>Moderate Difference</v>
      </c>
    </row>
    <row r="859" spans="1:13" x14ac:dyDescent="0.2">
      <c r="A859">
        <v>171394</v>
      </c>
      <c r="B859" s="1">
        <v>16.93</v>
      </c>
      <c r="C859" s="1">
        <v>16.87</v>
      </c>
      <c r="D859">
        <v>2683</v>
      </c>
      <c r="E859" t="str">
        <f>_xlfn.XLOOKUP(A859, 'Customer Information'!$A$1:$A$1001, 'Customer Information'!$B$1:$B$1001)</f>
        <v>Low</v>
      </c>
      <c r="F859" t="str">
        <f>_xlfn.XLOOKUP(A859, 'Customer Information'!$A$1:$A$1001, 'Customer Information'!$C$1:$C$1001)</f>
        <v>College students</v>
      </c>
      <c r="G859" t="str">
        <f>_xlfn.XLOOKUP('Customer Information'!A859, 'Customer Information'!$A$1:$A$1001, 'Customer Information'!$D$1:$D$1001)</f>
        <v>No</v>
      </c>
      <c r="H859" t="str">
        <f>INDEX('Additional Product Info.'!$A$1:$C$1001, MATCH('Product Positioning'!$A859, 'Additional Product Info.'!$A$1:$A$1001, 0), MATCH('Product Positioning'!H$1, 'Additional Product Info.'!$A$1:$C$1, 0))</f>
        <v>Front of Store</v>
      </c>
      <c r="I859" t="str">
        <f>INDEX('Additional Product Info.'!$A$1:$C$1001, MATCH('Product Positioning'!$A859, 'Additional Product Info.'!$A$1:$A$1001, 0), MATCH('Product Positioning'!I$1, 'Additional Product Info.'!$A$1:$C$1, 0))</f>
        <v>Clothing</v>
      </c>
      <c r="J859" t="str">
        <f>_xlfn.XLOOKUP(A859, $A$1:$A$1001, 'Additional Product Info.'!$D$1:$D$1001)</f>
        <v>No</v>
      </c>
      <c r="K859" s="1">
        <f t="shared" si="26"/>
        <v>45423.19</v>
      </c>
      <c r="L859" s="1">
        <f t="shared" si="27"/>
        <v>5.9999999999998721E-2</v>
      </c>
      <c r="M859" t="str">
        <f>IF(L859&lt;=Statistics!$E$6,"Low Difference",IF('Product Positioning'!L859&gt;=Statistics!$E$4,"High Difference","Moderate Difference"))</f>
        <v>Low Difference</v>
      </c>
    </row>
    <row r="860" spans="1:13" x14ac:dyDescent="0.2">
      <c r="A860">
        <v>151362</v>
      </c>
      <c r="B860" s="1">
        <v>9.0299999999999994</v>
      </c>
      <c r="C860" s="1">
        <v>7.3</v>
      </c>
      <c r="D860">
        <v>1586</v>
      </c>
      <c r="E860" t="str">
        <f>_xlfn.XLOOKUP(A860, 'Customer Information'!$A$1:$A$1001, 'Customer Information'!$B$1:$B$1001)</f>
        <v>Medium</v>
      </c>
      <c r="F860" t="str">
        <f>_xlfn.XLOOKUP(A860, 'Customer Information'!$A$1:$A$1001, 'Customer Information'!$C$1:$C$1001)</f>
        <v>Families</v>
      </c>
      <c r="G860" t="str">
        <f>_xlfn.XLOOKUP('Customer Information'!A860, 'Customer Information'!$A$1:$A$1001, 'Customer Information'!$D$1:$D$1001)</f>
        <v>No</v>
      </c>
      <c r="H860" t="str">
        <f>INDEX('Additional Product Info.'!$A$1:$C$1001, MATCH('Product Positioning'!$A860, 'Additional Product Info.'!$A$1:$A$1001, 0), MATCH('Product Positioning'!H$1, 'Additional Product Info.'!$A$1:$C$1, 0))</f>
        <v>Front of Store</v>
      </c>
      <c r="I860" t="str">
        <f>INDEX('Additional Product Info.'!$A$1:$C$1001, MATCH('Product Positioning'!$A860, 'Additional Product Info.'!$A$1:$A$1001, 0), MATCH('Product Positioning'!I$1, 'Additional Product Info.'!$A$1:$C$1, 0))</f>
        <v>Food</v>
      </c>
      <c r="J860" t="str">
        <f>_xlfn.XLOOKUP(A860, $A$1:$A$1001, 'Additional Product Info.'!$D$1:$D$1001)</f>
        <v>No</v>
      </c>
      <c r="K860" s="1">
        <f t="shared" si="26"/>
        <v>14321.579999999998</v>
      </c>
      <c r="L860" s="1">
        <f t="shared" si="27"/>
        <v>1.7299999999999995</v>
      </c>
      <c r="M860" t="str">
        <f>IF(L860&lt;=Statistics!$E$6,"Low Difference",IF('Product Positioning'!L860&gt;=Statistics!$E$4,"High Difference","Moderate Difference"))</f>
        <v>Moderate Difference</v>
      </c>
    </row>
    <row r="861" spans="1:13" x14ac:dyDescent="0.2">
      <c r="A861">
        <v>171225</v>
      </c>
      <c r="B861" s="1">
        <v>11</v>
      </c>
      <c r="C861" s="1">
        <v>9.7200000000000006</v>
      </c>
      <c r="D861">
        <v>689</v>
      </c>
      <c r="E861" t="str">
        <f>_xlfn.XLOOKUP(A861, 'Customer Information'!$A$1:$A$1001, 'Customer Information'!$B$1:$B$1001)</f>
        <v>Medium</v>
      </c>
      <c r="F861" t="str">
        <f>_xlfn.XLOOKUP(A861, 'Customer Information'!$A$1:$A$1001, 'Customer Information'!$C$1:$C$1001)</f>
        <v>Young adults</v>
      </c>
      <c r="G861" t="str">
        <f>_xlfn.XLOOKUP('Customer Information'!A861, 'Customer Information'!$A$1:$A$1001, 'Customer Information'!$D$1:$D$1001)</f>
        <v>No</v>
      </c>
      <c r="H861" t="str">
        <f>INDEX('Additional Product Info.'!$A$1:$C$1001, MATCH('Product Positioning'!$A861, 'Additional Product Info.'!$A$1:$A$1001, 0), MATCH('Product Positioning'!H$1, 'Additional Product Info.'!$A$1:$C$1, 0))</f>
        <v>Aisle</v>
      </c>
      <c r="I861" t="str">
        <f>INDEX('Additional Product Info.'!$A$1:$C$1001, MATCH('Product Positioning'!$A861, 'Additional Product Info.'!$A$1:$A$1001, 0), MATCH('Product Positioning'!I$1, 'Additional Product Info.'!$A$1:$C$1, 0))</f>
        <v>Electronics</v>
      </c>
      <c r="J861" t="str">
        <f>_xlfn.XLOOKUP(A861, $A$1:$A$1001, 'Additional Product Info.'!$D$1:$D$1001)</f>
        <v>Yes</v>
      </c>
      <c r="K861" s="1">
        <f t="shared" si="26"/>
        <v>7579</v>
      </c>
      <c r="L861" s="1">
        <f t="shared" si="27"/>
        <v>1.2799999999999994</v>
      </c>
      <c r="M861" t="str">
        <f>IF(L861&lt;=Statistics!$E$6,"Low Difference",IF('Product Positioning'!L861&gt;=Statistics!$E$4,"High Difference","Moderate Difference"))</f>
        <v>Moderate Difference</v>
      </c>
    </row>
    <row r="862" spans="1:13" x14ac:dyDescent="0.2">
      <c r="A862">
        <v>147968</v>
      </c>
      <c r="B862" s="1">
        <v>10.27</v>
      </c>
      <c r="C862" s="1">
        <v>10.14</v>
      </c>
      <c r="D862">
        <v>1995</v>
      </c>
      <c r="E862" t="str">
        <f>_xlfn.XLOOKUP(A862, 'Customer Information'!$A$1:$A$1001, 'Customer Information'!$B$1:$B$1001)</f>
        <v>Low</v>
      </c>
      <c r="F862" t="str">
        <f>_xlfn.XLOOKUP(A862, 'Customer Information'!$A$1:$A$1001, 'Customer Information'!$C$1:$C$1001)</f>
        <v>Families</v>
      </c>
      <c r="G862" t="str">
        <f>_xlfn.XLOOKUP('Customer Information'!A862, 'Customer Information'!$A$1:$A$1001, 'Customer Information'!$D$1:$D$1001)</f>
        <v>No</v>
      </c>
      <c r="H862" t="str">
        <f>INDEX('Additional Product Info.'!$A$1:$C$1001, MATCH('Product Positioning'!$A862, 'Additional Product Info.'!$A$1:$A$1001, 0), MATCH('Product Positioning'!H$1, 'Additional Product Info.'!$A$1:$C$1, 0))</f>
        <v>Front of Store</v>
      </c>
      <c r="I862" t="str">
        <f>INDEX('Additional Product Info.'!$A$1:$C$1001, MATCH('Product Positioning'!$A862, 'Additional Product Info.'!$A$1:$A$1001, 0), MATCH('Product Positioning'!I$1, 'Additional Product Info.'!$A$1:$C$1, 0))</f>
        <v>Clothing</v>
      </c>
      <c r="J862" t="str">
        <f>_xlfn.XLOOKUP(A862, $A$1:$A$1001, 'Additional Product Info.'!$D$1:$D$1001)</f>
        <v>Yes</v>
      </c>
      <c r="K862" s="1">
        <f t="shared" si="26"/>
        <v>20488.649999999998</v>
      </c>
      <c r="L862" s="1">
        <f t="shared" si="27"/>
        <v>0.12999999999999901</v>
      </c>
      <c r="M862" t="str">
        <f>IF(L862&lt;=Statistics!$E$6,"Low Difference",IF('Product Positioning'!L862&gt;=Statistics!$E$4,"High Difference","Moderate Difference"))</f>
        <v>Low Difference</v>
      </c>
    </row>
    <row r="863" spans="1:13" x14ac:dyDescent="0.2">
      <c r="A863">
        <v>135533</v>
      </c>
      <c r="B863" s="1">
        <v>30.99</v>
      </c>
      <c r="C863" s="1">
        <v>27.34</v>
      </c>
      <c r="D863">
        <v>2915</v>
      </c>
      <c r="E863" t="str">
        <f>_xlfn.XLOOKUP(A863, 'Customer Information'!$A$1:$A$1001, 'Customer Information'!$B$1:$B$1001)</f>
        <v>Low</v>
      </c>
      <c r="F863" t="str">
        <f>_xlfn.XLOOKUP(A863, 'Customer Information'!$A$1:$A$1001, 'Customer Information'!$C$1:$C$1001)</f>
        <v>College students</v>
      </c>
      <c r="G863" t="str">
        <f>_xlfn.XLOOKUP('Customer Information'!A863, 'Customer Information'!$A$1:$A$1001, 'Customer Information'!$D$1:$D$1001)</f>
        <v>Yes</v>
      </c>
      <c r="H863" t="str">
        <f>INDEX('Additional Product Info.'!$A$1:$C$1001, MATCH('Product Positioning'!$A863, 'Additional Product Info.'!$A$1:$A$1001, 0), MATCH('Product Positioning'!H$1, 'Additional Product Info.'!$A$1:$C$1, 0))</f>
        <v>End-cap</v>
      </c>
      <c r="I863" t="str">
        <f>INDEX('Additional Product Info.'!$A$1:$C$1001, MATCH('Product Positioning'!$A863, 'Additional Product Info.'!$A$1:$A$1001, 0), MATCH('Product Positioning'!I$1, 'Additional Product Info.'!$A$1:$C$1, 0))</f>
        <v>Clothing</v>
      </c>
      <c r="J863" t="str">
        <f>_xlfn.XLOOKUP(A863, $A$1:$A$1001, 'Additional Product Info.'!$D$1:$D$1001)</f>
        <v>Yes</v>
      </c>
      <c r="K863" s="1">
        <f t="shared" si="26"/>
        <v>90335.849999999991</v>
      </c>
      <c r="L863" s="1">
        <f t="shared" si="27"/>
        <v>3.6499999999999986</v>
      </c>
      <c r="M863" t="str">
        <f>IF(L863&lt;=Statistics!$E$6,"Low Difference",IF('Product Positioning'!L863&gt;=Statistics!$E$4,"High Difference","Moderate Difference"))</f>
        <v>Moderate Difference</v>
      </c>
    </row>
    <row r="864" spans="1:13" x14ac:dyDescent="0.2">
      <c r="A864">
        <v>175517</v>
      </c>
      <c r="B864" s="1">
        <v>37.72</v>
      </c>
      <c r="C864" s="1">
        <v>37.04</v>
      </c>
      <c r="D864">
        <v>1732</v>
      </c>
      <c r="E864" t="str">
        <f>_xlfn.XLOOKUP(A864, 'Customer Information'!$A$1:$A$1001, 'Customer Information'!$B$1:$B$1001)</f>
        <v>High</v>
      </c>
      <c r="F864" t="str">
        <f>_xlfn.XLOOKUP(A864, 'Customer Information'!$A$1:$A$1001, 'Customer Information'!$C$1:$C$1001)</f>
        <v>Families</v>
      </c>
      <c r="G864" t="str">
        <f>_xlfn.XLOOKUP('Customer Information'!A864, 'Customer Information'!$A$1:$A$1001, 'Customer Information'!$D$1:$D$1001)</f>
        <v>No</v>
      </c>
      <c r="H864" t="str">
        <f>INDEX('Additional Product Info.'!$A$1:$C$1001, MATCH('Product Positioning'!$A864, 'Additional Product Info.'!$A$1:$A$1001, 0), MATCH('Product Positioning'!H$1, 'Additional Product Info.'!$A$1:$C$1, 0))</f>
        <v>Aisle</v>
      </c>
      <c r="I864" t="str">
        <f>INDEX('Additional Product Info.'!$A$1:$C$1001, MATCH('Product Positioning'!$A864, 'Additional Product Info.'!$A$1:$A$1001, 0), MATCH('Product Positioning'!I$1, 'Additional Product Info.'!$A$1:$C$1, 0))</f>
        <v>Clothing</v>
      </c>
      <c r="J864" t="str">
        <f>_xlfn.XLOOKUP(A864, $A$1:$A$1001, 'Additional Product Info.'!$D$1:$D$1001)</f>
        <v>Yes</v>
      </c>
      <c r="K864" s="1">
        <f t="shared" si="26"/>
        <v>65331.040000000001</v>
      </c>
      <c r="L864" s="1">
        <f t="shared" si="27"/>
        <v>0.67999999999999972</v>
      </c>
      <c r="M864" t="str">
        <f>IF(L864&lt;=Statistics!$E$6,"Low Difference",IF('Product Positioning'!L864&gt;=Statistics!$E$4,"High Difference","Moderate Difference"))</f>
        <v>Low Difference</v>
      </c>
    </row>
    <row r="865" spans="1:13" x14ac:dyDescent="0.2">
      <c r="A865">
        <v>194339</v>
      </c>
      <c r="B865" s="1">
        <v>32.67</v>
      </c>
      <c r="C865" s="1">
        <v>29.65</v>
      </c>
      <c r="D865">
        <v>2749</v>
      </c>
      <c r="E865" t="str">
        <f>_xlfn.XLOOKUP(A865, 'Customer Information'!$A$1:$A$1001, 'Customer Information'!$B$1:$B$1001)</f>
        <v>Low</v>
      </c>
      <c r="F865" t="str">
        <f>_xlfn.XLOOKUP(A865, 'Customer Information'!$A$1:$A$1001, 'Customer Information'!$C$1:$C$1001)</f>
        <v>Seniors</v>
      </c>
      <c r="G865" t="str">
        <f>_xlfn.XLOOKUP('Customer Information'!A865, 'Customer Information'!$A$1:$A$1001, 'Customer Information'!$D$1:$D$1001)</f>
        <v>No</v>
      </c>
      <c r="H865" t="str">
        <f>INDEX('Additional Product Info.'!$A$1:$C$1001, MATCH('Product Positioning'!$A865, 'Additional Product Info.'!$A$1:$A$1001, 0), MATCH('Product Positioning'!H$1, 'Additional Product Info.'!$A$1:$C$1, 0))</f>
        <v>End-cap</v>
      </c>
      <c r="I865" t="str">
        <f>INDEX('Additional Product Info.'!$A$1:$C$1001, MATCH('Product Positioning'!$A865, 'Additional Product Info.'!$A$1:$A$1001, 0), MATCH('Product Positioning'!I$1, 'Additional Product Info.'!$A$1:$C$1, 0))</f>
        <v>Clothing</v>
      </c>
      <c r="J865" t="str">
        <f>_xlfn.XLOOKUP(A865, $A$1:$A$1001, 'Additional Product Info.'!$D$1:$D$1001)</f>
        <v>No</v>
      </c>
      <c r="K865" s="1">
        <f t="shared" si="26"/>
        <v>89809.83</v>
      </c>
      <c r="L865" s="1">
        <f t="shared" si="27"/>
        <v>3.0200000000000031</v>
      </c>
      <c r="M865" t="str">
        <f>IF(L865&lt;=Statistics!$E$6,"Low Difference",IF('Product Positioning'!L865&gt;=Statistics!$E$4,"High Difference","Moderate Difference"))</f>
        <v>Moderate Difference</v>
      </c>
    </row>
    <row r="866" spans="1:13" x14ac:dyDescent="0.2">
      <c r="A866">
        <v>181234</v>
      </c>
      <c r="B866" s="1">
        <v>40.78</v>
      </c>
      <c r="C866" s="1">
        <v>40.35</v>
      </c>
      <c r="D866">
        <v>2262</v>
      </c>
      <c r="E866" t="str">
        <f>_xlfn.XLOOKUP(A866, 'Customer Information'!$A$1:$A$1001, 'Customer Information'!$B$1:$B$1001)</f>
        <v>High</v>
      </c>
      <c r="F866" t="str">
        <f>_xlfn.XLOOKUP(A866, 'Customer Information'!$A$1:$A$1001, 'Customer Information'!$C$1:$C$1001)</f>
        <v>College students</v>
      </c>
      <c r="G866" t="str">
        <f>_xlfn.XLOOKUP('Customer Information'!A866, 'Customer Information'!$A$1:$A$1001, 'Customer Information'!$D$1:$D$1001)</f>
        <v>Yes</v>
      </c>
      <c r="H866" t="str">
        <f>INDEX('Additional Product Info.'!$A$1:$C$1001, MATCH('Product Positioning'!$A866, 'Additional Product Info.'!$A$1:$A$1001, 0), MATCH('Product Positioning'!H$1, 'Additional Product Info.'!$A$1:$C$1, 0))</f>
        <v>End-cap</v>
      </c>
      <c r="I866" t="str">
        <f>INDEX('Additional Product Info.'!$A$1:$C$1001, MATCH('Product Positioning'!$A866, 'Additional Product Info.'!$A$1:$A$1001, 0), MATCH('Product Positioning'!I$1, 'Additional Product Info.'!$A$1:$C$1, 0))</f>
        <v>Electronics</v>
      </c>
      <c r="J866" t="str">
        <f>_xlfn.XLOOKUP(A866, $A$1:$A$1001, 'Additional Product Info.'!$D$1:$D$1001)</f>
        <v>Yes</v>
      </c>
      <c r="K866" s="1">
        <f t="shared" si="26"/>
        <v>92244.36</v>
      </c>
      <c r="L866" s="1">
        <f t="shared" si="27"/>
        <v>0.42999999999999972</v>
      </c>
      <c r="M866" t="str">
        <f>IF(L866&lt;=Statistics!$E$6,"Low Difference",IF('Product Positioning'!L866&gt;=Statistics!$E$4,"High Difference","Moderate Difference"))</f>
        <v>Low Difference</v>
      </c>
    </row>
    <row r="867" spans="1:13" x14ac:dyDescent="0.2">
      <c r="A867">
        <v>128647</v>
      </c>
      <c r="B867" s="1">
        <v>13.33</v>
      </c>
      <c r="C867" s="1">
        <v>9.52</v>
      </c>
      <c r="D867">
        <v>1187</v>
      </c>
      <c r="E867" t="str">
        <f>_xlfn.XLOOKUP(A867, 'Customer Information'!$A$1:$A$1001, 'Customer Information'!$B$1:$B$1001)</f>
        <v>High</v>
      </c>
      <c r="F867" t="str">
        <f>_xlfn.XLOOKUP(A867, 'Customer Information'!$A$1:$A$1001, 'Customer Information'!$C$1:$C$1001)</f>
        <v>Young adults</v>
      </c>
      <c r="G867" t="str">
        <f>_xlfn.XLOOKUP('Customer Information'!A867, 'Customer Information'!$A$1:$A$1001, 'Customer Information'!$D$1:$D$1001)</f>
        <v>No</v>
      </c>
      <c r="H867" t="str">
        <f>INDEX('Additional Product Info.'!$A$1:$C$1001, MATCH('Product Positioning'!$A867, 'Additional Product Info.'!$A$1:$A$1001, 0), MATCH('Product Positioning'!H$1, 'Additional Product Info.'!$A$1:$C$1, 0))</f>
        <v>Front of Store</v>
      </c>
      <c r="I867" t="str">
        <f>INDEX('Additional Product Info.'!$A$1:$C$1001, MATCH('Product Positioning'!$A867, 'Additional Product Info.'!$A$1:$A$1001, 0), MATCH('Product Positioning'!I$1, 'Additional Product Info.'!$A$1:$C$1, 0))</f>
        <v>Food</v>
      </c>
      <c r="J867" t="str">
        <f>_xlfn.XLOOKUP(A867, $A$1:$A$1001, 'Additional Product Info.'!$D$1:$D$1001)</f>
        <v>No</v>
      </c>
      <c r="K867" s="1">
        <f t="shared" si="26"/>
        <v>15822.710000000001</v>
      </c>
      <c r="L867" s="1">
        <f t="shared" si="27"/>
        <v>3.8100000000000005</v>
      </c>
      <c r="M867" t="str">
        <f>IF(L867&lt;=Statistics!$E$6,"Low Difference",IF('Product Positioning'!L867&gt;=Statistics!$E$4,"High Difference","Moderate Difference"))</f>
        <v>High Difference</v>
      </c>
    </row>
    <row r="868" spans="1:13" x14ac:dyDescent="0.2">
      <c r="A868">
        <v>178865</v>
      </c>
      <c r="B868" s="1">
        <v>7.73</v>
      </c>
      <c r="C868" s="1">
        <v>5.13</v>
      </c>
      <c r="D868">
        <v>2525</v>
      </c>
      <c r="E868" t="str">
        <f>_xlfn.XLOOKUP(A868, 'Customer Information'!$A$1:$A$1001, 'Customer Information'!$B$1:$B$1001)</f>
        <v>Medium</v>
      </c>
      <c r="F868" t="str">
        <f>_xlfn.XLOOKUP(A868, 'Customer Information'!$A$1:$A$1001, 'Customer Information'!$C$1:$C$1001)</f>
        <v>Families</v>
      </c>
      <c r="G868" t="str">
        <f>_xlfn.XLOOKUP('Customer Information'!A868, 'Customer Information'!$A$1:$A$1001, 'Customer Information'!$D$1:$D$1001)</f>
        <v>Yes</v>
      </c>
      <c r="H868" t="str">
        <f>INDEX('Additional Product Info.'!$A$1:$C$1001, MATCH('Product Positioning'!$A868, 'Additional Product Info.'!$A$1:$A$1001, 0), MATCH('Product Positioning'!H$1, 'Additional Product Info.'!$A$1:$C$1, 0))</f>
        <v>End-cap</v>
      </c>
      <c r="I868" t="str">
        <f>INDEX('Additional Product Info.'!$A$1:$C$1001, MATCH('Product Positioning'!$A868, 'Additional Product Info.'!$A$1:$A$1001, 0), MATCH('Product Positioning'!I$1, 'Additional Product Info.'!$A$1:$C$1, 0))</f>
        <v>Electronics</v>
      </c>
      <c r="J868" t="str">
        <f>_xlfn.XLOOKUP(A868, $A$1:$A$1001, 'Additional Product Info.'!$D$1:$D$1001)</f>
        <v>No</v>
      </c>
      <c r="K868" s="1">
        <f t="shared" si="26"/>
        <v>19518.25</v>
      </c>
      <c r="L868" s="1">
        <f t="shared" si="27"/>
        <v>2.6000000000000005</v>
      </c>
      <c r="M868" t="str">
        <f>IF(L868&lt;=Statistics!$E$6,"Low Difference",IF('Product Positioning'!L868&gt;=Statistics!$E$4,"High Difference","Moderate Difference"))</f>
        <v>Moderate Difference</v>
      </c>
    </row>
    <row r="869" spans="1:13" x14ac:dyDescent="0.2">
      <c r="A869">
        <v>131452</v>
      </c>
      <c r="B869" s="1">
        <v>28.43</v>
      </c>
      <c r="C869" s="1">
        <v>27.71</v>
      </c>
      <c r="D869">
        <v>1056</v>
      </c>
      <c r="E869" t="str">
        <f>_xlfn.XLOOKUP(A869, 'Customer Information'!$A$1:$A$1001, 'Customer Information'!$B$1:$B$1001)</f>
        <v>Medium</v>
      </c>
      <c r="F869" t="str">
        <f>_xlfn.XLOOKUP(A869, 'Customer Information'!$A$1:$A$1001, 'Customer Information'!$C$1:$C$1001)</f>
        <v>College students</v>
      </c>
      <c r="G869" t="str">
        <f>_xlfn.XLOOKUP('Customer Information'!A869, 'Customer Information'!$A$1:$A$1001, 'Customer Information'!$D$1:$D$1001)</f>
        <v>No</v>
      </c>
      <c r="H869" t="str">
        <f>INDEX('Additional Product Info.'!$A$1:$C$1001, MATCH('Product Positioning'!$A869, 'Additional Product Info.'!$A$1:$A$1001, 0), MATCH('Product Positioning'!H$1, 'Additional Product Info.'!$A$1:$C$1, 0))</f>
        <v>Aisle</v>
      </c>
      <c r="I869" t="str">
        <f>INDEX('Additional Product Info.'!$A$1:$C$1001, MATCH('Product Positioning'!$A869, 'Additional Product Info.'!$A$1:$A$1001, 0), MATCH('Product Positioning'!I$1, 'Additional Product Info.'!$A$1:$C$1, 0))</f>
        <v>Electronics</v>
      </c>
      <c r="J869" t="str">
        <f>_xlfn.XLOOKUP(A869, $A$1:$A$1001, 'Additional Product Info.'!$D$1:$D$1001)</f>
        <v>Yes</v>
      </c>
      <c r="K869" s="1">
        <f t="shared" si="26"/>
        <v>30022.079999999998</v>
      </c>
      <c r="L869" s="1">
        <f t="shared" si="27"/>
        <v>0.71999999999999886</v>
      </c>
      <c r="M869" t="str">
        <f>IF(L869&lt;=Statistics!$E$6,"Low Difference",IF('Product Positioning'!L869&gt;=Statistics!$E$4,"High Difference","Moderate Difference"))</f>
        <v>Low Difference</v>
      </c>
    </row>
    <row r="870" spans="1:13" x14ac:dyDescent="0.2">
      <c r="A870">
        <v>146158</v>
      </c>
      <c r="B870" s="1">
        <v>41.9</v>
      </c>
      <c r="C870" s="1">
        <v>40.31</v>
      </c>
      <c r="D870">
        <v>2737</v>
      </c>
      <c r="E870" t="str">
        <f>_xlfn.XLOOKUP(A870, 'Customer Information'!$A$1:$A$1001, 'Customer Information'!$B$1:$B$1001)</f>
        <v>Medium</v>
      </c>
      <c r="F870" t="str">
        <f>_xlfn.XLOOKUP(A870, 'Customer Information'!$A$1:$A$1001, 'Customer Information'!$C$1:$C$1001)</f>
        <v>Families</v>
      </c>
      <c r="G870" t="str">
        <f>_xlfn.XLOOKUP('Customer Information'!A870, 'Customer Information'!$A$1:$A$1001, 'Customer Information'!$D$1:$D$1001)</f>
        <v>Yes</v>
      </c>
      <c r="H870" t="str">
        <f>INDEX('Additional Product Info.'!$A$1:$C$1001, MATCH('Product Positioning'!$A870, 'Additional Product Info.'!$A$1:$A$1001, 0), MATCH('Product Positioning'!H$1, 'Additional Product Info.'!$A$1:$C$1, 0))</f>
        <v>End-cap</v>
      </c>
      <c r="I870" t="str">
        <f>INDEX('Additional Product Info.'!$A$1:$C$1001, MATCH('Product Positioning'!$A870, 'Additional Product Info.'!$A$1:$A$1001, 0), MATCH('Product Positioning'!I$1, 'Additional Product Info.'!$A$1:$C$1, 0))</f>
        <v>Food</v>
      </c>
      <c r="J870" t="str">
        <f>_xlfn.XLOOKUP(A870, $A$1:$A$1001, 'Additional Product Info.'!$D$1:$D$1001)</f>
        <v>Yes</v>
      </c>
      <c r="K870" s="1">
        <f t="shared" si="26"/>
        <v>114680.3</v>
      </c>
      <c r="L870" s="1">
        <f t="shared" si="27"/>
        <v>1.5899999999999963</v>
      </c>
      <c r="M870" t="str">
        <f>IF(L870&lt;=Statistics!$E$6,"Low Difference",IF('Product Positioning'!L870&gt;=Statistics!$E$4,"High Difference","Moderate Difference"))</f>
        <v>Moderate Difference</v>
      </c>
    </row>
    <row r="871" spans="1:13" x14ac:dyDescent="0.2">
      <c r="A871">
        <v>144475</v>
      </c>
      <c r="B871" s="1">
        <v>23.7</v>
      </c>
      <c r="C871" s="1">
        <v>19.850000000000001</v>
      </c>
      <c r="D871">
        <v>957</v>
      </c>
      <c r="E871" t="str">
        <f>_xlfn.XLOOKUP(A871, 'Customer Information'!$A$1:$A$1001, 'Customer Information'!$B$1:$B$1001)</f>
        <v>Medium</v>
      </c>
      <c r="F871" t="str">
        <f>_xlfn.XLOOKUP(A871, 'Customer Information'!$A$1:$A$1001, 'Customer Information'!$C$1:$C$1001)</f>
        <v>Young adults</v>
      </c>
      <c r="G871" t="str">
        <f>_xlfn.XLOOKUP('Customer Information'!A871, 'Customer Information'!$A$1:$A$1001, 'Customer Information'!$D$1:$D$1001)</f>
        <v>No</v>
      </c>
      <c r="H871" t="str">
        <f>INDEX('Additional Product Info.'!$A$1:$C$1001, MATCH('Product Positioning'!$A871, 'Additional Product Info.'!$A$1:$A$1001, 0), MATCH('Product Positioning'!H$1, 'Additional Product Info.'!$A$1:$C$1, 0))</f>
        <v>Aisle</v>
      </c>
      <c r="I871" t="str">
        <f>INDEX('Additional Product Info.'!$A$1:$C$1001, MATCH('Product Positioning'!$A871, 'Additional Product Info.'!$A$1:$A$1001, 0), MATCH('Product Positioning'!I$1, 'Additional Product Info.'!$A$1:$C$1, 0))</f>
        <v>Clothing</v>
      </c>
      <c r="J871" t="str">
        <f>_xlfn.XLOOKUP(A871, $A$1:$A$1001, 'Additional Product Info.'!$D$1:$D$1001)</f>
        <v>Yes</v>
      </c>
      <c r="K871" s="1">
        <f t="shared" si="26"/>
        <v>22680.899999999998</v>
      </c>
      <c r="L871" s="1">
        <f t="shared" si="27"/>
        <v>3.8499999999999979</v>
      </c>
      <c r="M871" t="str">
        <f>IF(L871&lt;=Statistics!$E$6,"Low Difference",IF('Product Positioning'!L871&gt;=Statistics!$E$4,"High Difference","Moderate Difference"))</f>
        <v>High Difference</v>
      </c>
    </row>
    <row r="872" spans="1:13" x14ac:dyDescent="0.2">
      <c r="A872">
        <v>120176</v>
      </c>
      <c r="B872" s="1">
        <v>45.03</v>
      </c>
      <c r="C872" s="1">
        <v>44.13</v>
      </c>
      <c r="D872">
        <v>2560</v>
      </c>
      <c r="E872" t="str">
        <f>_xlfn.XLOOKUP(A872, 'Customer Information'!$A$1:$A$1001, 'Customer Information'!$B$1:$B$1001)</f>
        <v>Medium</v>
      </c>
      <c r="F872" t="str">
        <f>_xlfn.XLOOKUP(A872, 'Customer Information'!$A$1:$A$1001, 'Customer Information'!$C$1:$C$1001)</f>
        <v>Seniors</v>
      </c>
      <c r="G872" t="str">
        <f>_xlfn.XLOOKUP('Customer Information'!A872, 'Customer Information'!$A$1:$A$1001, 'Customer Information'!$D$1:$D$1001)</f>
        <v>No</v>
      </c>
      <c r="H872" t="str">
        <f>INDEX('Additional Product Info.'!$A$1:$C$1001, MATCH('Product Positioning'!$A872, 'Additional Product Info.'!$A$1:$A$1001, 0), MATCH('Product Positioning'!H$1, 'Additional Product Info.'!$A$1:$C$1, 0))</f>
        <v>Front of Store</v>
      </c>
      <c r="I872" t="str">
        <f>INDEX('Additional Product Info.'!$A$1:$C$1001, MATCH('Product Positioning'!$A872, 'Additional Product Info.'!$A$1:$A$1001, 0), MATCH('Product Positioning'!I$1, 'Additional Product Info.'!$A$1:$C$1, 0))</f>
        <v>Clothing</v>
      </c>
      <c r="J872" t="str">
        <f>_xlfn.XLOOKUP(A872, $A$1:$A$1001, 'Additional Product Info.'!$D$1:$D$1001)</f>
        <v>No</v>
      </c>
      <c r="K872" s="1">
        <f t="shared" si="26"/>
        <v>115276.8</v>
      </c>
      <c r="L872" s="1">
        <f t="shared" si="27"/>
        <v>0.89999999999999858</v>
      </c>
      <c r="M872" t="str">
        <f>IF(L872&lt;=Statistics!$E$6,"Low Difference",IF('Product Positioning'!L872&gt;=Statistics!$E$4,"High Difference","Moderate Difference"))</f>
        <v>Low Difference</v>
      </c>
    </row>
    <row r="873" spans="1:13" x14ac:dyDescent="0.2">
      <c r="A873">
        <v>156007</v>
      </c>
      <c r="B873" s="1">
        <v>31.89</v>
      </c>
      <c r="C873" s="1">
        <v>27.8</v>
      </c>
      <c r="D873">
        <v>648</v>
      </c>
      <c r="E873" t="str">
        <f>_xlfn.XLOOKUP(A873, 'Customer Information'!$A$1:$A$1001, 'Customer Information'!$B$1:$B$1001)</f>
        <v>Low</v>
      </c>
      <c r="F873" t="str">
        <f>_xlfn.XLOOKUP(A873, 'Customer Information'!$A$1:$A$1001, 'Customer Information'!$C$1:$C$1001)</f>
        <v>College students</v>
      </c>
      <c r="G873" t="str">
        <f>_xlfn.XLOOKUP('Customer Information'!A873, 'Customer Information'!$A$1:$A$1001, 'Customer Information'!$D$1:$D$1001)</f>
        <v>Yes</v>
      </c>
      <c r="H873" t="str">
        <f>INDEX('Additional Product Info.'!$A$1:$C$1001, MATCH('Product Positioning'!$A873, 'Additional Product Info.'!$A$1:$A$1001, 0), MATCH('Product Positioning'!H$1, 'Additional Product Info.'!$A$1:$C$1, 0))</f>
        <v>Aisle</v>
      </c>
      <c r="I873" t="str">
        <f>INDEX('Additional Product Info.'!$A$1:$C$1001, MATCH('Product Positioning'!$A873, 'Additional Product Info.'!$A$1:$A$1001, 0), MATCH('Product Positioning'!I$1, 'Additional Product Info.'!$A$1:$C$1, 0))</f>
        <v>Clothing</v>
      </c>
      <c r="J873" t="str">
        <f>_xlfn.XLOOKUP(A873, $A$1:$A$1001, 'Additional Product Info.'!$D$1:$D$1001)</f>
        <v>No</v>
      </c>
      <c r="K873" s="1">
        <f t="shared" si="26"/>
        <v>20664.72</v>
      </c>
      <c r="L873" s="1">
        <f t="shared" si="27"/>
        <v>4.09</v>
      </c>
      <c r="M873" t="str">
        <f>IF(L873&lt;=Statistics!$E$6,"Low Difference",IF('Product Positioning'!L873&gt;=Statistics!$E$4,"High Difference","Moderate Difference"))</f>
        <v>High Difference</v>
      </c>
    </row>
    <row r="874" spans="1:13" x14ac:dyDescent="0.2">
      <c r="A874">
        <v>138628</v>
      </c>
      <c r="B874" s="1">
        <v>37.83</v>
      </c>
      <c r="C874" s="1">
        <v>33.08</v>
      </c>
      <c r="D874">
        <v>645</v>
      </c>
      <c r="E874" t="str">
        <f>_xlfn.XLOOKUP(A874, 'Customer Information'!$A$1:$A$1001, 'Customer Information'!$B$1:$B$1001)</f>
        <v>Low</v>
      </c>
      <c r="F874" t="str">
        <f>_xlfn.XLOOKUP(A874, 'Customer Information'!$A$1:$A$1001, 'Customer Information'!$C$1:$C$1001)</f>
        <v>Families</v>
      </c>
      <c r="G874" t="str">
        <f>_xlfn.XLOOKUP('Customer Information'!A874, 'Customer Information'!$A$1:$A$1001, 'Customer Information'!$D$1:$D$1001)</f>
        <v>No</v>
      </c>
      <c r="H874" t="str">
        <f>INDEX('Additional Product Info.'!$A$1:$C$1001, MATCH('Product Positioning'!$A874, 'Additional Product Info.'!$A$1:$A$1001, 0), MATCH('Product Positioning'!H$1, 'Additional Product Info.'!$A$1:$C$1, 0))</f>
        <v>Aisle</v>
      </c>
      <c r="I874" t="str">
        <f>INDEX('Additional Product Info.'!$A$1:$C$1001, MATCH('Product Positioning'!$A874, 'Additional Product Info.'!$A$1:$A$1001, 0), MATCH('Product Positioning'!I$1, 'Additional Product Info.'!$A$1:$C$1, 0))</f>
        <v>Food</v>
      </c>
      <c r="J874" t="str">
        <f>_xlfn.XLOOKUP(A874, $A$1:$A$1001, 'Additional Product Info.'!$D$1:$D$1001)</f>
        <v>Yes</v>
      </c>
      <c r="K874" s="1">
        <f t="shared" si="26"/>
        <v>24400.35</v>
      </c>
      <c r="L874" s="1">
        <f t="shared" si="27"/>
        <v>4.75</v>
      </c>
      <c r="M874" t="str">
        <f>IF(L874&lt;=Statistics!$E$6,"Low Difference",IF('Product Positioning'!L874&gt;=Statistics!$E$4,"High Difference","Moderate Difference"))</f>
        <v>High Difference</v>
      </c>
    </row>
    <row r="875" spans="1:13" x14ac:dyDescent="0.2">
      <c r="A875">
        <v>178302</v>
      </c>
      <c r="B875" s="1">
        <v>26.98</v>
      </c>
      <c r="C875" s="1">
        <v>25.17</v>
      </c>
      <c r="D875">
        <v>1725</v>
      </c>
      <c r="E875" t="str">
        <f>_xlfn.XLOOKUP(A875, 'Customer Information'!$A$1:$A$1001, 'Customer Information'!$B$1:$B$1001)</f>
        <v>Medium</v>
      </c>
      <c r="F875" t="str">
        <f>_xlfn.XLOOKUP(A875, 'Customer Information'!$A$1:$A$1001, 'Customer Information'!$C$1:$C$1001)</f>
        <v>Young adults</v>
      </c>
      <c r="G875" t="str">
        <f>_xlfn.XLOOKUP('Customer Information'!A875, 'Customer Information'!$A$1:$A$1001, 'Customer Information'!$D$1:$D$1001)</f>
        <v>Yes</v>
      </c>
      <c r="H875" t="str">
        <f>INDEX('Additional Product Info.'!$A$1:$C$1001, MATCH('Product Positioning'!$A875, 'Additional Product Info.'!$A$1:$A$1001, 0), MATCH('Product Positioning'!H$1, 'Additional Product Info.'!$A$1:$C$1, 0))</f>
        <v>Aisle</v>
      </c>
      <c r="I875" t="str">
        <f>INDEX('Additional Product Info.'!$A$1:$C$1001, MATCH('Product Positioning'!$A875, 'Additional Product Info.'!$A$1:$A$1001, 0), MATCH('Product Positioning'!I$1, 'Additional Product Info.'!$A$1:$C$1, 0))</f>
        <v>Clothing</v>
      </c>
      <c r="J875" t="str">
        <f>_xlfn.XLOOKUP(A875, $A$1:$A$1001, 'Additional Product Info.'!$D$1:$D$1001)</f>
        <v>Yes</v>
      </c>
      <c r="K875" s="1">
        <f t="shared" si="26"/>
        <v>46540.5</v>
      </c>
      <c r="L875" s="1">
        <f t="shared" si="27"/>
        <v>1.8099999999999987</v>
      </c>
      <c r="M875" t="str">
        <f>IF(L875&lt;=Statistics!$E$6,"Low Difference",IF('Product Positioning'!L875&gt;=Statistics!$E$4,"High Difference","Moderate Difference"))</f>
        <v>Moderate Difference</v>
      </c>
    </row>
    <row r="876" spans="1:13" x14ac:dyDescent="0.2">
      <c r="A876">
        <v>144073</v>
      </c>
      <c r="B876" s="1">
        <v>24.73</v>
      </c>
      <c r="C876" s="1">
        <v>21.68</v>
      </c>
      <c r="D876">
        <v>2293</v>
      </c>
      <c r="E876" t="str">
        <f>_xlfn.XLOOKUP(A876, 'Customer Information'!$A$1:$A$1001, 'Customer Information'!$B$1:$B$1001)</f>
        <v>Medium</v>
      </c>
      <c r="F876" t="str">
        <f>_xlfn.XLOOKUP(A876, 'Customer Information'!$A$1:$A$1001, 'Customer Information'!$C$1:$C$1001)</f>
        <v>Young adults</v>
      </c>
      <c r="G876" t="str">
        <f>_xlfn.XLOOKUP('Customer Information'!A876, 'Customer Information'!$A$1:$A$1001, 'Customer Information'!$D$1:$D$1001)</f>
        <v>No</v>
      </c>
      <c r="H876" t="str">
        <f>INDEX('Additional Product Info.'!$A$1:$C$1001, MATCH('Product Positioning'!$A876, 'Additional Product Info.'!$A$1:$A$1001, 0), MATCH('Product Positioning'!H$1, 'Additional Product Info.'!$A$1:$C$1, 0))</f>
        <v>Front of Store</v>
      </c>
      <c r="I876" t="str">
        <f>INDEX('Additional Product Info.'!$A$1:$C$1001, MATCH('Product Positioning'!$A876, 'Additional Product Info.'!$A$1:$A$1001, 0), MATCH('Product Positioning'!I$1, 'Additional Product Info.'!$A$1:$C$1, 0))</f>
        <v>Clothing</v>
      </c>
      <c r="J876" t="str">
        <f>_xlfn.XLOOKUP(A876, $A$1:$A$1001, 'Additional Product Info.'!$D$1:$D$1001)</f>
        <v>Yes</v>
      </c>
      <c r="K876" s="1">
        <f t="shared" si="26"/>
        <v>56705.89</v>
      </c>
      <c r="L876" s="1">
        <f t="shared" si="27"/>
        <v>3.0500000000000007</v>
      </c>
      <c r="M876" t="str">
        <f>IF(L876&lt;=Statistics!$E$6,"Low Difference",IF('Product Positioning'!L876&gt;=Statistics!$E$4,"High Difference","Moderate Difference"))</f>
        <v>Moderate Difference</v>
      </c>
    </row>
    <row r="877" spans="1:13" x14ac:dyDescent="0.2">
      <c r="A877">
        <v>186997</v>
      </c>
      <c r="B877" s="1">
        <v>28.66</v>
      </c>
      <c r="C877" s="1">
        <v>27.62</v>
      </c>
      <c r="D877">
        <v>2064</v>
      </c>
      <c r="E877" t="str">
        <f>_xlfn.XLOOKUP(A877, 'Customer Information'!$A$1:$A$1001, 'Customer Information'!$B$1:$B$1001)</f>
        <v>Low</v>
      </c>
      <c r="F877" t="str">
        <f>_xlfn.XLOOKUP(A877, 'Customer Information'!$A$1:$A$1001, 'Customer Information'!$C$1:$C$1001)</f>
        <v>College students</v>
      </c>
      <c r="G877" t="str">
        <f>_xlfn.XLOOKUP('Customer Information'!A877, 'Customer Information'!$A$1:$A$1001, 'Customer Information'!$D$1:$D$1001)</f>
        <v>Yes</v>
      </c>
      <c r="H877" t="str">
        <f>INDEX('Additional Product Info.'!$A$1:$C$1001, MATCH('Product Positioning'!$A877, 'Additional Product Info.'!$A$1:$A$1001, 0), MATCH('Product Positioning'!H$1, 'Additional Product Info.'!$A$1:$C$1, 0))</f>
        <v>Aisle</v>
      </c>
      <c r="I877" t="str">
        <f>INDEX('Additional Product Info.'!$A$1:$C$1001, MATCH('Product Positioning'!$A877, 'Additional Product Info.'!$A$1:$A$1001, 0), MATCH('Product Positioning'!I$1, 'Additional Product Info.'!$A$1:$C$1, 0))</f>
        <v>Clothing</v>
      </c>
      <c r="J877" t="str">
        <f>_xlfn.XLOOKUP(A877, $A$1:$A$1001, 'Additional Product Info.'!$D$1:$D$1001)</f>
        <v>Yes</v>
      </c>
      <c r="K877" s="1">
        <f t="shared" si="26"/>
        <v>59154.239999999998</v>
      </c>
      <c r="L877" s="1">
        <f t="shared" si="27"/>
        <v>1.0399999999999991</v>
      </c>
      <c r="M877" t="str">
        <f>IF(L877&lt;=Statistics!$E$6,"Low Difference",IF('Product Positioning'!L877&gt;=Statistics!$E$4,"High Difference","Moderate Difference"))</f>
        <v>Low Difference</v>
      </c>
    </row>
    <row r="878" spans="1:13" x14ac:dyDescent="0.2">
      <c r="A878">
        <v>173396</v>
      </c>
      <c r="B878" s="1">
        <v>35.549999999999997</v>
      </c>
      <c r="C878" s="1">
        <v>34.130000000000003</v>
      </c>
      <c r="D878">
        <v>1356</v>
      </c>
      <c r="E878" t="str">
        <f>_xlfn.XLOOKUP(A878, 'Customer Information'!$A$1:$A$1001, 'Customer Information'!$B$1:$B$1001)</f>
        <v>Low</v>
      </c>
      <c r="F878" t="str">
        <f>_xlfn.XLOOKUP(A878, 'Customer Information'!$A$1:$A$1001, 'Customer Information'!$C$1:$C$1001)</f>
        <v>Families</v>
      </c>
      <c r="G878" t="str">
        <f>_xlfn.XLOOKUP('Customer Information'!A878, 'Customer Information'!$A$1:$A$1001, 'Customer Information'!$D$1:$D$1001)</f>
        <v>No</v>
      </c>
      <c r="H878" t="str">
        <f>INDEX('Additional Product Info.'!$A$1:$C$1001, MATCH('Product Positioning'!$A878, 'Additional Product Info.'!$A$1:$A$1001, 0), MATCH('Product Positioning'!H$1, 'Additional Product Info.'!$A$1:$C$1, 0))</f>
        <v>End-cap</v>
      </c>
      <c r="I878" t="str">
        <f>INDEX('Additional Product Info.'!$A$1:$C$1001, MATCH('Product Positioning'!$A878, 'Additional Product Info.'!$A$1:$A$1001, 0), MATCH('Product Positioning'!I$1, 'Additional Product Info.'!$A$1:$C$1, 0))</f>
        <v>Clothing</v>
      </c>
      <c r="J878" t="str">
        <f>_xlfn.XLOOKUP(A878, $A$1:$A$1001, 'Additional Product Info.'!$D$1:$D$1001)</f>
        <v>Yes</v>
      </c>
      <c r="K878" s="1">
        <f t="shared" si="26"/>
        <v>48205.799999999996</v>
      </c>
      <c r="L878" s="1">
        <f t="shared" si="27"/>
        <v>1.4199999999999946</v>
      </c>
      <c r="M878" t="str">
        <f>IF(L878&lt;=Statistics!$E$6,"Low Difference",IF('Product Positioning'!L878&gt;=Statistics!$E$4,"High Difference","Moderate Difference"))</f>
        <v>Moderate Difference</v>
      </c>
    </row>
    <row r="879" spans="1:13" x14ac:dyDescent="0.2">
      <c r="A879">
        <v>115038</v>
      </c>
      <c r="B879" s="1">
        <v>18.36</v>
      </c>
      <c r="C879" s="1">
        <v>16.02</v>
      </c>
      <c r="D879">
        <v>611</v>
      </c>
      <c r="E879" t="str">
        <f>_xlfn.XLOOKUP(A879, 'Customer Information'!$A$1:$A$1001, 'Customer Information'!$B$1:$B$1001)</f>
        <v>Low</v>
      </c>
      <c r="F879" t="str">
        <f>_xlfn.XLOOKUP(A879, 'Customer Information'!$A$1:$A$1001, 'Customer Information'!$C$1:$C$1001)</f>
        <v>College students</v>
      </c>
      <c r="G879" t="str">
        <f>_xlfn.XLOOKUP('Customer Information'!A879, 'Customer Information'!$A$1:$A$1001, 'Customer Information'!$D$1:$D$1001)</f>
        <v>No</v>
      </c>
      <c r="H879" t="str">
        <f>INDEX('Additional Product Info.'!$A$1:$C$1001, MATCH('Product Positioning'!$A879, 'Additional Product Info.'!$A$1:$A$1001, 0), MATCH('Product Positioning'!H$1, 'Additional Product Info.'!$A$1:$C$1, 0))</f>
        <v>End-cap</v>
      </c>
      <c r="I879" t="str">
        <f>INDEX('Additional Product Info.'!$A$1:$C$1001, MATCH('Product Positioning'!$A879, 'Additional Product Info.'!$A$1:$A$1001, 0), MATCH('Product Positioning'!I$1, 'Additional Product Info.'!$A$1:$C$1, 0))</f>
        <v>Clothing</v>
      </c>
      <c r="J879" t="str">
        <f>_xlfn.XLOOKUP(A879, $A$1:$A$1001, 'Additional Product Info.'!$D$1:$D$1001)</f>
        <v>Yes</v>
      </c>
      <c r="K879" s="1">
        <f t="shared" si="26"/>
        <v>11217.96</v>
      </c>
      <c r="L879" s="1">
        <f t="shared" si="27"/>
        <v>2.34</v>
      </c>
      <c r="M879" t="str">
        <f>IF(L879&lt;=Statistics!$E$6,"Low Difference",IF('Product Positioning'!L879&gt;=Statistics!$E$4,"High Difference","Moderate Difference"))</f>
        <v>Moderate Difference</v>
      </c>
    </row>
    <row r="880" spans="1:13" x14ac:dyDescent="0.2">
      <c r="A880">
        <v>151967</v>
      </c>
      <c r="B880" s="1">
        <v>31.14</v>
      </c>
      <c r="C880" s="1">
        <v>30.98</v>
      </c>
      <c r="D880">
        <v>2680</v>
      </c>
      <c r="E880" t="str">
        <f>_xlfn.XLOOKUP(A880, 'Customer Information'!$A$1:$A$1001, 'Customer Information'!$B$1:$B$1001)</f>
        <v>Medium</v>
      </c>
      <c r="F880" t="str">
        <f>_xlfn.XLOOKUP(A880, 'Customer Information'!$A$1:$A$1001, 'Customer Information'!$C$1:$C$1001)</f>
        <v>Young adults</v>
      </c>
      <c r="G880" t="str">
        <f>_xlfn.XLOOKUP('Customer Information'!A880, 'Customer Information'!$A$1:$A$1001, 'Customer Information'!$D$1:$D$1001)</f>
        <v>Yes</v>
      </c>
      <c r="H880" t="str">
        <f>INDEX('Additional Product Info.'!$A$1:$C$1001, MATCH('Product Positioning'!$A880, 'Additional Product Info.'!$A$1:$A$1001, 0), MATCH('Product Positioning'!H$1, 'Additional Product Info.'!$A$1:$C$1, 0))</f>
        <v>Front of Store</v>
      </c>
      <c r="I880" t="str">
        <f>INDEX('Additional Product Info.'!$A$1:$C$1001, MATCH('Product Positioning'!$A880, 'Additional Product Info.'!$A$1:$A$1001, 0), MATCH('Product Positioning'!I$1, 'Additional Product Info.'!$A$1:$C$1, 0))</f>
        <v>Clothing</v>
      </c>
      <c r="J880" t="str">
        <f>_xlfn.XLOOKUP(A880, $A$1:$A$1001, 'Additional Product Info.'!$D$1:$D$1001)</f>
        <v>Yes</v>
      </c>
      <c r="K880" s="1">
        <f t="shared" si="26"/>
        <v>83455.199999999997</v>
      </c>
      <c r="L880" s="1">
        <f t="shared" si="27"/>
        <v>0.16000000000000014</v>
      </c>
      <c r="M880" t="str">
        <f>IF(L880&lt;=Statistics!$E$6,"Low Difference",IF('Product Positioning'!L880&gt;=Statistics!$E$4,"High Difference","Moderate Difference"))</f>
        <v>Low Difference</v>
      </c>
    </row>
    <row r="881" spans="1:13" x14ac:dyDescent="0.2">
      <c r="A881">
        <v>170937</v>
      </c>
      <c r="B881" s="1">
        <v>16.579999999999998</v>
      </c>
      <c r="C881" s="1">
        <v>15.92</v>
      </c>
      <c r="D881">
        <v>507</v>
      </c>
      <c r="E881" t="str">
        <f>_xlfn.XLOOKUP(A881, 'Customer Information'!$A$1:$A$1001, 'Customer Information'!$B$1:$B$1001)</f>
        <v>Low</v>
      </c>
      <c r="F881" t="str">
        <f>_xlfn.XLOOKUP(A881, 'Customer Information'!$A$1:$A$1001, 'Customer Information'!$C$1:$C$1001)</f>
        <v>Young adults</v>
      </c>
      <c r="G881" t="str">
        <f>_xlfn.XLOOKUP('Customer Information'!A881, 'Customer Information'!$A$1:$A$1001, 'Customer Information'!$D$1:$D$1001)</f>
        <v>No</v>
      </c>
      <c r="H881" t="str">
        <f>INDEX('Additional Product Info.'!$A$1:$C$1001, MATCH('Product Positioning'!$A881, 'Additional Product Info.'!$A$1:$A$1001, 0), MATCH('Product Positioning'!H$1, 'Additional Product Info.'!$A$1:$C$1, 0))</f>
        <v>Front of Store</v>
      </c>
      <c r="I881" t="str">
        <f>INDEX('Additional Product Info.'!$A$1:$C$1001, MATCH('Product Positioning'!$A881, 'Additional Product Info.'!$A$1:$A$1001, 0), MATCH('Product Positioning'!I$1, 'Additional Product Info.'!$A$1:$C$1, 0))</f>
        <v>Food</v>
      </c>
      <c r="J881" t="str">
        <f>_xlfn.XLOOKUP(A881, $A$1:$A$1001, 'Additional Product Info.'!$D$1:$D$1001)</f>
        <v>No</v>
      </c>
      <c r="K881" s="1">
        <f t="shared" si="26"/>
        <v>8406.06</v>
      </c>
      <c r="L881" s="1">
        <f t="shared" si="27"/>
        <v>0.65999999999999837</v>
      </c>
      <c r="M881" t="str">
        <f>IF(L881&lt;=Statistics!$E$6,"Low Difference",IF('Product Positioning'!L881&gt;=Statistics!$E$4,"High Difference","Moderate Difference"))</f>
        <v>Low Difference</v>
      </c>
    </row>
    <row r="882" spans="1:13" x14ac:dyDescent="0.2">
      <c r="A882">
        <v>176947</v>
      </c>
      <c r="B882" s="1">
        <v>48.73</v>
      </c>
      <c r="C882" s="1">
        <v>48.41</v>
      </c>
      <c r="D882">
        <v>1562</v>
      </c>
      <c r="E882" t="str">
        <f>_xlfn.XLOOKUP(A882, 'Customer Information'!$A$1:$A$1001, 'Customer Information'!$B$1:$B$1001)</f>
        <v>High</v>
      </c>
      <c r="F882" t="str">
        <f>_xlfn.XLOOKUP(A882, 'Customer Information'!$A$1:$A$1001, 'Customer Information'!$C$1:$C$1001)</f>
        <v>Young adults</v>
      </c>
      <c r="G882" t="str">
        <f>_xlfn.XLOOKUP('Customer Information'!A882, 'Customer Information'!$A$1:$A$1001, 'Customer Information'!$D$1:$D$1001)</f>
        <v>Yes</v>
      </c>
      <c r="H882" t="str">
        <f>INDEX('Additional Product Info.'!$A$1:$C$1001, MATCH('Product Positioning'!$A882, 'Additional Product Info.'!$A$1:$A$1001, 0), MATCH('Product Positioning'!H$1, 'Additional Product Info.'!$A$1:$C$1, 0))</f>
        <v>End-cap</v>
      </c>
      <c r="I882" t="str">
        <f>INDEX('Additional Product Info.'!$A$1:$C$1001, MATCH('Product Positioning'!$A882, 'Additional Product Info.'!$A$1:$A$1001, 0), MATCH('Product Positioning'!I$1, 'Additional Product Info.'!$A$1:$C$1, 0))</f>
        <v>Electronics</v>
      </c>
      <c r="J882" t="str">
        <f>_xlfn.XLOOKUP(A882, $A$1:$A$1001, 'Additional Product Info.'!$D$1:$D$1001)</f>
        <v>No</v>
      </c>
      <c r="K882" s="1">
        <f t="shared" si="26"/>
        <v>76116.259999999995</v>
      </c>
      <c r="L882" s="1">
        <f t="shared" si="27"/>
        <v>0.32000000000000028</v>
      </c>
      <c r="M882" t="str">
        <f>IF(L882&lt;=Statistics!$E$6,"Low Difference",IF('Product Positioning'!L882&gt;=Statistics!$E$4,"High Difference","Moderate Difference"))</f>
        <v>Low Difference</v>
      </c>
    </row>
    <row r="883" spans="1:13" x14ac:dyDescent="0.2">
      <c r="A883">
        <v>181067</v>
      </c>
      <c r="B883" s="1">
        <v>29.39</v>
      </c>
      <c r="C883" s="1">
        <v>26.88</v>
      </c>
      <c r="D883">
        <v>1418</v>
      </c>
      <c r="E883" t="str">
        <f>_xlfn.XLOOKUP(A883, 'Customer Information'!$A$1:$A$1001, 'Customer Information'!$B$1:$B$1001)</f>
        <v>Medium</v>
      </c>
      <c r="F883" t="str">
        <f>_xlfn.XLOOKUP(A883, 'Customer Information'!$A$1:$A$1001, 'Customer Information'!$C$1:$C$1001)</f>
        <v>Seniors</v>
      </c>
      <c r="G883" t="str">
        <f>_xlfn.XLOOKUP('Customer Information'!A883, 'Customer Information'!$A$1:$A$1001, 'Customer Information'!$D$1:$D$1001)</f>
        <v>No</v>
      </c>
      <c r="H883" t="str">
        <f>INDEX('Additional Product Info.'!$A$1:$C$1001, MATCH('Product Positioning'!$A883, 'Additional Product Info.'!$A$1:$A$1001, 0), MATCH('Product Positioning'!H$1, 'Additional Product Info.'!$A$1:$C$1, 0))</f>
        <v>End-cap</v>
      </c>
      <c r="I883" t="str">
        <f>INDEX('Additional Product Info.'!$A$1:$C$1001, MATCH('Product Positioning'!$A883, 'Additional Product Info.'!$A$1:$A$1001, 0), MATCH('Product Positioning'!I$1, 'Additional Product Info.'!$A$1:$C$1, 0))</f>
        <v>Food</v>
      </c>
      <c r="J883" t="str">
        <f>_xlfn.XLOOKUP(A883, $A$1:$A$1001, 'Additional Product Info.'!$D$1:$D$1001)</f>
        <v>No</v>
      </c>
      <c r="K883" s="1">
        <f t="shared" si="26"/>
        <v>41675.020000000004</v>
      </c>
      <c r="L883" s="1">
        <f t="shared" si="27"/>
        <v>2.5100000000000016</v>
      </c>
      <c r="M883" t="str">
        <f>IF(L883&lt;=Statistics!$E$6,"Low Difference",IF('Product Positioning'!L883&gt;=Statistics!$E$4,"High Difference","Moderate Difference"))</f>
        <v>Moderate Difference</v>
      </c>
    </row>
    <row r="884" spans="1:13" x14ac:dyDescent="0.2">
      <c r="A884">
        <v>192831</v>
      </c>
      <c r="B884" s="1">
        <v>26.63</v>
      </c>
      <c r="C884" s="1">
        <v>24.16</v>
      </c>
      <c r="D884">
        <v>762</v>
      </c>
      <c r="E884" t="str">
        <f>_xlfn.XLOOKUP(A884, 'Customer Information'!$A$1:$A$1001, 'Customer Information'!$B$1:$B$1001)</f>
        <v>Low</v>
      </c>
      <c r="F884" t="str">
        <f>_xlfn.XLOOKUP(A884, 'Customer Information'!$A$1:$A$1001, 'Customer Information'!$C$1:$C$1001)</f>
        <v>Young adults</v>
      </c>
      <c r="G884" t="str">
        <f>_xlfn.XLOOKUP('Customer Information'!A884, 'Customer Information'!$A$1:$A$1001, 'Customer Information'!$D$1:$D$1001)</f>
        <v>Yes</v>
      </c>
      <c r="H884" t="str">
        <f>INDEX('Additional Product Info.'!$A$1:$C$1001, MATCH('Product Positioning'!$A884, 'Additional Product Info.'!$A$1:$A$1001, 0), MATCH('Product Positioning'!H$1, 'Additional Product Info.'!$A$1:$C$1, 0))</f>
        <v>Aisle</v>
      </c>
      <c r="I884" t="str">
        <f>INDEX('Additional Product Info.'!$A$1:$C$1001, MATCH('Product Positioning'!$A884, 'Additional Product Info.'!$A$1:$A$1001, 0), MATCH('Product Positioning'!I$1, 'Additional Product Info.'!$A$1:$C$1, 0))</f>
        <v>Clothing</v>
      </c>
      <c r="J884" t="str">
        <f>_xlfn.XLOOKUP(A884, $A$1:$A$1001, 'Additional Product Info.'!$D$1:$D$1001)</f>
        <v>Yes</v>
      </c>
      <c r="K884" s="1">
        <f t="shared" si="26"/>
        <v>20292.059999999998</v>
      </c>
      <c r="L884" s="1">
        <f t="shared" si="27"/>
        <v>2.4699999999999989</v>
      </c>
      <c r="M884" t="str">
        <f>IF(L884&lt;=Statistics!$E$6,"Low Difference",IF('Product Positioning'!L884&gt;=Statistics!$E$4,"High Difference","Moderate Difference"))</f>
        <v>Moderate Difference</v>
      </c>
    </row>
    <row r="885" spans="1:13" x14ac:dyDescent="0.2">
      <c r="A885">
        <v>119838</v>
      </c>
      <c r="B885" s="1">
        <v>25.61</v>
      </c>
      <c r="C885" s="1">
        <v>21.23</v>
      </c>
      <c r="D885">
        <v>2534</v>
      </c>
      <c r="E885" t="str">
        <f>_xlfn.XLOOKUP(A885, 'Customer Information'!$A$1:$A$1001, 'Customer Information'!$B$1:$B$1001)</f>
        <v>Medium</v>
      </c>
      <c r="F885" t="str">
        <f>_xlfn.XLOOKUP(A885, 'Customer Information'!$A$1:$A$1001, 'Customer Information'!$C$1:$C$1001)</f>
        <v>College students</v>
      </c>
      <c r="G885" t="str">
        <f>_xlfn.XLOOKUP('Customer Information'!A885, 'Customer Information'!$A$1:$A$1001, 'Customer Information'!$D$1:$D$1001)</f>
        <v>Yes</v>
      </c>
      <c r="H885" t="str">
        <f>INDEX('Additional Product Info.'!$A$1:$C$1001, MATCH('Product Positioning'!$A885, 'Additional Product Info.'!$A$1:$A$1001, 0), MATCH('Product Positioning'!H$1, 'Additional Product Info.'!$A$1:$C$1, 0))</f>
        <v>Aisle</v>
      </c>
      <c r="I885" t="str">
        <f>INDEX('Additional Product Info.'!$A$1:$C$1001, MATCH('Product Positioning'!$A885, 'Additional Product Info.'!$A$1:$A$1001, 0), MATCH('Product Positioning'!I$1, 'Additional Product Info.'!$A$1:$C$1, 0))</f>
        <v>Electronics</v>
      </c>
      <c r="J885" t="str">
        <f>_xlfn.XLOOKUP(A885, $A$1:$A$1001, 'Additional Product Info.'!$D$1:$D$1001)</f>
        <v>No</v>
      </c>
      <c r="K885" s="1">
        <f t="shared" si="26"/>
        <v>64895.74</v>
      </c>
      <c r="L885" s="1">
        <f t="shared" si="27"/>
        <v>4.379999999999999</v>
      </c>
      <c r="M885" t="str">
        <f>IF(L885&lt;=Statistics!$E$6,"Low Difference",IF('Product Positioning'!L885&gt;=Statistics!$E$4,"High Difference","Moderate Difference"))</f>
        <v>High Difference</v>
      </c>
    </row>
    <row r="886" spans="1:13" x14ac:dyDescent="0.2">
      <c r="A886">
        <v>151923</v>
      </c>
      <c r="B886" s="1">
        <v>48.91</v>
      </c>
      <c r="C886" s="1">
        <v>43.95</v>
      </c>
      <c r="D886">
        <v>1701</v>
      </c>
      <c r="E886" t="str">
        <f>_xlfn.XLOOKUP(A886, 'Customer Information'!$A$1:$A$1001, 'Customer Information'!$B$1:$B$1001)</f>
        <v>Medium</v>
      </c>
      <c r="F886" t="str">
        <f>_xlfn.XLOOKUP(A886, 'Customer Information'!$A$1:$A$1001, 'Customer Information'!$C$1:$C$1001)</f>
        <v>Families</v>
      </c>
      <c r="G886" t="str">
        <f>_xlfn.XLOOKUP('Customer Information'!A886, 'Customer Information'!$A$1:$A$1001, 'Customer Information'!$D$1:$D$1001)</f>
        <v>Yes</v>
      </c>
      <c r="H886" t="str">
        <f>INDEX('Additional Product Info.'!$A$1:$C$1001, MATCH('Product Positioning'!$A886, 'Additional Product Info.'!$A$1:$A$1001, 0), MATCH('Product Positioning'!H$1, 'Additional Product Info.'!$A$1:$C$1, 0))</f>
        <v>Aisle</v>
      </c>
      <c r="I886" t="str">
        <f>INDEX('Additional Product Info.'!$A$1:$C$1001, MATCH('Product Positioning'!$A886, 'Additional Product Info.'!$A$1:$A$1001, 0), MATCH('Product Positioning'!I$1, 'Additional Product Info.'!$A$1:$C$1, 0))</f>
        <v>Food</v>
      </c>
      <c r="J886" t="str">
        <f>_xlfn.XLOOKUP(A886, $A$1:$A$1001, 'Additional Product Info.'!$D$1:$D$1001)</f>
        <v>Yes</v>
      </c>
      <c r="K886" s="1">
        <f t="shared" si="26"/>
        <v>83195.909999999989</v>
      </c>
      <c r="L886" s="1">
        <f t="shared" si="27"/>
        <v>4.9599999999999937</v>
      </c>
      <c r="M886" t="str">
        <f>IF(L886&lt;=Statistics!$E$6,"Low Difference",IF('Product Positioning'!L886&gt;=Statistics!$E$4,"High Difference","Moderate Difference"))</f>
        <v>High Difference</v>
      </c>
    </row>
    <row r="887" spans="1:13" x14ac:dyDescent="0.2">
      <c r="A887">
        <v>186652</v>
      </c>
      <c r="B887" s="1">
        <v>23.64</v>
      </c>
      <c r="C887" s="1">
        <v>18.82</v>
      </c>
      <c r="D887">
        <v>747</v>
      </c>
      <c r="E887" t="str">
        <f>_xlfn.XLOOKUP(A887, 'Customer Information'!$A$1:$A$1001, 'Customer Information'!$B$1:$B$1001)</f>
        <v>Medium</v>
      </c>
      <c r="F887" t="str">
        <f>_xlfn.XLOOKUP(A887, 'Customer Information'!$A$1:$A$1001, 'Customer Information'!$C$1:$C$1001)</f>
        <v>College students</v>
      </c>
      <c r="G887" t="str">
        <f>_xlfn.XLOOKUP('Customer Information'!A887, 'Customer Information'!$A$1:$A$1001, 'Customer Information'!$D$1:$D$1001)</f>
        <v>Yes</v>
      </c>
      <c r="H887" t="str">
        <f>INDEX('Additional Product Info.'!$A$1:$C$1001, MATCH('Product Positioning'!$A887, 'Additional Product Info.'!$A$1:$A$1001, 0), MATCH('Product Positioning'!H$1, 'Additional Product Info.'!$A$1:$C$1, 0))</f>
        <v>End-cap</v>
      </c>
      <c r="I887" t="str">
        <f>INDEX('Additional Product Info.'!$A$1:$C$1001, MATCH('Product Positioning'!$A887, 'Additional Product Info.'!$A$1:$A$1001, 0), MATCH('Product Positioning'!I$1, 'Additional Product Info.'!$A$1:$C$1, 0))</f>
        <v>Clothing</v>
      </c>
      <c r="J887" t="str">
        <f>_xlfn.XLOOKUP(A887, $A$1:$A$1001, 'Additional Product Info.'!$D$1:$D$1001)</f>
        <v>Yes</v>
      </c>
      <c r="K887" s="1">
        <f t="shared" si="26"/>
        <v>17659.080000000002</v>
      </c>
      <c r="L887" s="1">
        <f t="shared" si="27"/>
        <v>4.82</v>
      </c>
      <c r="M887" t="str">
        <f>IF(L887&lt;=Statistics!$E$6,"Low Difference",IF('Product Positioning'!L887&gt;=Statistics!$E$4,"High Difference","Moderate Difference"))</f>
        <v>High Difference</v>
      </c>
    </row>
    <row r="888" spans="1:13" x14ac:dyDescent="0.2">
      <c r="A888">
        <v>169576</v>
      </c>
      <c r="B888" s="1">
        <v>45.3</v>
      </c>
      <c r="C888" s="1">
        <v>43.21</v>
      </c>
      <c r="D888">
        <v>1463</v>
      </c>
      <c r="E888" t="str">
        <f>_xlfn.XLOOKUP(A888, 'Customer Information'!$A$1:$A$1001, 'Customer Information'!$B$1:$B$1001)</f>
        <v>Medium</v>
      </c>
      <c r="F888" t="str">
        <f>_xlfn.XLOOKUP(A888, 'Customer Information'!$A$1:$A$1001, 'Customer Information'!$C$1:$C$1001)</f>
        <v>Seniors</v>
      </c>
      <c r="G888" t="str">
        <f>_xlfn.XLOOKUP('Customer Information'!A888, 'Customer Information'!$A$1:$A$1001, 'Customer Information'!$D$1:$D$1001)</f>
        <v>Yes</v>
      </c>
      <c r="H888" t="str">
        <f>INDEX('Additional Product Info.'!$A$1:$C$1001, MATCH('Product Positioning'!$A888, 'Additional Product Info.'!$A$1:$A$1001, 0), MATCH('Product Positioning'!H$1, 'Additional Product Info.'!$A$1:$C$1, 0))</f>
        <v>Aisle</v>
      </c>
      <c r="I888" t="str">
        <f>INDEX('Additional Product Info.'!$A$1:$C$1001, MATCH('Product Positioning'!$A888, 'Additional Product Info.'!$A$1:$A$1001, 0), MATCH('Product Positioning'!I$1, 'Additional Product Info.'!$A$1:$C$1, 0))</f>
        <v>Clothing</v>
      </c>
      <c r="J888" t="str">
        <f>_xlfn.XLOOKUP(A888, $A$1:$A$1001, 'Additional Product Info.'!$D$1:$D$1001)</f>
        <v>Yes</v>
      </c>
      <c r="K888" s="1">
        <f t="shared" si="26"/>
        <v>66273.899999999994</v>
      </c>
      <c r="L888" s="1">
        <f t="shared" si="27"/>
        <v>2.0899999999999963</v>
      </c>
      <c r="M888" t="str">
        <f>IF(L888&lt;=Statistics!$E$6,"Low Difference",IF('Product Positioning'!L888&gt;=Statistics!$E$4,"High Difference","Moderate Difference"))</f>
        <v>Moderate Difference</v>
      </c>
    </row>
    <row r="889" spans="1:13" x14ac:dyDescent="0.2">
      <c r="A889">
        <v>180911</v>
      </c>
      <c r="B889" s="1">
        <v>22.95</v>
      </c>
      <c r="C889" s="1">
        <v>20.73</v>
      </c>
      <c r="D889">
        <v>1015</v>
      </c>
      <c r="E889" t="str">
        <f>_xlfn.XLOOKUP(A889, 'Customer Information'!$A$1:$A$1001, 'Customer Information'!$B$1:$B$1001)</f>
        <v>Low</v>
      </c>
      <c r="F889" t="str">
        <f>_xlfn.XLOOKUP(A889, 'Customer Information'!$A$1:$A$1001, 'Customer Information'!$C$1:$C$1001)</f>
        <v>Families</v>
      </c>
      <c r="G889" t="str">
        <f>_xlfn.XLOOKUP('Customer Information'!A889, 'Customer Information'!$A$1:$A$1001, 'Customer Information'!$D$1:$D$1001)</f>
        <v>No</v>
      </c>
      <c r="H889" t="str">
        <f>INDEX('Additional Product Info.'!$A$1:$C$1001, MATCH('Product Positioning'!$A889, 'Additional Product Info.'!$A$1:$A$1001, 0), MATCH('Product Positioning'!H$1, 'Additional Product Info.'!$A$1:$C$1, 0))</f>
        <v>End-cap</v>
      </c>
      <c r="I889" t="str">
        <f>INDEX('Additional Product Info.'!$A$1:$C$1001, MATCH('Product Positioning'!$A889, 'Additional Product Info.'!$A$1:$A$1001, 0), MATCH('Product Positioning'!I$1, 'Additional Product Info.'!$A$1:$C$1, 0))</f>
        <v>Electronics</v>
      </c>
      <c r="J889" t="str">
        <f>_xlfn.XLOOKUP(A889, $A$1:$A$1001, 'Additional Product Info.'!$D$1:$D$1001)</f>
        <v>Yes</v>
      </c>
      <c r="K889" s="1">
        <f t="shared" si="26"/>
        <v>23294.25</v>
      </c>
      <c r="L889" s="1">
        <f t="shared" si="27"/>
        <v>2.2199999999999989</v>
      </c>
      <c r="M889" t="str">
        <f>IF(L889&lt;=Statistics!$E$6,"Low Difference",IF('Product Positioning'!L889&gt;=Statistics!$E$4,"High Difference","Moderate Difference"))</f>
        <v>Moderate Difference</v>
      </c>
    </row>
    <row r="890" spans="1:13" x14ac:dyDescent="0.2">
      <c r="A890">
        <v>133294</v>
      </c>
      <c r="B890" s="1">
        <v>41.51</v>
      </c>
      <c r="C890" s="1">
        <v>41.39</v>
      </c>
      <c r="D890">
        <v>2696</v>
      </c>
      <c r="E890" t="str">
        <f>_xlfn.XLOOKUP(A890, 'Customer Information'!$A$1:$A$1001, 'Customer Information'!$B$1:$B$1001)</f>
        <v>Medium</v>
      </c>
      <c r="F890" t="str">
        <f>_xlfn.XLOOKUP(A890, 'Customer Information'!$A$1:$A$1001, 'Customer Information'!$C$1:$C$1001)</f>
        <v>Young adults</v>
      </c>
      <c r="G890" t="str">
        <f>_xlfn.XLOOKUP('Customer Information'!A890, 'Customer Information'!$A$1:$A$1001, 'Customer Information'!$D$1:$D$1001)</f>
        <v>Yes</v>
      </c>
      <c r="H890" t="str">
        <f>INDEX('Additional Product Info.'!$A$1:$C$1001, MATCH('Product Positioning'!$A890, 'Additional Product Info.'!$A$1:$A$1001, 0), MATCH('Product Positioning'!H$1, 'Additional Product Info.'!$A$1:$C$1, 0))</f>
        <v>Front of Store</v>
      </c>
      <c r="I890" t="str">
        <f>INDEX('Additional Product Info.'!$A$1:$C$1001, MATCH('Product Positioning'!$A890, 'Additional Product Info.'!$A$1:$A$1001, 0), MATCH('Product Positioning'!I$1, 'Additional Product Info.'!$A$1:$C$1, 0))</f>
        <v>Food</v>
      </c>
      <c r="J890" t="str">
        <f>_xlfn.XLOOKUP(A890, $A$1:$A$1001, 'Additional Product Info.'!$D$1:$D$1001)</f>
        <v>No</v>
      </c>
      <c r="K890" s="1">
        <f t="shared" si="26"/>
        <v>111910.95999999999</v>
      </c>
      <c r="L890" s="1">
        <f t="shared" si="27"/>
        <v>0.11999999999999744</v>
      </c>
      <c r="M890" t="str">
        <f>IF(L890&lt;=Statistics!$E$6,"Low Difference",IF('Product Positioning'!L890&gt;=Statistics!$E$4,"High Difference","Moderate Difference"))</f>
        <v>Low Difference</v>
      </c>
    </row>
    <row r="891" spans="1:13" x14ac:dyDescent="0.2">
      <c r="A891">
        <v>135689</v>
      </c>
      <c r="B891" s="1">
        <v>43.26</v>
      </c>
      <c r="C891" s="1">
        <v>39.549999999999997</v>
      </c>
      <c r="D891">
        <v>1063</v>
      </c>
      <c r="E891" t="str">
        <f>_xlfn.XLOOKUP(A891, 'Customer Information'!$A$1:$A$1001, 'Customer Information'!$B$1:$B$1001)</f>
        <v>Medium</v>
      </c>
      <c r="F891" t="str">
        <f>_xlfn.XLOOKUP(A891, 'Customer Information'!$A$1:$A$1001, 'Customer Information'!$C$1:$C$1001)</f>
        <v>Families</v>
      </c>
      <c r="G891" t="str">
        <f>_xlfn.XLOOKUP('Customer Information'!A891, 'Customer Information'!$A$1:$A$1001, 'Customer Information'!$D$1:$D$1001)</f>
        <v>Yes</v>
      </c>
      <c r="H891" t="str">
        <f>INDEX('Additional Product Info.'!$A$1:$C$1001, MATCH('Product Positioning'!$A891, 'Additional Product Info.'!$A$1:$A$1001, 0), MATCH('Product Positioning'!H$1, 'Additional Product Info.'!$A$1:$C$1, 0))</f>
        <v>End-cap</v>
      </c>
      <c r="I891" t="str">
        <f>INDEX('Additional Product Info.'!$A$1:$C$1001, MATCH('Product Positioning'!$A891, 'Additional Product Info.'!$A$1:$A$1001, 0), MATCH('Product Positioning'!I$1, 'Additional Product Info.'!$A$1:$C$1, 0))</f>
        <v>Electronics</v>
      </c>
      <c r="J891" t="str">
        <f>_xlfn.XLOOKUP(A891, $A$1:$A$1001, 'Additional Product Info.'!$D$1:$D$1001)</f>
        <v>Yes</v>
      </c>
      <c r="K891" s="1">
        <f t="shared" si="26"/>
        <v>45985.38</v>
      </c>
      <c r="L891" s="1">
        <f t="shared" si="27"/>
        <v>3.7100000000000009</v>
      </c>
      <c r="M891" t="str">
        <f>IF(L891&lt;=Statistics!$E$6,"Low Difference",IF('Product Positioning'!L891&gt;=Statistics!$E$4,"High Difference","Moderate Difference"))</f>
        <v>High Difference</v>
      </c>
    </row>
    <row r="892" spans="1:13" x14ac:dyDescent="0.2">
      <c r="A892">
        <v>190951</v>
      </c>
      <c r="B892" s="1">
        <v>44.53</v>
      </c>
      <c r="C892" s="1">
        <v>40.86</v>
      </c>
      <c r="D892">
        <v>2472</v>
      </c>
      <c r="E892" t="str">
        <f>_xlfn.XLOOKUP(A892, 'Customer Information'!$A$1:$A$1001, 'Customer Information'!$B$1:$B$1001)</f>
        <v>High</v>
      </c>
      <c r="F892" t="str">
        <f>_xlfn.XLOOKUP(A892, 'Customer Information'!$A$1:$A$1001, 'Customer Information'!$C$1:$C$1001)</f>
        <v>Seniors</v>
      </c>
      <c r="G892" t="str">
        <f>_xlfn.XLOOKUP('Customer Information'!A892, 'Customer Information'!$A$1:$A$1001, 'Customer Information'!$D$1:$D$1001)</f>
        <v>No</v>
      </c>
      <c r="H892" t="str">
        <f>INDEX('Additional Product Info.'!$A$1:$C$1001, MATCH('Product Positioning'!$A892, 'Additional Product Info.'!$A$1:$A$1001, 0), MATCH('Product Positioning'!H$1, 'Additional Product Info.'!$A$1:$C$1, 0))</f>
        <v>Aisle</v>
      </c>
      <c r="I892" t="str">
        <f>INDEX('Additional Product Info.'!$A$1:$C$1001, MATCH('Product Positioning'!$A892, 'Additional Product Info.'!$A$1:$A$1001, 0), MATCH('Product Positioning'!I$1, 'Additional Product Info.'!$A$1:$C$1, 0))</f>
        <v>Electronics</v>
      </c>
      <c r="J892" t="str">
        <f>_xlfn.XLOOKUP(A892, $A$1:$A$1001, 'Additional Product Info.'!$D$1:$D$1001)</f>
        <v>No</v>
      </c>
      <c r="K892" s="1">
        <f t="shared" si="26"/>
        <v>110078.16</v>
      </c>
      <c r="L892" s="1">
        <f t="shared" si="27"/>
        <v>3.6700000000000017</v>
      </c>
      <c r="M892" t="str">
        <f>IF(L892&lt;=Statistics!$E$6,"Low Difference",IF('Product Positioning'!L892&gt;=Statistics!$E$4,"High Difference","Moderate Difference"))</f>
        <v>Moderate Difference</v>
      </c>
    </row>
    <row r="893" spans="1:13" x14ac:dyDescent="0.2">
      <c r="A893">
        <v>163002</v>
      </c>
      <c r="B893" s="1">
        <v>6.35</v>
      </c>
      <c r="C893" s="1">
        <v>3.89</v>
      </c>
      <c r="D893">
        <v>1270</v>
      </c>
      <c r="E893" t="str">
        <f>_xlfn.XLOOKUP(A893, 'Customer Information'!$A$1:$A$1001, 'Customer Information'!$B$1:$B$1001)</f>
        <v>High</v>
      </c>
      <c r="F893" t="str">
        <f>_xlfn.XLOOKUP(A893, 'Customer Information'!$A$1:$A$1001, 'Customer Information'!$C$1:$C$1001)</f>
        <v>Young adults</v>
      </c>
      <c r="G893" t="str">
        <f>_xlfn.XLOOKUP('Customer Information'!A893, 'Customer Information'!$A$1:$A$1001, 'Customer Information'!$D$1:$D$1001)</f>
        <v>Yes</v>
      </c>
      <c r="H893" t="str">
        <f>INDEX('Additional Product Info.'!$A$1:$C$1001, MATCH('Product Positioning'!$A893, 'Additional Product Info.'!$A$1:$A$1001, 0), MATCH('Product Positioning'!H$1, 'Additional Product Info.'!$A$1:$C$1, 0))</f>
        <v>Front of Store</v>
      </c>
      <c r="I893" t="str">
        <f>INDEX('Additional Product Info.'!$A$1:$C$1001, MATCH('Product Positioning'!$A893, 'Additional Product Info.'!$A$1:$A$1001, 0), MATCH('Product Positioning'!I$1, 'Additional Product Info.'!$A$1:$C$1, 0))</f>
        <v>Clothing</v>
      </c>
      <c r="J893" t="str">
        <f>_xlfn.XLOOKUP(A893, $A$1:$A$1001, 'Additional Product Info.'!$D$1:$D$1001)</f>
        <v>No</v>
      </c>
      <c r="K893" s="1">
        <f t="shared" si="26"/>
        <v>8064.5</v>
      </c>
      <c r="L893" s="1">
        <f t="shared" si="27"/>
        <v>2.4599999999999995</v>
      </c>
      <c r="M893" t="str">
        <f>IF(L893&lt;=Statistics!$E$6,"Low Difference",IF('Product Positioning'!L893&gt;=Statistics!$E$4,"High Difference","Moderate Difference"))</f>
        <v>Moderate Difference</v>
      </c>
    </row>
    <row r="894" spans="1:13" x14ac:dyDescent="0.2">
      <c r="A894">
        <v>190010</v>
      </c>
      <c r="B894" s="1">
        <v>28.45</v>
      </c>
      <c r="C894" s="1">
        <v>24.96</v>
      </c>
      <c r="D894">
        <v>2312</v>
      </c>
      <c r="E894" t="str">
        <f>_xlfn.XLOOKUP(A894, 'Customer Information'!$A$1:$A$1001, 'Customer Information'!$B$1:$B$1001)</f>
        <v>Medium</v>
      </c>
      <c r="F894" t="str">
        <f>_xlfn.XLOOKUP(A894, 'Customer Information'!$A$1:$A$1001, 'Customer Information'!$C$1:$C$1001)</f>
        <v>College students</v>
      </c>
      <c r="G894" t="str">
        <f>_xlfn.XLOOKUP('Customer Information'!A894, 'Customer Information'!$A$1:$A$1001, 'Customer Information'!$D$1:$D$1001)</f>
        <v>Yes</v>
      </c>
      <c r="H894" t="str">
        <f>INDEX('Additional Product Info.'!$A$1:$C$1001, MATCH('Product Positioning'!$A894, 'Additional Product Info.'!$A$1:$A$1001, 0), MATCH('Product Positioning'!H$1, 'Additional Product Info.'!$A$1:$C$1, 0))</f>
        <v>Aisle</v>
      </c>
      <c r="I894" t="str">
        <f>INDEX('Additional Product Info.'!$A$1:$C$1001, MATCH('Product Positioning'!$A894, 'Additional Product Info.'!$A$1:$A$1001, 0), MATCH('Product Positioning'!I$1, 'Additional Product Info.'!$A$1:$C$1, 0))</f>
        <v>Clothing</v>
      </c>
      <c r="J894" t="str">
        <f>_xlfn.XLOOKUP(A894, $A$1:$A$1001, 'Additional Product Info.'!$D$1:$D$1001)</f>
        <v>No</v>
      </c>
      <c r="K894" s="1">
        <f t="shared" si="26"/>
        <v>65776.399999999994</v>
      </c>
      <c r="L894" s="1">
        <f t="shared" si="27"/>
        <v>3.4899999999999984</v>
      </c>
      <c r="M894" t="str">
        <f>IF(L894&lt;=Statistics!$E$6,"Low Difference",IF('Product Positioning'!L894&gt;=Statistics!$E$4,"High Difference","Moderate Difference"))</f>
        <v>Moderate Difference</v>
      </c>
    </row>
    <row r="895" spans="1:13" x14ac:dyDescent="0.2">
      <c r="A895">
        <v>177516</v>
      </c>
      <c r="B895" s="1">
        <v>9.19</v>
      </c>
      <c r="C895" s="1">
        <v>4.71</v>
      </c>
      <c r="D895">
        <v>2082</v>
      </c>
      <c r="E895" t="str">
        <f>_xlfn.XLOOKUP(A895, 'Customer Information'!$A$1:$A$1001, 'Customer Information'!$B$1:$B$1001)</f>
        <v>Low</v>
      </c>
      <c r="F895" t="str">
        <f>_xlfn.XLOOKUP(A895, 'Customer Information'!$A$1:$A$1001, 'Customer Information'!$C$1:$C$1001)</f>
        <v>Families</v>
      </c>
      <c r="G895" t="str">
        <f>_xlfn.XLOOKUP('Customer Information'!A895, 'Customer Information'!$A$1:$A$1001, 'Customer Information'!$D$1:$D$1001)</f>
        <v>No</v>
      </c>
      <c r="H895" t="str">
        <f>INDEX('Additional Product Info.'!$A$1:$C$1001, MATCH('Product Positioning'!$A895, 'Additional Product Info.'!$A$1:$A$1001, 0), MATCH('Product Positioning'!H$1, 'Additional Product Info.'!$A$1:$C$1, 0))</f>
        <v>Aisle</v>
      </c>
      <c r="I895" t="str">
        <f>INDEX('Additional Product Info.'!$A$1:$C$1001, MATCH('Product Positioning'!$A895, 'Additional Product Info.'!$A$1:$A$1001, 0), MATCH('Product Positioning'!I$1, 'Additional Product Info.'!$A$1:$C$1, 0))</f>
        <v>Food</v>
      </c>
      <c r="J895" t="str">
        <f>_xlfn.XLOOKUP(A895, $A$1:$A$1001, 'Additional Product Info.'!$D$1:$D$1001)</f>
        <v>Yes</v>
      </c>
      <c r="K895" s="1">
        <f t="shared" si="26"/>
        <v>19133.579999999998</v>
      </c>
      <c r="L895" s="1">
        <f t="shared" si="27"/>
        <v>4.4799999999999995</v>
      </c>
      <c r="M895" t="str">
        <f>IF(L895&lt;=Statistics!$E$6,"Low Difference",IF('Product Positioning'!L895&gt;=Statistics!$E$4,"High Difference","Moderate Difference"))</f>
        <v>High Difference</v>
      </c>
    </row>
    <row r="896" spans="1:13" x14ac:dyDescent="0.2">
      <c r="A896">
        <v>113847</v>
      </c>
      <c r="B896" s="1">
        <v>31.3</v>
      </c>
      <c r="C896" s="1">
        <v>27.14</v>
      </c>
      <c r="D896">
        <v>712</v>
      </c>
      <c r="E896" t="str">
        <f>_xlfn.XLOOKUP(A896, 'Customer Information'!$A$1:$A$1001, 'Customer Information'!$B$1:$B$1001)</f>
        <v>High</v>
      </c>
      <c r="F896" t="str">
        <f>_xlfn.XLOOKUP(A896, 'Customer Information'!$A$1:$A$1001, 'Customer Information'!$C$1:$C$1001)</f>
        <v>Families</v>
      </c>
      <c r="G896" t="str">
        <f>_xlfn.XLOOKUP('Customer Information'!A896, 'Customer Information'!$A$1:$A$1001, 'Customer Information'!$D$1:$D$1001)</f>
        <v>No</v>
      </c>
      <c r="H896" t="str">
        <f>INDEX('Additional Product Info.'!$A$1:$C$1001, MATCH('Product Positioning'!$A896, 'Additional Product Info.'!$A$1:$A$1001, 0), MATCH('Product Positioning'!H$1, 'Additional Product Info.'!$A$1:$C$1, 0))</f>
        <v>Front of Store</v>
      </c>
      <c r="I896" t="str">
        <f>INDEX('Additional Product Info.'!$A$1:$C$1001, MATCH('Product Positioning'!$A896, 'Additional Product Info.'!$A$1:$A$1001, 0), MATCH('Product Positioning'!I$1, 'Additional Product Info.'!$A$1:$C$1, 0))</f>
        <v>Food</v>
      </c>
      <c r="J896" t="str">
        <f>_xlfn.XLOOKUP(A896, $A$1:$A$1001, 'Additional Product Info.'!$D$1:$D$1001)</f>
        <v>No</v>
      </c>
      <c r="K896" s="1">
        <f t="shared" si="26"/>
        <v>22285.600000000002</v>
      </c>
      <c r="L896" s="1">
        <f t="shared" si="27"/>
        <v>4.16</v>
      </c>
      <c r="M896" t="str">
        <f>IF(L896&lt;=Statistics!$E$6,"Low Difference",IF('Product Positioning'!L896&gt;=Statistics!$E$4,"High Difference","Moderate Difference"))</f>
        <v>High Difference</v>
      </c>
    </row>
    <row r="897" spans="1:13" x14ac:dyDescent="0.2">
      <c r="A897">
        <v>114370</v>
      </c>
      <c r="B897" s="1">
        <v>49.5</v>
      </c>
      <c r="C897" s="1">
        <v>45.77</v>
      </c>
      <c r="D897">
        <v>1017</v>
      </c>
      <c r="E897" t="str">
        <f>_xlfn.XLOOKUP(A897, 'Customer Information'!$A$1:$A$1001, 'Customer Information'!$B$1:$B$1001)</f>
        <v>Medium</v>
      </c>
      <c r="F897" t="str">
        <f>_xlfn.XLOOKUP(A897, 'Customer Information'!$A$1:$A$1001, 'Customer Information'!$C$1:$C$1001)</f>
        <v>College students</v>
      </c>
      <c r="G897" t="str">
        <f>_xlfn.XLOOKUP('Customer Information'!A897, 'Customer Information'!$A$1:$A$1001, 'Customer Information'!$D$1:$D$1001)</f>
        <v>Yes</v>
      </c>
      <c r="H897" t="str">
        <f>INDEX('Additional Product Info.'!$A$1:$C$1001, MATCH('Product Positioning'!$A897, 'Additional Product Info.'!$A$1:$A$1001, 0), MATCH('Product Positioning'!H$1, 'Additional Product Info.'!$A$1:$C$1, 0))</f>
        <v>Aisle</v>
      </c>
      <c r="I897" t="str">
        <f>INDEX('Additional Product Info.'!$A$1:$C$1001, MATCH('Product Positioning'!$A897, 'Additional Product Info.'!$A$1:$A$1001, 0), MATCH('Product Positioning'!I$1, 'Additional Product Info.'!$A$1:$C$1, 0))</f>
        <v>Clothing</v>
      </c>
      <c r="J897" t="str">
        <f>_xlfn.XLOOKUP(A897, $A$1:$A$1001, 'Additional Product Info.'!$D$1:$D$1001)</f>
        <v>No</v>
      </c>
      <c r="K897" s="1">
        <f t="shared" si="26"/>
        <v>50341.5</v>
      </c>
      <c r="L897" s="1">
        <f t="shared" si="27"/>
        <v>3.7299999999999969</v>
      </c>
      <c r="M897" t="str">
        <f>IF(L897&lt;=Statistics!$E$6,"Low Difference",IF('Product Positioning'!L897&gt;=Statistics!$E$4,"High Difference","Moderate Difference"))</f>
        <v>High Difference</v>
      </c>
    </row>
    <row r="898" spans="1:13" x14ac:dyDescent="0.2">
      <c r="A898">
        <v>154002</v>
      </c>
      <c r="B898" s="1">
        <v>28.11</v>
      </c>
      <c r="C898" s="1">
        <v>27.36</v>
      </c>
      <c r="D898">
        <v>887</v>
      </c>
      <c r="E898" t="str">
        <f>_xlfn.XLOOKUP(A898, 'Customer Information'!$A$1:$A$1001, 'Customer Information'!$B$1:$B$1001)</f>
        <v>High</v>
      </c>
      <c r="F898" t="str">
        <f>_xlfn.XLOOKUP(A898, 'Customer Information'!$A$1:$A$1001, 'Customer Information'!$C$1:$C$1001)</f>
        <v>Families</v>
      </c>
      <c r="G898" t="str">
        <f>_xlfn.XLOOKUP('Customer Information'!A898, 'Customer Information'!$A$1:$A$1001, 'Customer Information'!$D$1:$D$1001)</f>
        <v>Yes</v>
      </c>
      <c r="H898" t="str">
        <f>INDEX('Additional Product Info.'!$A$1:$C$1001, MATCH('Product Positioning'!$A898, 'Additional Product Info.'!$A$1:$A$1001, 0), MATCH('Product Positioning'!H$1, 'Additional Product Info.'!$A$1:$C$1, 0))</f>
        <v>Aisle</v>
      </c>
      <c r="I898" t="str">
        <f>INDEX('Additional Product Info.'!$A$1:$C$1001, MATCH('Product Positioning'!$A898, 'Additional Product Info.'!$A$1:$A$1001, 0), MATCH('Product Positioning'!I$1, 'Additional Product Info.'!$A$1:$C$1, 0))</f>
        <v>Food</v>
      </c>
      <c r="J898" t="str">
        <f>_xlfn.XLOOKUP(A898, $A$1:$A$1001, 'Additional Product Info.'!$D$1:$D$1001)</f>
        <v>No</v>
      </c>
      <c r="K898" s="1">
        <f t="shared" ref="K898:K961" si="28">B898*D898</f>
        <v>24933.57</v>
      </c>
      <c r="L898" s="1">
        <f t="shared" ref="L898:L961" si="29">ABS(B898-C898)</f>
        <v>0.75</v>
      </c>
      <c r="M898" t="str">
        <f>IF(L898&lt;=Statistics!$E$6,"Low Difference",IF('Product Positioning'!L898&gt;=Statistics!$E$4,"High Difference","Moderate Difference"))</f>
        <v>Low Difference</v>
      </c>
    </row>
    <row r="899" spans="1:13" x14ac:dyDescent="0.2">
      <c r="A899">
        <v>125057</v>
      </c>
      <c r="B899" s="1">
        <v>30.59</v>
      </c>
      <c r="C899" s="1">
        <v>30</v>
      </c>
      <c r="D899">
        <v>660</v>
      </c>
      <c r="E899" t="str">
        <f>_xlfn.XLOOKUP(A899, 'Customer Information'!$A$1:$A$1001, 'Customer Information'!$B$1:$B$1001)</f>
        <v>Medium</v>
      </c>
      <c r="F899" t="str">
        <f>_xlfn.XLOOKUP(A899, 'Customer Information'!$A$1:$A$1001, 'Customer Information'!$C$1:$C$1001)</f>
        <v>College students</v>
      </c>
      <c r="G899" t="str">
        <f>_xlfn.XLOOKUP('Customer Information'!A899, 'Customer Information'!$A$1:$A$1001, 'Customer Information'!$D$1:$D$1001)</f>
        <v>Yes</v>
      </c>
      <c r="H899" t="str">
        <f>INDEX('Additional Product Info.'!$A$1:$C$1001, MATCH('Product Positioning'!$A899, 'Additional Product Info.'!$A$1:$A$1001, 0), MATCH('Product Positioning'!H$1, 'Additional Product Info.'!$A$1:$C$1, 0))</f>
        <v>End-cap</v>
      </c>
      <c r="I899" t="str">
        <f>INDEX('Additional Product Info.'!$A$1:$C$1001, MATCH('Product Positioning'!$A899, 'Additional Product Info.'!$A$1:$A$1001, 0), MATCH('Product Positioning'!I$1, 'Additional Product Info.'!$A$1:$C$1, 0))</f>
        <v>Food</v>
      </c>
      <c r="J899" t="str">
        <f>_xlfn.XLOOKUP(A899, $A$1:$A$1001, 'Additional Product Info.'!$D$1:$D$1001)</f>
        <v>Yes</v>
      </c>
      <c r="K899" s="1">
        <f t="shared" si="28"/>
        <v>20189.400000000001</v>
      </c>
      <c r="L899" s="1">
        <f t="shared" si="29"/>
        <v>0.58999999999999986</v>
      </c>
      <c r="M899" t="str">
        <f>IF(L899&lt;=Statistics!$E$6,"Low Difference",IF('Product Positioning'!L899&gt;=Statistics!$E$4,"High Difference","Moderate Difference"))</f>
        <v>Low Difference</v>
      </c>
    </row>
    <row r="900" spans="1:13" x14ac:dyDescent="0.2">
      <c r="A900">
        <v>159070</v>
      </c>
      <c r="B900" s="1">
        <v>19.25</v>
      </c>
      <c r="C900" s="1">
        <v>18.54</v>
      </c>
      <c r="D900">
        <v>1280</v>
      </c>
      <c r="E900" t="str">
        <f>_xlfn.XLOOKUP(A900, 'Customer Information'!$A$1:$A$1001, 'Customer Information'!$B$1:$B$1001)</f>
        <v>High</v>
      </c>
      <c r="F900" t="str">
        <f>_xlfn.XLOOKUP(A900, 'Customer Information'!$A$1:$A$1001, 'Customer Information'!$C$1:$C$1001)</f>
        <v>College students</v>
      </c>
      <c r="G900" t="str">
        <f>_xlfn.XLOOKUP('Customer Information'!A900, 'Customer Information'!$A$1:$A$1001, 'Customer Information'!$D$1:$D$1001)</f>
        <v>No</v>
      </c>
      <c r="H900" t="str">
        <f>INDEX('Additional Product Info.'!$A$1:$C$1001, MATCH('Product Positioning'!$A900, 'Additional Product Info.'!$A$1:$A$1001, 0), MATCH('Product Positioning'!H$1, 'Additional Product Info.'!$A$1:$C$1, 0))</f>
        <v>End-cap</v>
      </c>
      <c r="I900" t="str">
        <f>INDEX('Additional Product Info.'!$A$1:$C$1001, MATCH('Product Positioning'!$A900, 'Additional Product Info.'!$A$1:$A$1001, 0), MATCH('Product Positioning'!I$1, 'Additional Product Info.'!$A$1:$C$1, 0))</f>
        <v>Electronics</v>
      </c>
      <c r="J900" t="str">
        <f>_xlfn.XLOOKUP(A900, $A$1:$A$1001, 'Additional Product Info.'!$D$1:$D$1001)</f>
        <v>Yes</v>
      </c>
      <c r="K900" s="1">
        <f t="shared" si="28"/>
        <v>24640</v>
      </c>
      <c r="L900" s="1">
        <f t="shared" si="29"/>
        <v>0.71000000000000085</v>
      </c>
      <c r="M900" t="str">
        <f>IF(L900&lt;=Statistics!$E$6,"Low Difference",IF('Product Positioning'!L900&gt;=Statistics!$E$4,"High Difference","Moderate Difference"))</f>
        <v>Low Difference</v>
      </c>
    </row>
    <row r="901" spans="1:13" x14ac:dyDescent="0.2">
      <c r="A901">
        <v>167705</v>
      </c>
      <c r="B901" s="1">
        <v>15.21</v>
      </c>
      <c r="C901" s="1">
        <v>13.53</v>
      </c>
      <c r="D901">
        <v>2196</v>
      </c>
      <c r="E901" t="str">
        <f>_xlfn.XLOOKUP(A901, 'Customer Information'!$A$1:$A$1001, 'Customer Information'!$B$1:$B$1001)</f>
        <v>Medium</v>
      </c>
      <c r="F901" t="str">
        <f>_xlfn.XLOOKUP(A901, 'Customer Information'!$A$1:$A$1001, 'Customer Information'!$C$1:$C$1001)</f>
        <v>Families</v>
      </c>
      <c r="G901" t="str">
        <f>_xlfn.XLOOKUP('Customer Information'!A901, 'Customer Information'!$A$1:$A$1001, 'Customer Information'!$D$1:$D$1001)</f>
        <v>Yes</v>
      </c>
      <c r="H901" t="str">
        <f>INDEX('Additional Product Info.'!$A$1:$C$1001, MATCH('Product Positioning'!$A901, 'Additional Product Info.'!$A$1:$A$1001, 0), MATCH('Product Positioning'!H$1, 'Additional Product Info.'!$A$1:$C$1, 0))</f>
        <v>Front of Store</v>
      </c>
      <c r="I901" t="str">
        <f>INDEX('Additional Product Info.'!$A$1:$C$1001, MATCH('Product Positioning'!$A901, 'Additional Product Info.'!$A$1:$A$1001, 0), MATCH('Product Positioning'!I$1, 'Additional Product Info.'!$A$1:$C$1, 0))</f>
        <v>Electronics</v>
      </c>
      <c r="J901" t="str">
        <f>_xlfn.XLOOKUP(A901, $A$1:$A$1001, 'Additional Product Info.'!$D$1:$D$1001)</f>
        <v>Yes</v>
      </c>
      <c r="K901" s="1">
        <f t="shared" si="28"/>
        <v>33401.160000000003</v>
      </c>
      <c r="L901" s="1">
        <f t="shared" si="29"/>
        <v>1.6800000000000015</v>
      </c>
      <c r="M901" t="str">
        <f>IF(L901&lt;=Statistics!$E$6,"Low Difference",IF('Product Positioning'!L901&gt;=Statistics!$E$4,"High Difference","Moderate Difference"))</f>
        <v>Moderate Difference</v>
      </c>
    </row>
    <row r="902" spans="1:13" x14ac:dyDescent="0.2">
      <c r="A902">
        <v>177177</v>
      </c>
      <c r="B902" s="1">
        <v>24.9</v>
      </c>
      <c r="C902" s="1">
        <v>24.44</v>
      </c>
      <c r="D902">
        <v>1432</v>
      </c>
      <c r="E902" t="str">
        <f>_xlfn.XLOOKUP(A902, 'Customer Information'!$A$1:$A$1001, 'Customer Information'!$B$1:$B$1001)</f>
        <v>High</v>
      </c>
      <c r="F902" t="str">
        <f>_xlfn.XLOOKUP(A902, 'Customer Information'!$A$1:$A$1001, 'Customer Information'!$C$1:$C$1001)</f>
        <v>College students</v>
      </c>
      <c r="G902" t="str">
        <f>_xlfn.XLOOKUP('Customer Information'!A902, 'Customer Information'!$A$1:$A$1001, 'Customer Information'!$D$1:$D$1001)</f>
        <v>Yes</v>
      </c>
      <c r="H902" t="str">
        <f>INDEX('Additional Product Info.'!$A$1:$C$1001, MATCH('Product Positioning'!$A902, 'Additional Product Info.'!$A$1:$A$1001, 0), MATCH('Product Positioning'!H$1, 'Additional Product Info.'!$A$1:$C$1, 0))</f>
        <v>Aisle</v>
      </c>
      <c r="I902" t="str">
        <f>INDEX('Additional Product Info.'!$A$1:$C$1001, MATCH('Product Positioning'!$A902, 'Additional Product Info.'!$A$1:$A$1001, 0), MATCH('Product Positioning'!I$1, 'Additional Product Info.'!$A$1:$C$1, 0))</f>
        <v>Electronics</v>
      </c>
      <c r="J902" t="str">
        <f>_xlfn.XLOOKUP(A902, $A$1:$A$1001, 'Additional Product Info.'!$D$1:$D$1001)</f>
        <v>Yes</v>
      </c>
      <c r="K902" s="1">
        <f t="shared" si="28"/>
        <v>35656.799999999996</v>
      </c>
      <c r="L902" s="1">
        <f t="shared" si="29"/>
        <v>0.4599999999999973</v>
      </c>
      <c r="M902" t="str">
        <f>IF(L902&lt;=Statistics!$E$6,"Low Difference",IF('Product Positioning'!L902&gt;=Statistics!$E$4,"High Difference","Moderate Difference"))</f>
        <v>Low Difference</v>
      </c>
    </row>
    <row r="903" spans="1:13" x14ac:dyDescent="0.2">
      <c r="A903">
        <v>192619</v>
      </c>
      <c r="B903" s="1">
        <v>26.75</v>
      </c>
      <c r="C903" s="1">
        <v>22.76</v>
      </c>
      <c r="D903">
        <v>2279</v>
      </c>
      <c r="E903" t="str">
        <f>_xlfn.XLOOKUP(A903, 'Customer Information'!$A$1:$A$1001, 'Customer Information'!$B$1:$B$1001)</f>
        <v>High</v>
      </c>
      <c r="F903" t="str">
        <f>_xlfn.XLOOKUP(A903, 'Customer Information'!$A$1:$A$1001, 'Customer Information'!$C$1:$C$1001)</f>
        <v>College students</v>
      </c>
      <c r="G903" t="str">
        <f>_xlfn.XLOOKUP('Customer Information'!A903, 'Customer Information'!$A$1:$A$1001, 'Customer Information'!$D$1:$D$1001)</f>
        <v>Yes</v>
      </c>
      <c r="H903" t="str">
        <f>INDEX('Additional Product Info.'!$A$1:$C$1001, MATCH('Product Positioning'!$A903, 'Additional Product Info.'!$A$1:$A$1001, 0), MATCH('Product Positioning'!H$1, 'Additional Product Info.'!$A$1:$C$1, 0))</f>
        <v>Aisle</v>
      </c>
      <c r="I903" t="str">
        <f>INDEX('Additional Product Info.'!$A$1:$C$1001, MATCH('Product Positioning'!$A903, 'Additional Product Info.'!$A$1:$A$1001, 0), MATCH('Product Positioning'!I$1, 'Additional Product Info.'!$A$1:$C$1, 0))</f>
        <v>Food</v>
      </c>
      <c r="J903" t="str">
        <f>_xlfn.XLOOKUP(A903, $A$1:$A$1001, 'Additional Product Info.'!$D$1:$D$1001)</f>
        <v>No</v>
      </c>
      <c r="K903" s="1">
        <f t="shared" si="28"/>
        <v>60963.25</v>
      </c>
      <c r="L903" s="1">
        <f t="shared" si="29"/>
        <v>3.9899999999999984</v>
      </c>
      <c r="M903" t="str">
        <f>IF(L903&lt;=Statistics!$E$6,"Low Difference",IF('Product Positioning'!L903&gt;=Statistics!$E$4,"High Difference","Moderate Difference"))</f>
        <v>High Difference</v>
      </c>
    </row>
    <row r="904" spans="1:13" x14ac:dyDescent="0.2">
      <c r="A904">
        <v>121605</v>
      </c>
      <c r="B904" s="1">
        <v>13.58</v>
      </c>
      <c r="C904" s="1">
        <v>11.21</v>
      </c>
      <c r="D904">
        <v>1145</v>
      </c>
      <c r="E904" t="str">
        <f>_xlfn.XLOOKUP(A904, 'Customer Information'!$A$1:$A$1001, 'Customer Information'!$B$1:$B$1001)</f>
        <v>Low</v>
      </c>
      <c r="F904" t="str">
        <f>_xlfn.XLOOKUP(A904, 'Customer Information'!$A$1:$A$1001, 'Customer Information'!$C$1:$C$1001)</f>
        <v>Young adults</v>
      </c>
      <c r="G904" t="str">
        <f>_xlfn.XLOOKUP('Customer Information'!A904, 'Customer Information'!$A$1:$A$1001, 'Customer Information'!$D$1:$D$1001)</f>
        <v>No</v>
      </c>
      <c r="H904" t="str">
        <f>INDEX('Additional Product Info.'!$A$1:$C$1001, MATCH('Product Positioning'!$A904, 'Additional Product Info.'!$A$1:$A$1001, 0), MATCH('Product Positioning'!H$1, 'Additional Product Info.'!$A$1:$C$1, 0))</f>
        <v>Front of Store</v>
      </c>
      <c r="I904" t="str">
        <f>INDEX('Additional Product Info.'!$A$1:$C$1001, MATCH('Product Positioning'!$A904, 'Additional Product Info.'!$A$1:$A$1001, 0), MATCH('Product Positioning'!I$1, 'Additional Product Info.'!$A$1:$C$1, 0))</f>
        <v>Electronics</v>
      </c>
      <c r="J904" t="str">
        <f>_xlfn.XLOOKUP(A904, $A$1:$A$1001, 'Additional Product Info.'!$D$1:$D$1001)</f>
        <v>No</v>
      </c>
      <c r="K904" s="1">
        <f t="shared" si="28"/>
        <v>15549.1</v>
      </c>
      <c r="L904" s="1">
        <f t="shared" si="29"/>
        <v>2.3699999999999992</v>
      </c>
      <c r="M904" t="str">
        <f>IF(L904&lt;=Statistics!$E$6,"Low Difference",IF('Product Positioning'!L904&gt;=Statistics!$E$4,"High Difference","Moderate Difference"))</f>
        <v>Moderate Difference</v>
      </c>
    </row>
    <row r="905" spans="1:13" x14ac:dyDescent="0.2">
      <c r="A905">
        <v>149245</v>
      </c>
      <c r="B905" s="1">
        <v>10.6</v>
      </c>
      <c r="C905" s="1">
        <v>7.52</v>
      </c>
      <c r="D905">
        <v>771</v>
      </c>
      <c r="E905" t="str">
        <f>_xlfn.XLOOKUP(A905, 'Customer Information'!$A$1:$A$1001, 'Customer Information'!$B$1:$B$1001)</f>
        <v>High</v>
      </c>
      <c r="F905" t="str">
        <f>_xlfn.XLOOKUP(A905, 'Customer Information'!$A$1:$A$1001, 'Customer Information'!$C$1:$C$1001)</f>
        <v>College students</v>
      </c>
      <c r="G905" t="str">
        <f>_xlfn.XLOOKUP('Customer Information'!A905, 'Customer Information'!$A$1:$A$1001, 'Customer Information'!$D$1:$D$1001)</f>
        <v>No</v>
      </c>
      <c r="H905" t="str">
        <f>INDEX('Additional Product Info.'!$A$1:$C$1001, MATCH('Product Positioning'!$A905, 'Additional Product Info.'!$A$1:$A$1001, 0), MATCH('Product Positioning'!H$1, 'Additional Product Info.'!$A$1:$C$1, 0))</f>
        <v>End-cap</v>
      </c>
      <c r="I905" t="str">
        <f>INDEX('Additional Product Info.'!$A$1:$C$1001, MATCH('Product Positioning'!$A905, 'Additional Product Info.'!$A$1:$A$1001, 0), MATCH('Product Positioning'!I$1, 'Additional Product Info.'!$A$1:$C$1, 0))</f>
        <v>Electronics</v>
      </c>
      <c r="J905" t="str">
        <f>_xlfn.XLOOKUP(A905, $A$1:$A$1001, 'Additional Product Info.'!$D$1:$D$1001)</f>
        <v>No</v>
      </c>
      <c r="K905" s="1">
        <f t="shared" si="28"/>
        <v>8172.5999999999995</v>
      </c>
      <c r="L905" s="1">
        <f t="shared" si="29"/>
        <v>3.08</v>
      </c>
      <c r="M905" t="str">
        <f>IF(L905&lt;=Statistics!$E$6,"Low Difference",IF('Product Positioning'!L905&gt;=Statistics!$E$4,"High Difference","Moderate Difference"))</f>
        <v>Moderate Difference</v>
      </c>
    </row>
    <row r="906" spans="1:13" x14ac:dyDescent="0.2">
      <c r="A906">
        <v>194369</v>
      </c>
      <c r="B906" s="1">
        <v>9.81</v>
      </c>
      <c r="C906" s="1">
        <v>9.5299999999999994</v>
      </c>
      <c r="D906">
        <v>2548</v>
      </c>
      <c r="E906" t="str">
        <f>_xlfn.XLOOKUP(A906, 'Customer Information'!$A$1:$A$1001, 'Customer Information'!$B$1:$B$1001)</f>
        <v>High</v>
      </c>
      <c r="F906" t="str">
        <f>_xlfn.XLOOKUP(A906, 'Customer Information'!$A$1:$A$1001, 'Customer Information'!$C$1:$C$1001)</f>
        <v>College students</v>
      </c>
      <c r="G906" t="str">
        <f>_xlfn.XLOOKUP('Customer Information'!A906, 'Customer Information'!$A$1:$A$1001, 'Customer Information'!$D$1:$D$1001)</f>
        <v>No</v>
      </c>
      <c r="H906" t="str">
        <f>INDEX('Additional Product Info.'!$A$1:$C$1001, MATCH('Product Positioning'!$A906, 'Additional Product Info.'!$A$1:$A$1001, 0), MATCH('Product Positioning'!H$1, 'Additional Product Info.'!$A$1:$C$1, 0))</f>
        <v>Aisle</v>
      </c>
      <c r="I906" t="str">
        <f>INDEX('Additional Product Info.'!$A$1:$C$1001, MATCH('Product Positioning'!$A906, 'Additional Product Info.'!$A$1:$A$1001, 0), MATCH('Product Positioning'!I$1, 'Additional Product Info.'!$A$1:$C$1, 0))</f>
        <v>Food</v>
      </c>
      <c r="J906" t="str">
        <f>_xlfn.XLOOKUP(A906, $A$1:$A$1001, 'Additional Product Info.'!$D$1:$D$1001)</f>
        <v>Yes</v>
      </c>
      <c r="K906" s="1">
        <f t="shared" si="28"/>
        <v>24995.88</v>
      </c>
      <c r="L906" s="1">
        <f t="shared" si="29"/>
        <v>0.28000000000000114</v>
      </c>
      <c r="M906" t="str">
        <f>IF(L906&lt;=Statistics!$E$6,"Low Difference",IF('Product Positioning'!L906&gt;=Statistics!$E$4,"High Difference","Moderate Difference"))</f>
        <v>Low Difference</v>
      </c>
    </row>
    <row r="907" spans="1:13" x14ac:dyDescent="0.2">
      <c r="A907">
        <v>135894</v>
      </c>
      <c r="B907" s="1">
        <v>36.9</v>
      </c>
      <c r="C907" s="1">
        <v>33.72</v>
      </c>
      <c r="D907">
        <v>1640</v>
      </c>
      <c r="E907" t="str">
        <f>_xlfn.XLOOKUP(A907, 'Customer Information'!$A$1:$A$1001, 'Customer Information'!$B$1:$B$1001)</f>
        <v>Low</v>
      </c>
      <c r="F907" t="str">
        <f>_xlfn.XLOOKUP(A907, 'Customer Information'!$A$1:$A$1001, 'Customer Information'!$C$1:$C$1001)</f>
        <v>Families</v>
      </c>
      <c r="G907" t="str">
        <f>_xlfn.XLOOKUP('Customer Information'!A907, 'Customer Information'!$A$1:$A$1001, 'Customer Information'!$D$1:$D$1001)</f>
        <v>Yes</v>
      </c>
      <c r="H907" t="str">
        <f>INDEX('Additional Product Info.'!$A$1:$C$1001, MATCH('Product Positioning'!$A907, 'Additional Product Info.'!$A$1:$A$1001, 0), MATCH('Product Positioning'!H$1, 'Additional Product Info.'!$A$1:$C$1, 0))</f>
        <v>End-cap</v>
      </c>
      <c r="I907" t="str">
        <f>INDEX('Additional Product Info.'!$A$1:$C$1001, MATCH('Product Positioning'!$A907, 'Additional Product Info.'!$A$1:$A$1001, 0), MATCH('Product Positioning'!I$1, 'Additional Product Info.'!$A$1:$C$1, 0))</f>
        <v>Electronics</v>
      </c>
      <c r="J907" t="str">
        <f>_xlfn.XLOOKUP(A907, $A$1:$A$1001, 'Additional Product Info.'!$D$1:$D$1001)</f>
        <v>Yes</v>
      </c>
      <c r="K907" s="1">
        <f t="shared" si="28"/>
        <v>60516</v>
      </c>
      <c r="L907" s="1">
        <f t="shared" si="29"/>
        <v>3.1799999999999997</v>
      </c>
      <c r="M907" t="str">
        <f>IF(L907&lt;=Statistics!$E$6,"Low Difference",IF('Product Positioning'!L907&gt;=Statistics!$E$4,"High Difference","Moderate Difference"))</f>
        <v>Moderate Difference</v>
      </c>
    </row>
    <row r="908" spans="1:13" x14ac:dyDescent="0.2">
      <c r="A908">
        <v>127177</v>
      </c>
      <c r="B908" s="1">
        <v>35.44</v>
      </c>
      <c r="C908" s="1">
        <v>30.67</v>
      </c>
      <c r="D908">
        <v>565</v>
      </c>
      <c r="E908" t="str">
        <f>_xlfn.XLOOKUP(A908, 'Customer Information'!$A$1:$A$1001, 'Customer Information'!$B$1:$B$1001)</f>
        <v>Medium</v>
      </c>
      <c r="F908" t="str">
        <f>_xlfn.XLOOKUP(A908, 'Customer Information'!$A$1:$A$1001, 'Customer Information'!$C$1:$C$1001)</f>
        <v>Families</v>
      </c>
      <c r="G908" t="str">
        <f>_xlfn.XLOOKUP('Customer Information'!A908, 'Customer Information'!$A$1:$A$1001, 'Customer Information'!$D$1:$D$1001)</f>
        <v>Yes</v>
      </c>
      <c r="H908" t="str">
        <f>INDEX('Additional Product Info.'!$A$1:$C$1001, MATCH('Product Positioning'!$A908, 'Additional Product Info.'!$A$1:$A$1001, 0), MATCH('Product Positioning'!H$1, 'Additional Product Info.'!$A$1:$C$1, 0))</f>
        <v>End-cap</v>
      </c>
      <c r="I908" t="str">
        <f>INDEX('Additional Product Info.'!$A$1:$C$1001, MATCH('Product Positioning'!$A908, 'Additional Product Info.'!$A$1:$A$1001, 0), MATCH('Product Positioning'!I$1, 'Additional Product Info.'!$A$1:$C$1, 0))</f>
        <v>Electronics</v>
      </c>
      <c r="J908" t="str">
        <f>_xlfn.XLOOKUP(A908, $A$1:$A$1001, 'Additional Product Info.'!$D$1:$D$1001)</f>
        <v>No</v>
      </c>
      <c r="K908" s="1">
        <f t="shared" si="28"/>
        <v>20023.599999999999</v>
      </c>
      <c r="L908" s="1">
        <f t="shared" si="29"/>
        <v>4.769999999999996</v>
      </c>
      <c r="M908" t="str">
        <f>IF(L908&lt;=Statistics!$E$6,"Low Difference",IF('Product Positioning'!L908&gt;=Statistics!$E$4,"High Difference","Moderate Difference"))</f>
        <v>High Difference</v>
      </c>
    </row>
    <row r="909" spans="1:13" x14ac:dyDescent="0.2">
      <c r="A909">
        <v>144780</v>
      </c>
      <c r="B909" s="1">
        <v>7.65</v>
      </c>
      <c r="C909" s="1">
        <v>4.84</v>
      </c>
      <c r="D909">
        <v>1272</v>
      </c>
      <c r="E909" t="str">
        <f>_xlfn.XLOOKUP(A909, 'Customer Information'!$A$1:$A$1001, 'Customer Information'!$B$1:$B$1001)</f>
        <v>High</v>
      </c>
      <c r="F909" t="str">
        <f>_xlfn.XLOOKUP(A909, 'Customer Information'!$A$1:$A$1001, 'Customer Information'!$C$1:$C$1001)</f>
        <v>Families</v>
      </c>
      <c r="G909" t="str">
        <f>_xlfn.XLOOKUP('Customer Information'!A909, 'Customer Information'!$A$1:$A$1001, 'Customer Information'!$D$1:$D$1001)</f>
        <v>Yes</v>
      </c>
      <c r="H909" t="str">
        <f>INDEX('Additional Product Info.'!$A$1:$C$1001, MATCH('Product Positioning'!$A909, 'Additional Product Info.'!$A$1:$A$1001, 0), MATCH('Product Positioning'!H$1, 'Additional Product Info.'!$A$1:$C$1, 0))</f>
        <v>Front of Store</v>
      </c>
      <c r="I909" t="str">
        <f>INDEX('Additional Product Info.'!$A$1:$C$1001, MATCH('Product Positioning'!$A909, 'Additional Product Info.'!$A$1:$A$1001, 0), MATCH('Product Positioning'!I$1, 'Additional Product Info.'!$A$1:$C$1, 0))</f>
        <v>Electronics</v>
      </c>
      <c r="J909" t="str">
        <f>_xlfn.XLOOKUP(A909, $A$1:$A$1001, 'Additional Product Info.'!$D$1:$D$1001)</f>
        <v>No</v>
      </c>
      <c r="K909" s="1">
        <f t="shared" si="28"/>
        <v>9730.8000000000011</v>
      </c>
      <c r="L909" s="1">
        <f t="shared" si="29"/>
        <v>2.8100000000000005</v>
      </c>
      <c r="M909" t="str">
        <f>IF(L909&lt;=Statistics!$E$6,"Low Difference",IF('Product Positioning'!L909&gt;=Statistics!$E$4,"High Difference","Moderate Difference"))</f>
        <v>Moderate Difference</v>
      </c>
    </row>
    <row r="910" spans="1:13" x14ac:dyDescent="0.2">
      <c r="A910">
        <v>189870</v>
      </c>
      <c r="B910" s="1">
        <v>49.31</v>
      </c>
      <c r="C910" s="1">
        <v>44.8</v>
      </c>
      <c r="D910">
        <v>582</v>
      </c>
      <c r="E910" t="str">
        <f>_xlfn.XLOOKUP(A910, 'Customer Information'!$A$1:$A$1001, 'Customer Information'!$B$1:$B$1001)</f>
        <v>Low</v>
      </c>
      <c r="F910" t="str">
        <f>_xlfn.XLOOKUP(A910, 'Customer Information'!$A$1:$A$1001, 'Customer Information'!$C$1:$C$1001)</f>
        <v>Young adults</v>
      </c>
      <c r="G910" t="str">
        <f>_xlfn.XLOOKUP('Customer Information'!A910, 'Customer Information'!$A$1:$A$1001, 'Customer Information'!$D$1:$D$1001)</f>
        <v>Yes</v>
      </c>
      <c r="H910" t="str">
        <f>INDEX('Additional Product Info.'!$A$1:$C$1001, MATCH('Product Positioning'!$A910, 'Additional Product Info.'!$A$1:$A$1001, 0), MATCH('Product Positioning'!H$1, 'Additional Product Info.'!$A$1:$C$1, 0))</f>
        <v>End-cap</v>
      </c>
      <c r="I910" t="str">
        <f>INDEX('Additional Product Info.'!$A$1:$C$1001, MATCH('Product Positioning'!$A910, 'Additional Product Info.'!$A$1:$A$1001, 0), MATCH('Product Positioning'!I$1, 'Additional Product Info.'!$A$1:$C$1, 0))</f>
        <v>Electronics</v>
      </c>
      <c r="J910" t="str">
        <f>_xlfn.XLOOKUP(A910, $A$1:$A$1001, 'Additional Product Info.'!$D$1:$D$1001)</f>
        <v>Yes</v>
      </c>
      <c r="K910" s="1">
        <f t="shared" si="28"/>
        <v>28698.420000000002</v>
      </c>
      <c r="L910" s="1">
        <f t="shared" si="29"/>
        <v>4.5100000000000051</v>
      </c>
      <c r="M910" t="str">
        <f>IF(L910&lt;=Statistics!$E$6,"Low Difference",IF('Product Positioning'!L910&gt;=Statistics!$E$4,"High Difference","Moderate Difference"))</f>
        <v>High Difference</v>
      </c>
    </row>
    <row r="911" spans="1:13" x14ac:dyDescent="0.2">
      <c r="A911">
        <v>179236</v>
      </c>
      <c r="B911" s="1">
        <v>33.409999999999997</v>
      </c>
      <c r="C911" s="1">
        <v>28.67</v>
      </c>
      <c r="D911">
        <v>1270</v>
      </c>
      <c r="E911" t="str">
        <f>_xlfn.XLOOKUP(A911, 'Customer Information'!$A$1:$A$1001, 'Customer Information'!$B$1:$B$1001)</f>
        <v>Medium</v>
      </c>
      <c r="F911" t="str">
        <f>_xlfn.XLOOKUP(A911, 'Customer Information'!$A$1:$A$1001, 'Customer Information'!$C$1:$C$1001)</f>
        <v>Families</v>
      </c>
      <c r="G911" t="str">
        <f>_xlfn.XLOOKUP('Customer Information'!A911, 'Customer Information'!$A$1:$A$1001, 'Customer Information'!$D$1:$D$1001)</f>
        <v>Yes</v>
      </c>
      <c r="H911" t="str">
        <f>INDEX('Additional Product Info.'!$A$1:$C$1001, MATCH('Product Positioning'!$A911, 'Additional Product Info.'!$A$1:$A$1001, 0), MATCH('Product Positioning'!H$1, 'Additional Product Info.'!$A$1:$C$1, 0))</f>
        <v>End-cap</v>
      </c>
      <c r="I911" t="str">
        <f>INDEX('Additional Product Info.'!$A$1:$C$1001, MATCH('Product Positioning'!$A911, 'Additional Product Info.'!$A$1:$A$1001, 0), MATCH('Product Positioning'!I$1, 'Additional Product Info.'!$A$1:$C$1, 0))</f>
        <v>Clothing</v>
      </c>
      <c r="J911" t="str">
        <f>_xlfn.XLOOKUP(A911, $A$1:$A$1001, 'Additional Product Info.'!$D$1:$D$1001)</f>
        <v>Yes</v>
      </c>
      <c r="K911" s="1">
        <f t="shared" si="28"/>
        <v>42430.7</v>
      </c>
      <c r="L911" s="1">
        <f t="shared" si="29"/>
        <v>4.7399999999999949</v>
      </c>
      <c r="M911" t="str">
        <f>IF(L911&lt;=Statistics!$E$6,"Low Difference",IF('Product Positioning'!L911&gt;=Statistics!$E$4,"High Difference","Moderate Difference"))</f>
        <v>High Difference</v>
      </c>
    </row>
    <row r="912" spans="1:13" x14ac:dyDescent="0.2">
      <c r="A912">
        <v>134887</v>
      </c>
      <c r="B912" s="1">
        <v>47.79</v>
      </c>
      <c r="C912" s="1">
        <v>46.97</v>
      </c>
      <c r="D912">
        <v>2118</v>
      </c>
      <c r="E912" t="str">
        <f>_xlfn.XLOOKUP(A912, 'Customer Information'!$A$1:$A$1001, 'Customer Information'!$B$1:$B$1001)</f>
        <v>Low</v>
      </c>
      <c r="F912" t="str">
        <f>_xlfn.XLOOKUP(A912, 'Customer Information'!$A$1:$A$1001, 'Customer Information'!$C$1:$C$1001)</f>
        <v>Seniors</v>
      </c>
      <c r="G912" t="str">
        <f>_xlfn.XLOOKUP('Customer Information'!A912, 'Customer Information'!$A$1:$A$1001, 'Customer Information'!$D$1:$D$1001)</f>
        <v>No</v>
      </c>
      <c r="H912" t="str">
        <f>INDEX('Additional Product Info.'!$A$1:$C$1001, MATCH('Product Positioning'!$A912, 'Additional Product Info.'!$A$1:$A$1001, 0), MATCH('Product Positioning'!H$1, 'Additional Product Info.'!$A$1:$C$1, 0))</f>
        <v>End-cap</v>
      </c>
      <c r="I912" t="str">
        <f>INDEX('Additional Product Info.'!$A$1:$C$1001, MATCH('Product Positioning'!$A912, 'Additional Product Info.'!$A$1:$A$1001, 0), MATCH('Product Positioning'!I$1, 'Additional Product Info.'!$A$1:$C$1, 0))</f>
        <v>Electronics</v>
      </c>
      <c r="J912" t="str">
        <f>_xlfn.XLOOKUP(A912, $A$1:$A$1001, 'Additional Product Info.'!$D$1:$D$1001)</f>
        <v>Yes</v>
      </c>
      <c r="K912" s="1">
        <f t="shared" si="28"/>
        <v>101219.22</v>
      </c>
      <c r="L912" s="1">
        <f t="shared" si="29"/>
        <v>0.82000000000000028</v>
      </c>
      <c r="M912" t="str">
        <f>IF(L912&lt;=Statistics!$E$6,"Low Difference",IF('Product Positioning'!L912&gt;=Statistics!$E$4,"High Difference","Moderate Difference"))</f>
        <v>Low Difference</v>
      </c>
    </row>
    <row r="913" spans="1:13" x14ac:dyDescent="0.2">
      <c r="A913">
        <v>190184</v>
      </c>
      <c r="B913" s="1">
        <v>44.54</v>
      </c>
      <c r="C913" s="1">
        <v>42.2</v>
      </c>
      <c r="D913">
        <v>2820</v>
      </c>
      <c r="E913" t="str">
        <f>_xlfn.XLOOKUP(A913, 'Customer Information'!$A$1:$A$1001, 'Customer Information'!$B$1:$B$1001)</f>
        <v>Low</v>
      </c>
      <c r="F913" t="str">
        <f>_xlfn.XLOOKUP(A913, 'Customer Information'!$A$1:$A$1001, 'Customer Information'!$C$1:$C$1001)</f>
        <v>College students</v>
      </c>
      <c r="G913" t="str">
        <f>_xlfn.XLOOKUP('Customer Information'!A913, 'Customer Information'!$A$1:$A$1001, 'Customer Information'!$D$1:$D$1001)</f>
        <v>No</v>
      </c>
      <c r="H913" t="str">
        <f>INDEX('Additional Product Info.'!$A$1:$C$1001, MATCH('Product Positioning'!$A913, 'Additional Product Info.'!$A$1:$A$1001, 0), MATCH('Product Positioning'!H$1, 'Additional Product Info.'!$A$1:$C$1, 0))</f>
        <v>End-cap</v>
      </c>
      <c r="I913" t="str">
        <f>INDEX('Additional Product Info.'!$A$1:$C$1001, MATCH('Product Positioning'!$A913, 'Additional Product Info.'!$A$1:$A$1001, 0), MATCH('Product Positioning'!I$1, 'Additional Product Info.'!$A$1:$C$1, 0))</f>
        <v>Clothing</v>
      </c>
      <c r="J913" t="str">
        <f>_xlfn.XLOOKUP(A913, $A$1:$A$1001, 'Additional Product Info.'!$D$1:$D$1001)</f>
        <v>Yes</v>
      </c>
      <c r="K913" s="1">
        <f t="shared" si="28"/>
        <v>125602.8</v>
      </c>
      <c r="L913" s="1">
        <f t="shared" si="29"/>
        <v>2.3399999999999963</v>
      </c>
      <c r="M913" t="str">
        <f>IF(L913&lt;=Statistics!$E$6,"Low Difference",IF('Product Positioning'!L913&gt;=Statistics!$E$4,"High Difference","Moderate Difference"))</f>
        <v>Moderate Difference</v>
      </c>
    </row>
    <row r="914" spans="1:13" x14ac:dyDescent="0.2">
      <c r="A914">
        <v>115318</v>
      </c>
      <c r="B914" s="1">
        <v>21.79</v>
      </c>
      <c r="C914" s="1">
        <v>17.46</v>
      </c>
      <c r="D914">
        <v>2363</v>
      </c>
      <c r="E914" t="str">
        <f>_xlfn.XLOOKUP(A914, 'Customer Information'!$A$1:$A$1001, 'Customer Information'!$B$1:$B$1001)</f>
        <v>High</v>
      </c>
      <c r="F914" t="str">
        <f>_xlfn.XLOOKUP(A914, 'Customer Information'!$A$1:$A$1001, 'Customer Information'!$C$1:$C$1001)</f>
        <v>College students</v>
      </c>
      <c r="G914" t="str">
        <f>_xlfn.XLOOKUP('Customer Information'!A914, 'Customer Information'!$A$1:$A$1001, 'Customer Information'!$D$1:$D$1001)</f>
        <v>No</v>
      </c>
      <c r="H914" t="str">
        <f>INDEX('Additional Product Info.'!$A$1:$C$1001, MATCH('Product Positioning'!$A914, 'Additional Product Info.'!$A$1:$A$1001, 0), MATCH('Product Positioning'!H$1, 'Additional Product Info.'!$A$1:$C$1, 0))</f>
        <v>Front of Store</v>
      </c>
      <c r="I914" t="str">
        <f>INDEX('Additional Product Info.'!$A$1:$C$1001, MATCH('Product Positioning'!$A914, 'Additional Product Info.'!$A$1:$A$1001, 0), MATCH('Product Positioning'!I$1, 'Additional Product Info.'!$A$1:$C$1, 0))</f>
        <v>Food</v>
      </c>
      <c r="J914" t="str">
        <f>_xlfn.XLOOKUP(A914, $A$1:$A$1001, 'Additional Product Info.'!$D$1:$D$1001)</f>
        <v>Yes</v>
      </c>
      <c r="K914" s="1">
        <f t="shared" si="28"/>
        <v>51489.77</v>
      </c>
      <c r="L914" s="1">
        <f t="shared" si="29"/>
        <v>4.3299999999999983</v>
      </c>
      <c r="M914" t="str">
        <f>IF(L914&lt;=Statistics!$E$6,"Low Difference",IF('Product Positioning'!L914&gt;=Statistics!$E$4,"High Difference","Moderate Difference"))</f>
        <v>High Difference</v>
      </c>
    </row>
    <row r="915" spans="1:13" x14ac:dyDescent="0.2">
      <c r="A915">
        <v>161907</v>
      </c>
      <c r="B915" s="1">
        <v>34.69</v>
      </c>
      <c r="C915" s="1">
        <v>31.14</v>
      </c>
      <c r="D915">
        <v>1099</v>
      </c>
      <c r="E915" t="str">
        <f>_xlfn.XLOOKUP(A915, 'Customer Information'!$A$1:$A$1001, 'Customer Information'!$B$1:$B$1001)</f>
        <v>Medium</v>
      </c>
      <c r="F915" t="str">
        <f>_xlfn.XLOOKUP(A915, 'Customer Information'!$A$1:$A$1001, 'Customer Information'!$C$1:$C$1001)</f>
        <v>Young adults</v>
      </c>
      <c r="G915" t="str">
        <f>_xlfn.XLOOKUP('Customer Information'!A915, 'Customer Information'!$A$1:$A$1001, 'Customer Information'!$D$1:$D$1001)</f>
        <v>No</v>
      </c>
      <c r="H915" t="str">
        <f>INDEX('Additional Product Info.'!$A$1:$C$1001, MATCH('Product Positioning'!$A915, 'Additional Product Info.'!$A$1:$A$1001, 0), MATCH('Product Positioning'!H$1, 'Additional Product Info.'!$A$1:$C$1, 0))</f>
        <v>Front of Store</v>
      </c>
      <c r="I915" t="str">
        <f>INDEX('Additional Product Info.'!$A$1:$C$1001, MATCH('Product Positioning'!$A915, 'Additional Product Info.'!$A$1:$A$1001, 0), MATCH('Product Positioning'!I$1, 'Additional Product Info.'!$A$1:$C$1, 0))</f>
        <v>Clothing</v>
      </c>
      <c r="J915" t="str">
        <f>_xlfn.XLOOKUP(A915, $A$1:$A$1001, 'Additional Product Info.'!$D$1:$D$1001)</f>
        <v>Yes</v>
      </c>
      <c r="K915" s="1">
        <f t="shared" si="28"/>
        <v>38124.31</v>
      </c>
      <c r="L915" s="1">
        <f t="shared" si="29"/>
        <v>3.5499999999999972</v>
      </c>
      <c r="M915" t="str">
        <f>IF(L915&lt;=Statistics!$E$6,"Low Difference",IF('Product Positioning'!L915&gt;=Statistics!$E$4,"High Difference","Moderate Difference"))</f>
        <v>Moderate Difference</v>
      </c>
    </row>
    <row r="916" spans="1:13" x14ac:dyDescent="0.2">
      <c r="A916">
        <v>155997</v>
      </c>
      <c r="B916" s="1">
        <v>46.84</v>
      </c>
      <c r="C916" s="1">
        <v>43.8</v>
      </c>
      <c r="D916">
        <v>2534</v>
      </c>
      <c r="E916" t="str">
        <f>_xlfn.XLOOKUP(A916, 'Customer Information'!$A$1:$A$1001, 'Customer Information'!$B$1:$B$1001)</f>
        <v>Low</v>
      </c>
      <c r="F916" t="str">
        <f>_xlfn.XLOOKUP(A916, 'Customer Information'!$A$1:$A$1001, 'Customer Information'!$C$1:$C$1001)</f>
        <v>College students</v>
      </c>
      <c r="G916" t="str">
        <f>_xlfn.XLOOKUP('Customer Information'!A916, 'Customer Information'!$A$1:$A$1001, 'Customer Information'!$D$1:$D$1001)</f>
        <v>Yes</v>
      </c>
      <c r="H916" t="str">
        <f>INDEX('Additional Product Info.'!$A$1:$C$1001, MATCH('Product Positioning'!$A916, 'Additional Product Info.'!$A$1:$A$1001, 0), MATCH('Product Positioning'!H$1, 'Additional Product Info.'!$A$1:$C$1, 0))</f>
        <v>End-cap</v>
      </c>
      <c r="I916" t="str">
        <f>INDEX('Additional Product Info.'!$A$1:$C$1001, MATCH('Product Positioning'!$A916, 'Additional Product Info.'!$A$1:$A$1001, 0), MATCH('Product Positioning'!I$1, 'Additional Product Info.'!$A$1:$C$1, 0))</f>
        <v>Food</v>
      </c>
      <c r="J916" t="str">
        <f>_xlfn.XLOOKUP(A916, $A$1:$A$1001, 'Additional Product Info.'!$D$1:$D$1001)</f>
        <v>No</v>
      </c>
      <c r="K916" s="1">
        <f t="shared" si="28"/>
        <v>118692.56000000001</v>
      </c>
      <c r="L916" s="1">
        <f t="shared" si="29"/>
        <v>3.0400000000000063</v>
      </c>
      <c r="M916" t="str">
        <f>IF(L916&lt;=Statistics!$E$6,"Low Difference",IF('Product Positioning'!L916&gt;=Statistics!$E$4,"High Difference","Moderate Difference"))</f>
        <v>Moderate Difference</v>
      </c>
    </row>
    <row r="917" spans="1:13" x14ac:dyDescent="0.2">
      <c r="A917">
        <v>166744</v>
      </c>
      <c r="B917" s="1">
        <v>13.34</v>
      </c>
      <c r="C917" s="1">
        <v>8.91</v>
      </c>
      <c r="D917">
        <v>2309</v>
      </c>
      <c r="E917" t="str">
        <f>_xlfn.XLOOKUP(A917, 'Customer Information'!$A$1:$A$1001, 'Customer Information'!$B$1:$B$1001)</f>
        <v>Medium</v>
      </c>
      <c r="F917" t="str">
        <f>_xlfn.XLOOKUP(A917, 'Customer Information'!$A$1:$A$1001, 'Customer Information'!$C$1:$C$1001)</f>
        <v>Families</v>
      </c>
      <c r="G917" t="str">
        <f>_xlfn.XLOOKUP('Customer Information'!A917, 'Customer Information'!$A$1:$A$1001, 'Customer Information'!$D$1:$D$1001)</f>
        <v>No</v>
      </c>
      <c r="H917" t="str">
        <f>INDEX('Additional Product Info.'!$A$1:$C$1001, MATCH('Product Positioning'!$A917, 'Additional Product Info.'!$A$1:$A$1001, 0), MATCH('Product Positioning'!H$1, 'Additional Product Info.'!$A$1:$C$1, 0))</f>
        <v>Aisle</v>
      </c>
      <c r="I917" t="str">
        <f>INDEX('Additional Product Info.'!$A$1:$C$1001, MATCH('Product Positioning'!$A917, 'Additional Product Info.'!$A$1:$A$1001, 0), MATCH('Product Positioning'!I$1, 'Additional Product Info.'!$A$1:$C$1, 0))</f>
        <v>Clothing</v>
      </c>
      <c r="J917" t="str">
        <f>_xlfn.XLOOKUP(A917, $A$1:$A$1001, 'Additional Product Info.'!$D$1:$D$1001)</f>
        <v>Yes</v>
      </c>
      <c r="K917" s="1">
        <f t="shared" si="28"/>
        <v>30802.06</v>
      </c>
      <c r="L917" s="1">
        <f t="shared" si="29"/>
        <v>4.43</v>
      </c>
      <c r="M917" t="str">
        <f>IF(L917&lt;=Statistics!$E$6,"Low Difference",IF('Product Positioning'!L917&gt;=Statistics!$E$4,"High Difference","Moderate Difference"))</f>
        <v>High Difference</v>
      </c>
    </row>
    <row r="918" spans="1:13" x14ac:dyDescent="0.2">
      <c r="A918">
        <v>129858</v>
      </c>
      <c r="B918" s="1">
        <v>47.74</v>
      </c>
      <c r="C918" s="1">
        <v>45.16</v>
      </c>
      <c r="D918">
        <v>2018</v>
      </c>
      <c r="E918" t="str">
        <f>_xlfn.XLOOKUP(A918, 'Customer Information'!$A$1:$A$1001, 'Customer Information'!$B$1:$B$1001)</f>
        <v>High</v>
      </c>
      <c r="F918" t="str">
        <f>_xlfn.XLOOKUP(A918, 'Customer Information'!$A$1:$A$1001, 'Customer Information'!$C$1:$C$1001)</f>
        <v>College students</v>
      </c>
      <c r="G918" t="str">
        <f>_xlfn.XLOOKUP('Customer Information'!A918, 'Customer Information'!$A$1:$A$1001, 'Customer Information'!$D$1:$D$1001)</f>
        <v>Yes</v>
      </c>
      <c r="H918" t="str">
        <f>INDEX('Additional Product Info.'!$A$1:$C$1001, MATCH('Product Positioning'!$A918, 'Additional Product Info.'!$A$1:$A$1001, 0), MATCH('Product Positioning'!H$1, 'Additional Product Info.'!$A$1:$C$1, 0))</f>
        <v>Front of Store</v>
      </c>
      <c r="I918" t="str">
        <f>INDEX('Additional Product Info.'!$A$1:$C$1001, MATCH('Product Positioning'!$A918, 'Additional Product Info.'!$A$1:$A$1001, 0), MATCH('Product Positioning'!I$1, 'Additional Product Info.'!$A$1:$C$1, 0))</f>
        <v>Electronics</v>
      </c>
      <c r="J918" t="str">
        <f>_xlfn.XLOOKUP(A918, $A$1:$A$1001, 'Additional Product Info.'!$D$1:$D$1001)</f>
        <v>Yes</v>
      </c>
      <c r="K918" s="1">
        <f t="shared" si="28"/>
        <v>96339.32</v>
      </c>
      <c r="L918" s="1">
        <f t="shared" si="29"/>
        <v>2.5800000000000054</v>
      </c>
      <c r="M918" t="str">
        <f>IF(L918&lt;=Statistics!$E$6,"Low Difference",IF('Product Positioning'!L918&gt;=Statistics!$E$4,"High Difference","Moderate Difference"))</f>
        <v>Moderate Difference</v>
      </c>
    </row>
    <row r="919" spans="1:13" x14ac:dyDescent="0.2">
      <c r="A919">
        <v>158908</v>
      </c>
      <c r="B919" s="1">
        <v>42.5</v>
      </c>
      <c r="C919" s="1">
        <v>41.13</v>
      </c>
      <c r="D919">
        <v>2100</v>
      </c>
      <c r="E919" t="str">
        <f>_xlfn.XLOOKUP(A919, 'Customer Information'!$A$1:$A$1001, 'Customer Information'!$B$1:$B$1001)</f>
        <v>High</v>
      </c>
      <c r="F919" t="str">
        <f>_xlfn.XLOOKUP(A919, 'Customer Information'!$A$1:$A$1001, 'Customer Information'!$C$1:$C$1001)</f>
        <v>Seniors</v>
      </c>
      <c r="G919" t="str">
        <f>_xlfn.XLOOKUP('Customer Information'!A919, 'Customer Information'!$A$1:$A$1001, 'Customer Information'!$D$1:$D$1001)</f>
        <v>Yes</v>
      </c>
      <c r="H919" t="str">
        <f>INDEX('Additional Product Info.'!$A$1:$C$1001, MATCH('Product Positioning'!$A919, 'Additional Product Info.'!$A$1:$A$1001, 0), MATCH('Product Positioning'!H$1, 'Additional Product Info.'!$A$1:$C$1, 0))</f>
        <v>Front of Store</v>
      </c>
      <c r="I919" t="str">
        <f>INDEX('Additional Product Info.'!$A$1:$C$1001, MATCH('Product Positioning'!$A919, 'Additional Product Info.'!$A$1:$A$1001, 0), MATCH('Product Positioning'!I$1, 'Additional Product Info.'!$A$1:$C$1, 0))</f>
        <v>Food</v>
      </c>
      <c r="J919" t="str">
        <f>_xlfn.XLOOKUP(A919, $A$1:$A$1001, 'Additional Product Info.'!$D$1:$D$1001)</f>
        <v>Yes</v>
      </c>
      <c r="K919" s="1">
        <f t="shared" si="28"/>
        <v>89250</v>
      </c>
      <c r="L919" s="1">
        <f t="shared" si="29"/>
        <v>1.3699999999999974</v>
      </c>
      <c r="M919" t="str">
        <f>IF(L919&lt;=Statistics!$E$6,"Low Difference",IF('Product Positioning'!L919&gt;=Statistics!$E$4,"High Difference","Moderate Difference"))</f>
        <v>Moderate Difference</v>
      </c>
    </row>
    <row r="920" spans="1:13" x14ac:dyDescent="0.2">
      <c r="A920">
        <v>192048</v>
      </c>
      <c r="B920" s="1">
        <v>20.39</v>
      </c>
      <c r="C920" s="1">
        <v>18.04</v>
      </c>
      <c r="D920">
        <v>2512</v>
      </c>
      <c r="E920" t="str">
        <f>_xlfn.XLOOKUP(A920, 'Customer Information'!$A$1:$A$1001, 'Customer Information'!$B$1:$B$1001)</f>
        <v>High</v>
      </c>
      <c r="F920" t="str">
        <f>_xlfn.XLOOKUP(A920, 'Customer Information'!$A$1:$A$1001, 'Customer Information'!$C$1:$C$1001)</f>
        <v>Young adults</v>
      </c>
      <c r="G920" t="str">
        <f>_xlfn.XLOOKUP('Customer Information'!A920, 'Customer Information'!$A$1:$A$1001, 'Customer Information'!$D$1:$D$1001)</f>
        <v>No</v>
      </c>
      <c r="H920" t="str">
        <f>INDEX('Additional Product Info.'!$A$1:$C$1001, MATCH('Product Positioning'!$A920, 'Additional Product Info.'!$A$1:$A$1001, 0), MATCH('Product Positioning'!H$1, 'Additional Product Info.'!$A$1:$C$1, 0))</f>
        <v>End-cap</v>
      </c>
      <c r="I920" t="str">
        <f>INDEX('Additional Product Info.'!$A$1:$C$1001, MATCH('Product Positioning'!$A920, 'Additional Product Info.'!$A$1:$A$1001, 0), MATCH('Product Positioning'!I$1, 'Additional Product Info.'!$A$1:$C$1, 0))</f>
        <v>Electronics</v>
      </c>
      <c r="J920" t="str">
        <f>_xlfn.XLOOKUP(A920, $A$1:$A$1001, 'Additional Product Info.'!$D$1:$D$1001)</f>
        <v>No</v>
      </c>
      <c r="K920" s="1">
        <f t="shared" si="28"/>
        <v>51219.68</v>
      </c>
      <c r="L920" s="1">
        <f t="shared" si="29"/>
        <v>2.3500000000000014</v>
      </c>
      <c r="M920" t="str">
        <f>IF(L920&lt;=Statistics!$E$6,"Low Difference",IF('Product Positioning'!L920&gt;=Statistics!$E$4,"High Difference","Moderate Difference"))</f>
        <v>Moderate Difference</v>
      </c>
    </row>
    <row r="921" spans="1:13" x14ac:dyDescent="0.2">
      <c r="A921">
        <v>136294</v>
      </c>
      <c r="B921" s="1">
        <v>38.869999999999997</v>
      </c>
      <c r="C921" s="1">
        <v>37.28</v>
      </c>
      <c r="D921">
        <v>1706</v>
      </c>
      <c r="E921" t="str">
        <f>_xlfn.XLOOKUP(A921, 'Customer Information'!$A$1:$A$1001, 'Customer Information'!$B$1:$B$1001)</f>
        <v>Low</v>
      </c>
      <c r="F921" t="str">
        <f>_xlfn.XLOOKUP(A921, 'Customer Information'!$A$1:$A$1001, 'Customer Information'!$C$1:$C$1001)</f>
        <v>College students</v>
      </c>
      <c r="G921" t="str">
        <f>_xlfn.XLOOKUP('Customer Information'!A921, 'Customer Information'!$A$1:$A$1001, 'Customer Information'!$D$1:$D$1001)</f>
        <v>No</v>
      </c>
      <c r="H921" t="str">
        <f>INDEX('Additional Product Info.'!$A$1:$C$1001, MATCH('Product Positioning'!$A921, 'Additional Product Info.'!$A$1:$A$1001, 0), MATCH('Product Positioning'!H$1, 'Additional Product Info.'!$A$1:$C$1, 0))</f>
        <v>End-cap</v>
      </c>
      <c r="I921" t="str">
        <f>INDEX('Additional Product Info.'!$A$1:$C$1001, MATCH('Product Positioning'!$A921, 'Additional Product Info.'!$A$1:$A$1001, 0), MATCH('Product Positioning'!I$1, 'Additional Product Info.'!$A$1:$C$1, 0))</f>
        <v>Food</v>
      </c>
      <c r="J921" t="str">
        <f>_xlfn.XLOOKUP(A921, $A$1:$A$1001, 'Additional Product Info.'!$D$1:$D$1001)</f>
        <v>Yes</v>
      </c>
      <c r="K921" s="1">
        <f t="shared" si="28"/>
        <v>66312.22</v>
      </c>
      <c r="L921" s="1">
        <f t="shared" si="29"/>
        <v>1.5899999999999963</v>
      </c>
      <c r="M921" t="str">
        <f>IF(L921&lt;=Statistics!$E$6,"Low Difference",IF('Product Positioning'!L921&gt;=Statistics!$E$4,"High Difference","Moderate Difference"))</f>
        <v>Moderate Difference</v>
      </c>
    </row>
    <row r="922" spans="1:13" x14ac:dyDescent="0.2">
      <c r="A922">
        <v>193043</v>
      </c>
      <c r="B922" s="1">
        <v>49.14</v>
      </c>
      <c r="C922" s="1">
        <v>45.02</v>
      </c>
      <c r="D922">
        <v>2743</v>
      </c>
      <c r="E922" t="str">
        <f>_xlfn.XLOOKUP(A922, 'Customer Information'!$A$1:$A$1001, 'Customer Information'!$B$1:$B$1001)</f>
        <v>Low</v>
      </c>
      <c r="F922" t="str">
        <f>_xlfn.XLOOKUP(A922, 'Customer Information'!$A$1:$A$1001, 'Customer Information'!$C$1:$C$1001)</f>
        <v>Families</v>
      </c>
      <c r="G922" t="str">
        <f>_xlfn.XLOOKUP('Customer Information'!A922, 'Customer Information'!$A$1:$A$1001, 'Customer Information'!$D$1:$D$1001)</f>
        <v>No</v>
      </c>
      <c r="H922" t="str">
        <f>INDEX('Additional Product Info.'!$A$1:$C$1001, MATCH('Product Positioning'!$A922, 'Additional Product Info.'!$A$1:$A$1001, 0), MATCH('Product Positioning'!H$1, 'Additional Product Info.'!$A$1:$C$1, 0))</f>
        <v>Front of Store</v>
      </c>
      <c r="I922" t="str">
        <f>INDEX('Additional Product Info.'!$A$1:$C$1001, MATCH('Product Positioning'!$A922, 'Additional Product Info.'!$A$1:$A$1001, 0), MATCH('Product Positioning'!I$1, 'Additional Product Info.'!$A$1:$C$1, 0))</f>
        <v>Clothing</v>
      </c>
      <c r="J922" t="str">
        <f>_xlfn.XLOOKUP(A922, $A$1:$A$1001, 'Additional Product Info.'!$D$1:$D$1001)</f>
        <v>No</v>
      </c>
      <c r="K922" s="1">
        <f t="shared" si="28"/>
        <v>134791.01999999999</v>
      </c>
      <c r="L922" s="1">
        <f t="shared" si="29"/>
        <v>4.1199999999999974</v>
      </c>
      <c r="M922" t="str">
        <f>IF(L922&lt;=Statistics!$E$6,"Low Difference",IF('Product Positioning'!L922&gt;=Statistics!$E$4,"High Difference","Moderate Difference"))</f>
        <v>High Difference</v>
      </c>
    </row>
    <row r="923" spans="1:13" x14ac:dyDescent="0.2">
      <c r="A923">
        <v>192787</v>
      </c>
      <c r="B923" s="1">
        <v>19.84</v>
      </c>
      <c r="C923" s="1">
        <v>19.13</v>
      </c>
      <c r="D923">
        <v>2569</v>
      </c>
      <c r="E923" t="str">
        <f>_xlfn.XLOOKUP(A923, 'Customer Information'!$A$1:$A$1001, 'Customer Information'!$B$1:$B$1001)</f>
        <v>Medium</v>
      </c>
      <c r="F923" t="str">
        <f>_xlfn.XLOOKUP(A923, 'Customer Information'!$A$1:$A$1001, 'Customer Information'!$C$1:$C$1001)</f>
        <v>Seniors</v>
      </c>
      <c r="G923" t="str">
        <f>_xlfn.XLOOKUP('Customer Information'!A923, 'Customer Information'!$A$1:$A$1001, 'Customer Information'!$D$1:$D$1001)</f>
        <v>Yes</v>
      </c>
      <c r="H923" t="str">
        <f>INDEX('Additional Product Info.'!$A$1:$C$1001, MATCH('Product Positioning'!$A923, 'Additional Product Info.'!$A$1:$A$1001, 0), MATCH('Product Positioning'!H$1, 'Additional Product Info.'!$A$1:$C$1, 0))</f>
        <v>End-cap</v>
      </c>
      <c r="I923" t="str">
        <f>INDEX('Additional Product Info.'!$A$1:$C$1001, MATCH('Product Positioning'!$A923, 'Additional Product Info.'!$A$1:$A$1001, 0), MATCH('Product Positioning'!I$1, 'Additional Product Info.'!$A$1:$C$1, 0))</f>
        <v>Food</v>
      </c>
      <c r="J923" t="str">
        <f>_xlfn.XLOOKUP(A923, $A$1:$A$1001, 'Additional Product Info.'!$D$1:$D$1001)</f>
        <v>No</v>
      </c>
      <c r="K923" s="1">
        <f t="shared" si="28"/>
        <v>50968.959999999999</v>
      </c>
      <c r="L923" s="1">
        <f t="shared" si="29"/>
        <v>0.71000000000000085</v>
      </c>
      <c r="M923" t="str">
        <f>IF(L923&lt;=Statistics!$E$6,"Low Difference",IF('Product Positioning'!L923&gt;=Statistics!$E$4,"High Difference","Moderate Difference"))</f>
        <v>Low Difference</v>
      </c>
    </row>
    <row r="924" spans="1:13" x14ac:dyDescent="0.2">
      <c r="A924">
        <v>119150</v>
      </c>
      <c r="B924" s="1">
        <v>21.81</v>
      </c>
      <c r="C924" s="1">
        <v>17.489999999999998</v>
      </c>
      <c r="D924">
        <v>1556</v>
      </c>
      <c r="E924" t="str">
        <f>_xlfn.XLOOKUP(A924, 'Customer Information'!$A$1:$A$1001, 'Customer Information'!$B$1:$B$1001)</f>
        <v>High</v>
      </c>
      <c r="F924" t="str">
        <f>_xlfn.XLOOKUP(A924, 'Customer Information'!$A$1:$A$1001, 'Customer Information'!$C$1:$C$1001)</f>
        <v>College students</v>
      </c>
      <c r="G924" t="str">
        <f>_xlfn.XLOOKUP('Customer Information'!A924, 'Customer Information'!$A$1:$A$1001, 'Customer Information'!$D$1:$D$1001)</f>
        <v>No</v>
      </c>
      <c r="H924" t="str">
        <f>INDEX('Additional Product Info.'!$A$1:$C$1001, MATCH('Product Positioning'!$A924, 'Additional Product Info.'!$A$1:$A$1001, 0), MATCH('Product Positioning'!H$1, 'Additional Product Info.'!$A$1:$C$1, 0))</f>
        <v>End-cap</v>
      </c>
      <c r="I924" t="str">
        <f>INDEX('Additional Product Info.'!$A$1:$C$1001, MATCH('Product Positioning'!$A924, 'Additional Product Info.'!$A$1:$A$1001, 0), MATCH('Product Positioning'!I$1, 'Additional Product Info.'!$A$1:$C$1, 0))</f>
        <v>Food</v>
      </c>
      <c r="J924" t="str">
        <f>_xlfn.XLOOKUP(A924, $A$1:$A$1001, 'Additional Product Info.'!$D$1:$D$1001)</f>
        <v>No</v>
      </c>
      <c r="K924" s="1">
        <f t="shared" si="28"/>
        <v>33936.36</v>
      </c>
      <c r="L924" s="1">
        <f t="shared" si="29"/>
        <v>4.32</v>
      </c>
      <c r="M924" t="str">
        <f>IF(L924&lt;=Statistics!$E$6,"Low Difference",IF('Product Positioning'!L924&gt;=Statistics!$E$4,"High Difference","Moderate Difference"))</f>
        <v>High Difference</v>
      </c>
    </row>
    <row r="925" spans="1:13" x14ac:dyDescent="0.2">
      <c r="A925">
        <v>115266</v>
      </c>
      <c r="B925" s="1">
        <v>27.9</v>
      </c>
      <c r="C925" s="1">
        <v>25.48</v>
      </c>
      <c r="D925">
        <v>1549</v>
      </c>
      <c r="E925" t="str">
        <f>_xlfn.XLOOKUP(A925, 'Customer Information'!$A$1:$A$1001, 'Customer Information'!$B$1:$B$1001)</f>
        <v>Low</v>
      </c>
      <c r="F925" t="str">
        <f>_xlfn.XLOOKUP(A925, 'Customer Information'!$A$1:$A$1001, 'Customer Information'!$C$1:$C$1001)</f>
        <v>Families</v>
      </c>
      <c r="G925" t="str">
        <f>_xlfn.XLOOKUP('Customer Information'!A925, 'Customer Information'!$A$1:$A$1001, 'Customer Information'!$D$1:$D$1001)</f>
        <v>No</v>
      </c>
      <c r="H925" t="str">
        <f>INDEX('Additional Product Info.'!$A$1:$C$1001, MATCH('Product Positioning'!$A925, 'Additional Product Info.'!$A$1:$A$1001, 0), MATCH('Product Positioning'!H$1, 'Additional Product Info.'!$A$1:$C$1, 0))</f>
        <v>Front of Store</v>
      </c>
      <c r="I925" t="str">
        <f>INDEX('Additional Product Info.'!$A$1:$C$1001, MATCH('Product Positioning'!$A925, 'Additional Product Info.'!$A$1:$A$1001, 0), MATCH('Product Positioning'!I$1, 'Additional Product Info.'!$A$1:$C$1, 0))</f>
        <v>Electronics</v>
      </c>
      <c r="J925" t="str">
        <f>_xlfn.XLOOKUP(A925, $A$1:$A$1001, 'Additional Product Info.'!$D$1:$D$1001)</f>
        <v>No</v>
      </c>
      <c r="K925" s="1">
        <f t="shared" si="28"/>
        <v>43217.1</v>
      </c>
      <c r="L925" s="1">
        <f t="shared" si="29"/>
        <v>2.4199999999999982</v>
      </c>
      <c r="M925" t="str">
        <f>IF(L925&lt;=Statistics!$E$6,"Low Difference",IF('Product Positioning'!L925&gt;=Statistics!$E$4,"High Difference","Moderate Difference"))</f>
        <v>Moderate Difference</v>
      </c>
    </row>
    <row r="926" spans="1:13" x14ac:dyDescent="0.2">
      <c r="A926">
        <v>121186</v>
      </c>
      <c r="B926" s="1">
        <v>6.77</v>
      </c>
      <c r="C926" s="1">
        <v>5.62</v>
      </c>
      <c r="D926">
        <v>989</v>
      </c>
      <c r="E926" t="str">
        <f>_xlfn.XLOOKUP(A926, 'Customer Information'!$A$1:$A$1001, 'Customer Information'!$B$1:$B$1001)</f>
        <v>Medium</v>
      </c>
      <c r="F926" t="str">
        <f>_xlfn.XLOOKUP(A926, 'Customer Information'!$A$1:$A$1001, 'Customer Information'!$C$1:$C$1001)</f>
        <v>Young adults</v>
      </c>
      <c r="G926" t="str">
        <f>_xlfn.XLOOKUP('Customer Information'!A926, 'Customer Information'!$A$1:$A$1001, 'Customer Information'!$D$1:$D$1001)</f>
        <v>No</v>
      </c>
      <c r="H926" t="str">
        <f>INDEX('Additional Product Info.'!$A$1:$C$1001, MATCH('Product Positioning'!$A926, 'Additional Product Info.'!$A$1:$A$1001, 0), MATCH('Product Positioning'!H$1, 'Additional Product Info.'!$A$1:$C$1, 0))</f>
        <v>Front of Store</v>
      </c>
      <c r="I926" t="str">
        <f>INDEX('Additional Product Info.'!$A$1:$C$1001, MATCH('Product Positioning'!$A926, 'Additional Product Info.'!$A$1:$A$1001, 0), MATCH('Product Positioning'!I$1, 'Additional Product Info.'!$A$1:$C$1, 0))</f>
        <v>Electronics</v>
      </c>
      <c r="J926" t="str">
        <f>_xlfn.XLOOKUP(A926, $A$1:$A$1001, 'Additional Product Info.'!$D$1:$D$1001)</f>
        <v>No</v>
      </c>
      <c r="K926" s="1">
        <f t="shared" si="28"/>
        <v>6695.53</v>
      </c>
      <c r="L926" s="1">
        <f t="shared" si="29"/>
        <v>1.1499999999999995</v>
      </c>
      <c r="M926" t="str">
        <f>IF(L926&lt;=Statistics!$E$6,"Low Difference",IF('Product Positioning'!L926&gt;=Statistics!$E$4,"High Difference","Moderate Difference"))</f>
        <v>Low Difference</v>
      </c>
    </row>
    <row r="927" spans="1:13" x14ac:dyDescent="0.2">
      <c r="A927">
        <v>144385</v>
      </c>
      <c r="B927" s="1">
        <v>39.44</v>
      </c>
      <c r="C927" s="1">
        <v>38.08</v>
      </c>
      <c r="D927">
        <v>834</v>
      </c>
      <c r="E927" t="str">
        <f>_xlfn.XLOOKUP(A927, 'Customer Information'!$A$1:$A$1001, 'Customer Information'!$B$1:$B$1001)</f>
        <v>High</v>
      </c>
      <c r="F927" t="str">
        <f>_xlfn.XLOOKUP(A927, 'Customer Information'!$A$1:$A$1001, 'Customer Information'!$C$1:$C$1001)</f>
        <v>Families</v>
      </c>
      <c r="G927" t="str">
        <f>_xlfn.XLOOKUP('Customer Information'!A927, 'Customer Information'!$A$1:$A$1001, 'Customer Information'!$D$1:$D$1001)</f>
        <v>No</v>
      </c>
      <c r="H927" t="str">
        <f>INDEX('Additional Product Info.'!$A$1:$C$1001, MATCH('Product Positioning'!$A927, 'Additional Product Info.'!$A$1:$A$1001, 0), MATCH('Product Positioning'!H$1, 'Additional Product Info.'!$A$1:$C$1, 0))</f>
        <v>Aisle</v>
      </c>
      <c r="I927" t="str">
        <f>INDEX('Additional Product Info.'!$A$1:$C$1001, MATCH('Product Positioning'!$A927, 'Additional Product Info.'!$A$1:$A$1001, 0), MATCH('Product Positioning'!I$1, 'Additional Product Info.'!$A$1:$C$1, 0))</f>
        <v>Food</v>
      </c>
      <c r="J927" t="str">
        <f>_xlfn.XLOOKUP(A927, $A$1:$A$1001, 'Additional Product Info.'!$D$1:$D$1001)</f>
        <v>No</v>
      </c>
      <c r="K927" s="1">
        <f t="shared" si="28"/>
        <v>32892.959999999999</v>
      </c>
      <c r="L927" s="1">
        <f t="shared" si="29"/>
        <v>1.3599999999999994</v>
      </c>
      <c r="M927" t="str">
        <f>IF(L927&lt;=Statistics!$E$6,"Low Difference",IF('Product Positioning'!L927&gt;=Statistics!$E$4,"High Difference","Moderate Difference"))</f>
        <v>Moderate Difference</v>
      </c>
    </row>
    <row r="928" spans="1:13" x14ac:dyDescent="0.2">
      <c r="A928">
        <v>161594</v>
      </c>
      <c r="B928" s="1">
        <v>49.52</v>
      </c>
      <c r="C928" s="1">
        <v>45.71</v>
      </c>
      <c r="D928">
        <v>2108</v>
      </c>
      <c r="E928" t="str">
        <f>_xlfn.XLOOKUP(A928, 'Customer Information'!$A$1:$A$1001, 'Customer Information'!$B$1:$B$1001)</f>
        <v>Low</v>
      </c>
      <c r="F928" t="str">
        <f>_xlfn.XLOOKUP(A928, 'Customer Information'!$A$1:$A$1001, 'Customer Information'!$C$1:$C$1001)</f>
        <v>College students</v>
      </c>
      <c r="G928" t="str">
        <f>_xlfn.XLOOKUP('Customer Information'!A928, 'Customer Information'!$A$1:$A$1001, 'Customer Information'!$D$1:$D$1001)</f>
        <v>Yes</v>
      </c>
      <c r="H928" t="str">
        <f>INDEX('Additional Product Info.'!$A$1:$C$1001, MATCH('Product Positioning'!$A928, 'Additional Product Info.'!$A$1:$A$1001, 0), MATCH('Product Positioning'!H$1, 'Additional Product Info.'!$A$1:$C$1, 0))</f>
        <v>End-cap</v>
      </c>
      <c r="I928" t="str">
        <f>INDEX('Additional Product Info.'!$A$1:$C$1001, MATCH('Product Positioning'!$A928, 'Additional Product Info.'!$A$1:$A$1001, 0), MATCH('Product Positioning'!I$1, 'Additional Product Info.'!$A$1:$C$1, 0))</f>
        <v>Food</v>
      </c>
      <c r="J928" t="str">
        <f>_xlfn.XLOOKUP(A928, $A$1:$A$1001, 'Additional Product Info.'!$D$1:$D$1001)</f>
        <v>Yes</v>
      </c>
      <c r="K928" s="1">
        <f t="shared" si="28"/>
        <v>104388.16</v>
      </c>
      <c r="L928" s="1">
        <f t="shared" si="29"/>
        <v>3.8100000000000023</v>
      </c>
      <c r="M928" t="str">
        <f>IF(L928&lt;=Statistics!$E$6,"Low Difference",IF('Product Positioning'!L928&gt;=Statistics!$E$4,"High Difference","Moderate Difference"))</f>
        <v>High Difference</v>
      </c>
    </row>
    <row r="929" spans="1:13" x14ac:dyDescent="0.2">
      <c r="A929">
        <v>114320</v>
      </c>
      <c r="B929" s="1">
        <v>6.11</v>
      </c>
      <c r="C929" s="1">
        <v>1.77</v>
      </c>
      <c r="D929">
        <v>558</v>
      </c>
      <c r="E929" t="str">
        <f>_xlfn.XLOOKUP(A929, 'Customer Information'!$A$1:$A$1001, 'Customer Information'!$B$1:$B$1001)</f>
        <v>Low</v>
      </c>
      <c r="F929" t="str">
        <f>_xlfn.XLOOKUP(A929, 'Customer Information'!$A$1:$A$1001, 'Customer Information'!$C$1:$C$1001)</f>
        <v>College students</v>
      </c>
      <c r="G929" t="str">
        <f>_xlfn.XLOOKUP('Customer Information'!A929, 'Customer Information'!$A$1:$A$1001, 'Customer Information'!$D$1:$D$1001)</f>
        <v>Yes</v>
      </c>
      <c r="H929" t="str">
        <f>INDEX('Additional Product Info.'!$A$1:$C$1001, MATCH('Product Positioning'!$A929, 'Additional Product Info.'!$A$1:$A$1001, 0), MATCH('Product Positioning'!H$1, 'Additional Product Info.'!$A$1:$C$1, 0))</f>
        <v>Aisle</v>
      </c>
      <c r="I929" t="str">
        <f>INDEX('Additional Product Info.'!$A$1:$C$1001, MATCH('Product Positioning'!$A929, 'Additional Product Info.'!$A$1:$A$1001, 0), MATCH('Product Positioning'!I$1, 'Additional Product Info.'!$A$1:$C$1, 0))</f>
        <v>Clothing</v>
      </c>
      <c r="J929" t="str">
        <f>_xlfn.XLOOKUP(A929, $A$1:$A$1001, 'Additional Product Info.'!$D$1:$D$1001)</f>
        <v>No</v>
      </c>
      <c r="K929" s="1">
        <f t="shared" si="28"/>
        <v>3409.38</v>
      </c>
      <c r="L929" s="1">
        <f t="shared" si="29"/>
        <v>4.34</v>
      </c>
      <c r="M929" t="str">
        <f>IF(L929&lt;=Statistics!$E$6,"Low Difference",IF('Product Positioning'!L929&gt;=Statistics!$E$4,"High Difference","Moderate Difference"))</f>
        <v>High Difference</v>
      </c>
    </row>
    <row r="930" spans="1:13" x14ac:dyDescent="0.2">
      <c r="A930">
        <v>167648</v>
      </c>
      <c r="B930" s="1">
        <v>39.47</v>
      </c>
      <c r="C930" s="1">
        <v>39.39</v>
      </c>
      <c r="D930">
        <v>2990</v>
      </c>
      <c r="E930" t="str">
        <f>_xlfn.XLOOKUP(A930, 'Customer Information'!$A$1:$A$1001, 'Customer Information'!$B$1:$B$1001)</f>
        <v>High</v>
      </c>
      <c r="F930" t="str">
        <f>_xlfn.XLOOKUP(A930, 'Customer Information'!$A$1:$A$1001, 'Customer Information'!$C$1:$C$1001)</f>
        <v>Young adults</v>
      </c>
      <c r="G930" t="str">
        <f>_xlfn.XLOOKUP('Customer Information'!A930, 'Customer Information'!$A$1:$A$1001, 'Customer Information'!$D$1:$D$1001)</f>
        <v>No</v>
      </c>
      <c r="H930" t="str">
        <f>INDEX('Additional Product Info.'!$A$1:$C$1001, MATCH('Product Positioning'!$A930, 'Additional Product Info.'!$A$1:$A$1001, 0), MATCH('Product Positioning'!H$1, 'Additional Product Info.'!$A$1:$C$1, 0))</f>
        <v>Aisle</v>
      </c>
      <c r="I930" t="str">
        <f>INDEX('Additional Product Info.'!$A$1:$C$1001, MATCH('Product Positioning'!$A930, 'Additional Product Info.'!$A$1:$A$1001, 0), MATCH('Product Positioning'!I$1, 'Additional Product Info.'!$A$1:$C$1, 0))</f>
        <v>Electronics</v>
      </c>
      <c r="J930" t="str">
        <f>_xlfn.XLOOKUP(A930, $A$1:$A$1001, 'Additional Product Info.'!$D$1:$D$1001)</f>
        <v>No</v>
      </c>
      <c r="K930" s="1">
        <f t="shared" si="28"/>
        <v>118015.3</v>
      </c>
      <c r="L930" s="1">
        <f t="shared" si="29"/>
        <v>7.9999999999998295E-2</v>
      </c>
      <c r="M930" t="str">
        <f>IF(L930&lt;=Statistics!$E$6,"Low Difference",IF('Product Positioning'!L930&gt;=Statistics!$E$4,"High Difference","Moderate Difference"))</f>
        <v>Low Difference</v>
      </c>
    </row>
    <row r="931" spans="1:13" x14ac:dyDescent="0.2">
      <c r="A931">
        <v>198500</v>
      </c>
      <c r="B931" s="1">
        <v>29.39</v>
      </c>
      <c r="C931" s="1">
        <v>26.11</v>
      </c>
      <c r="D931">
        <v>1581</v>
      </c>
      <c r="E931" t="str">
        <f>_xlfn.XLOOKUP(A931, 'Customer Information'!$A$1:$A$1001, 'Customer Information'!$B$1:$B$1001)</f>
        <v>Medium</v>
      </c>
      <c r="F931" t="str">
        <f>_xlfn.XLOOKUP(A931, 'Customer Information'!$A$1:$A$1001, 'Customer Information'!$C$1:$C$1001)</f>
        <v>College students</v>
      </c>
      <c r="G931" t="str">
        <f>_xlfn.XLOOKUP('Customer Information'!A931, 'Customer Information'!$A$1:$A$1001, 'Customer Information'!$D$1:$D$1001)</f>
        <v>Yes</v>
      </c>
      <c r="H931" t="str">
        <f>INDEX('Additional Product Info.'!$A$1:$C$1001, MATCH('Product Positioning'!$A931, 'Additional Product Info.'!$A$1:$A$1001, 0), MATCH('Product Positioning'!H$1, 'Additional Product Info.'!$A$1:$C$1, 0))</f>
        <v>Front of Store</v>
      </c>
      <c r="I931" t="str">
        <f>INDEX('Additional Product Info.'!$A$1:$C$1001, MATCH('Product Positioning'!$A931, 'Additional Product Info.'!$A$1:$A$1001, 0), MATCH('Product Positioning'!I$1, 'Additional Product Info.'!$A$1:$C$1, 0))</f>
        <v>Clothing</v>
      </c>
      <c r="J931" t="str">
        <f>_xlfn.XLOOKUP(A931, $A$1:$A$1001, 'Additional Product Info.'!$D$1:$D$1001)</f>
        <v>Yes</v>
      </c>
      <c r="K931" s="1">
        <f t="shared" si="28"/>
        <v>46465.590000000004</v>
      </c>
      <c r="L931" s="1">
        <f t="shared" si="29"/>
        <v>3.2800000000000011</v>
      </c>
      <c r="M931" t="str">
        <f>IF(L931&lt;=Statistics!$E$6,"Low Difference",IF('Product Positioning'!L931&gt;=Statistics!$E$4,"High Difference","Moderate Difference"))</f>
        <v>Moderate Difference</v>
      </c>
    </row>
    <row r="932" spans="1:13" x14ac:dyDescent="0.2">
      <c r="A932">
        <v>120916</v>
      </c>
      <c r="B932" s="1">
        <v>8.01</v>
      </c>
      <c r="C932" s="1">
        <v>5.23</v>
      </c>
      <c r="D932">
        <v>1139</v>
      </c>
      <c r="E932" t="str">
        <f>_xlfn.XLOOKUP(A932, 'Customer Information'!$A$1:$A$1001, 'Customer Information'!$B$1:$B$1001)</f>
        <v>Low</v>
      </c>
      <c r="F932" t="str">
        <f>_xlfn.XLOOKUP(A932, 'Customer Information'!$A$1:$A$1001, 'Customer Information'!$C$1:$C$1001)</f>
        <v>Families</v>
      </c>
      <c r="G932" t="str">
        <f>_xlfn.XLOOKUP('Customer Information'!A932, 'Customer Information'!$A$1:$A$1001, 'Customer Information'!$D$1:$D$1001)</f>
        <v>No</v>
      </c>
      <c r="H932" t="str">
        <f>INDEX('Additional Product Info.'!$A$1:$C$1001, MATCH('Product Positioning'!$A932, 'Additional Product Info.'!$A$1:$A$1001, 0), MATCH('Product Positioning'!H$1, 'Additional Product Info.'!$A$1:$C$1, 0))</f>
        <v>Front of Store</v>
      </c>
      <c r="I932" t="str">
        <f>INDEX('Additional Product Info.'!$A$1:$C$1001, MATCH('Product Positioning'!$A932, 'Additional Product Info.'!$A$1:$A$1001, 0), MATCH('Product Positioning'!I$1, 'Additional Product Info.'!$A$1:$C$1, 0))</f>
        <v>Electronics</v>
      </c>
      <c r="J932" t="str">
        <f>_xlfn.XLOOKUP(A932, $A$1:$A$1001, 'Additional Product Info.'!$D$1:$D$1001)</f>
        <v>No</v>
      </c>
      <c r="K932" s="1">
        <f t="shared" si="28"/>
        <v>9123.39</v>
      </c>
      <c r="L932" s="1">
        <f t="shared" si="29"/>
        <v>2.7799999999999994</v>
      </c>
      <c r="M932" t="str">
        <f>IF(L932&lt;=Statistics!$E$6,"Low Difference",IF('Product Positioning'!L932&gt;=Statistics!$E$4,"High Difference","Moderate Difference"))</f>
        <v>Moderate Difference</v>
      </c>
    </row>
    <row r="933" spans="1:13" x14ac:dyDescent="0.2">
      <c r="A933">
        <v>180422</v>
      </c>
      <c r="B933" s="1">
        <v>22.74</v>
      </c>
      <c r="C933" s="1">
        <v>19.43</v>
      </c>
      <c r="D933">
        <v>1408</v>
      </c>
      <c r="E933" t="str">
        <f>_xlfn.XLOOKUP(A933, 'Customer Information'!$A$1:$A$1001, 'Customer Information'!$B$1:$B$1001)</f>
        <v>Medium</v>
      </c>
      <c r="F933" t="str">
        <f>_xlfn.XLOOKUP(A933, 'Customer Information'!$A$1:$A$1001, 'Customer Information'!$C$1:$C$1001)</f>
        <v>Seniors</v>
      </c>
      <c r="G933" t="str">
        <f>_xlfn.XLOOKUP('Customer Information'!A933, 'Customer Information'!$A$1:$A$1001, 'Customer Information'!$D$1:$D$1001)</f>
        <v>Yes</v>
      </c>
      <c r="H933" t="str">
        <f>INDEX('Additional Product Info.'!$A$1:$C$1001, MATCH('Product Positioning'!$A933, 'Additional Product Info.'!$A$1:$A$1001, 0), MATCH('Product Positioning'!H$1, 'Additional Product Info.'!$A$1:$C$1, 0))</f>
        <v>Aisle</v>
      </c>
      <c r="I933" t="str">
        <f>INDEX('Additional Product Info.'!$A$1:$C$1001, MATCH('Product Positioning'!$A933, 'Additional Product Info.'!$A$1:$A$1001, 0), MATCH('Product Positioning'!I$1, 'Additional Product Info.'!$A$1:$C$1, 0))</f>
        <v>Clothing</v>
      </c>
      <c r="J933" t="str">
        <f>_xlfn.XLOOKUP(A933, $A$1:$A$1001, 'Additional Product Info.'!$D$1:$D$1001)</f>
        <v>No</v>
      </c>
      <c r="K933" s="1">
        <f t="shared" si="28"/>
        <v>32017.919999999998</v>
      </c>
      <c r="L933" s="1">
        <f t="shared" si="29"/>
        <v>3.3099999999999987</v>
      </c>
      <c r="M933" t="str">
        <f>IF(L933&lt;=Statistics!$E$6,"Low Difference",IF('Product Positioning'!L933&gt;=Statistics!$E$4,"High Difference","Moderate Difference"))</f>
        <v>Moderate Difference</v>
      </c>
    </row>
    <row r="934" spans="1:13" x14ac:dyDescent="0.2">
      <c r="A934">
        <v>136977</v>
      </c>
      <c r="B934" s="1">
        <v>20.56</v>
      </c>
      <c r="C934" s="1">
        <v>17.87</v>
      </c>
      <c r="D934">
        <v>685</v>
      </c>
      <c r="E934" t="str">
        <f>_xlfn.XLOOKUP(A934, 'Customer Information'!$A$1:$A$1001, 'Customer Information'!$B$1:$B$1001)</f>
        <v>Low</v>
      </c>
      <c r="F934" t="str">
        <f>_xlfn.XLOOKUP(A934, 'Customer Information'!$A$1:$A$1001, 'Customer Information'!$C$1:$C$1001)</f>
        <v>College students</v>
      </c>
      <c r="G934" t="str">
        <f>_xlfn.XLOOKUP('Customer Information'!A934, 'Customer Information'!$A$1:$A$1001, 'Customer Information'!$D$1:$D$1001)</f>
        <v>Yes</v>
      </c>
      <c r="H934" t="str">
        <f>INDEX('Additional Product Info.'!$A$1:$C$1001, MATCH('Product Positioning'!$A934, 'Additional Product Info.'!$A$1:$A$1001, 0), MATCH('Product Positioning'!H$1, 'Additional Product Info.'!$A$1:$C$1, 0))</f>
        <v>End-cap</v>
      </c>
      <c r="I934" t="str">
        <f>INDEX('Additional Product Info.'!$A$1:$C$1001, MATCH('Product Positioning'!$A934, 'Additional Product Info.'!$A$1:$A$1001, 0), MATCH('Product Positioning'!I$1, 'Additional Product Info.'!$A$1:$C$1, 0))</f>
        <v>Clothing</v>
      </c>
      <c r="J934" t="str">
        <f>_xlfn.XLOOKUP(A934, $A$1:$A$1001, 'Additional Product Info.'!$D$1:$D$1001)</f>
        <v>Yes</v>
      </c>
      <c r="K934" s="1">
        <f t="shared" si="28"/>
        <v>14083.599999999999</v>
      </c>
      <c r="L934" s="1">
        <f t="shared" si="29"/>
        <v>2.6899999999999977</v>
      </c>
      <c r="M934" t="str">
        <f>IF(L934&lt;=Statistics!$E$6,"Low Difference",IF('Product Positioning'!L934&gt;=Statistics!$E$4,"High Difference","Moderate Difference"))</f>
        <v>Moderate Difference</v>
      </c>
    </row>
    <row r="935" spans="1:13" x14ac:dyDescent="0.2">
      <c r="A935">
        <v>145902</v>
      </c>
      <c r="B935" s="1">
        <v>11.9</v>
      </c>
      <c r="C935" s="1">
        <v>9.17</v>
      </c>
      <c r="D935">
        <v>2314</v>
      </c>
      <c r="E935" t="str">
        <f>_xlfn.XLOOKUP(A935, 'Customer Information'!$A$1:$A$1001, 'Customer Information'!$B$1:$B$1001)</f>
        <v>High</v>
      </c>
      <c r="F935" t="str">
        <f>_xlfn.XLOOKUP(A935, 'Customer Information'!$A$1:$A$1001, 'Customer Information'!$C$1:$C$1001)</f>
        <v>Young adults</v>
      </c>
      <c r="G935" t="str">
        <f>_xlfn.XLOOKUP('Customer Information'!A935, 'Customer Information'!$A$1:$A$1001, 'Customer Information'!$D$1:$D$1001)</f>
        <v>Yes</v>
      </c>
      <c r="H935" t="str">
        <f>INDEX('Additional Product Info.'!$A$1:$C$1001, MATCH('Product Positioning'!$A935, 'Additional Product Info.'!$A$1:$A$1001, 0), MATCH('Product Positioning'!H$1, 'Additional Product Info.'!$A$1:$C$1, 0))</f>
        <v>Aisle</v>
      </c>
      <c r="I935" t="str">
        <f>INDEX('Additional Product Info.'!$A$1:$C$1001, MATCH('Product Positioning'!$A935, 'Additional Product Info.'!$A$1:$A$1001, 0), MATCH('Product Positioning'!I$1, 'Additional Product Info.'!$A$1:$C$1, 0))</f>
        <v>Electronics</v>
      </c>
      <c r="J935" t="str">
        <f>_xlfn.XLOOKUP(A935, $A$1:$A$1001, 'Additional Product Info.'!$D$1:$D$1001)</f>
        <v>Yes</v>
      </c>
      <c r="K935" s="1">
        <f t="shared" si="28"/>
        <v>27536.600000000002</v>
      </c>
      <c r="L935" s="1">
        <f t="shared" si="29"/>
        <v>2.7300000000000004</v>
      </c>
      <c r="M935" t="str">
        <f>IF(L935&lt;=Statistics!$E$6,"Low Difference",IF('Product Positioning'!L935&gt;=Statistics!$E$4,"High Difference","Moderate Difference"))</f>
        <v>Moderate Difference</v>
      </c>
    </row>
    <row r="936" spans="1:13" x14ac:dyDescent="0.2">
      <c r="A936">
        <v>135734</v>
      </c>
      <c r="B936" s="1">
        <v>20.45</v>
      </c>
      <c r="C936" s="1">
        <v>19.41</v>
      </c>
      <c r="D936">
        <v>2805</v>
      </c>
      <c r="E936" t="str">
        <f>_xlfn.XLOOKUP(A936, 'Customer Information'!$A$1:$A$1001, 'Customer Information'!$B$1:$B$1001)</f>
        <v>High</v>
      </c>
      <c r="F936" t="str">
        <f>_xlfn.XLOOKUP(A936, 'Customer Information'!$A$1:$A$1001, 'Customer Information'!$C$1:$C$1001)</f>
        <v>Seniors</v>
      </c>
      <c r="G936" t="str">
        <f>_xlfn.XLOOKUP('Customer Information'!A936, 'Customer Information'!$A$1:$A$1001, 'Customer Information'!$D$1:$D$1001)</f>
        <v>Yes</v>
      </c>
      <c r="H936" t="str">
        <f>INDEX('Additional Product Info.'!$A$1:$C$1001, MATCH('Product Positioning'!$A936, 'Additional Product Info.'!$A$1:$A$1001, 0), MATCH('Product Positioning'!H$1, 'Additional Product Info.'!$A$1:$C$1, 0))</f>
        <v>Aisle</v>
      </c>
      <c r="I936" t="str">
        <f>INDEX('Additional Product Info.'!$A$1:$C$1001, MATCH('Product Positioning'!$A936, 'Additional Product Info.'!$A$1:$A$1001, 0), MATCH('Product Positioning'!I$1, 'Additional Product Info.'!$A$1:$C$1, 0))</f>
        <v>Clothing</v>
      </c>
      <c r="J936" t="str">
        <f>_xlfn.XLOOKUP(A936, $A$1:$A$1001, 'Additional Product Info.'!$D$1:$D$1001)</f>
        <v>No</v>
      </c>
      <c r="K936" s="1">
        <f t="shared" si="28"/>
        <v>57362.25</v>
      </c>
      <c r="L936" s="1">
        <f t="shared" si="29"/>
        <v>1.0399999999999991</v>
      </c>
      <c r="M936" t="str">
        <f>IF(L936&lt;=Statistics!$E$6,"Low Difference",IF('Product Positioning'!L936&gt;=Statistics!$E$4,"High Difference","Moderate Difference"))</f>
        <v>Low Difference</v>
      </c>
    </row>
    <row r="937" spans="1:13" x14ac:dyDescent="0.2">
      <c r="A937">
        <v>153230</v>
      </c>
      <c r="B937" s="1">
        <v>29.28</v>
      </c>
      <c r="C937" s="1">
        <v>26.59</v>
      </c>
      <c r="D937">
        <v>565</v>
      </c>
      <c r="E937" t="str">
        <f>_xlfn.XLOOKUP(A937, 'Customer Information'!$A$1:$A$1001, 'Customer Information'!$B$1:$B$1001)</f>
        <v>Low</v>
      </c>
      <c r="F937" t="str">
        <f>_xlfn.XLOOKUP(A937, 'Customer Information'!$A$1:$A$1001, 'Customer Information'!$C$1:$C$1001)</f>
        <v>Seniors</v>
      </c>
      <c r="G937" t="str">
        <f>_xlfn.XLOOKUP('Customer Information'!A937, 'Customer Information'!$A$1:$A$1001, 'Customer Information'!$D$1:$D$1001)</f>
        <v>No</v>
      </c>
      <c r="H937" t="str">
        <f>INDEX('Additional Product Info.'!$A$1:$C$1001, MATCH('Product Positioning'!$A937, 'Additional Product Info.'!$A$1:$A$1001, 0), MATCH('Product Positioning'!H$1, 'Additional Product Info.'!$A$1:$C$1, 0))</f>
        <v>End-cap</v>
      </c>
      <c r="I937" t="str">
        <f>INDEX('Additional Product Info.'!$A$1:$C$1001, MATCH('Product Positioning'!$A937, 'Additional Product Info.'!$A$1:$A$1001, 0), MATCH('Product Positioning'!I$1, 'Additional Product Info.'!$A$1:$C$1, 0))</f>
        <v>Food</v>
      </c>
      <c r="J937" t="str">
        <f>_xlfn.XLOOKUP(A937, $A$1:$A$1001, 'Additional Product Info.'!$D$1:$D$1001)</f>
        <v>Yes</v>
      </c>
      <c r="K937" s="1">
        <f t="shared" si="28"/>
        <v>16543.2</v>
      </c>
      <c r="L937" s="1">
        <f t="shared" si="29"/>
        <v>2.6900000000000013</v>
      </c>
      <c r="M937" t="str">
        <f>IF(L937&lt;=Statistics!$E$6,"Low Difference",IF('Product Positioning'!L937&gt;=Statistics!$E$4,"High Difference","Moderate Difference"))</f>
        <v>Moderate Difference</v>
      </c>
    </row>
    <row r="938" spans="1:13" x14ac:dyDescent="0.2">
      <c r="A938">
        <v>153722</v>
      </c>
      <c r="B938" s="1">
        <v>47.67</v>
      </c>
      <c r="C938" s="1">
        <v>43</v>
      </c>
      <c r="D938">
        <v>1058</v>
      </c>
      <c r="E938" t="str">
        <f>_xlfn.XLOOKUP(A938, 'Customer Information'!$A$1:$A$1001, 'Customer Information'!$B$1:$B$1001)</f>
        <v>Medium</v>
      </c>
      <c r="F938" t="str">
        <f>_xlfn.XLOOKUP(A938, 'Customer Information'!$A$1:$A$1001, 'Customer Information'!$C$1:$C$1001)</f>
        <v>Seniors</v>
      </c>
      <c r="G938" t="str">
        <f>_xlfn.XLOOKUP('Customer Information'!A938, 'Customer Information'!$A$1:$A$1001, 'Customer Information'!$D$1:$D$1001)</f>
        <v>No</v>
      </c>
      <c r="H938" t="str">
        <f>INDEX('Additional Product Info.'!$A$1:$C$1001, MATCH('Product Positioning'!$A938, 'Additional Product Info.'!$A$1:$A$1001, 0), MATCH('Product Positioning'!H$1, 'Additional Product Info.'!$A$1:$C$1, 0))</f>
        <v>Aisle</v>
      </c>
      <c r="I938" t="str">
        <f>INDEX('Additional Product Info.'!$A$1:$C$1001, MATCH('Product Positioning'!$A938, 'Additional Product Info.'!$A$1:$A$1001, 0), MATCH('Product Positioning'!I$1, 'Additional Product Info.'!$A$1:$C$1, 0))</f>
        <v>Food</v>
      </c>
      <c r="J938" t="str">
        <f>_xlfn.XLOOKUP(A938, $A$1:$A$1001, 'Additional Product Info.'!$D$1:$D$1001)</f>
        <v>Yes</v>
      </c>
      <c r="K938" s="1">
        <f t="shared" si="28"/>
        <v>50434.86</v>
      </c>
      <c r="L938" s="1">
        <f t="shared" si="29"/>
        <v>4.6700000000000017</v>
      </c>
      <c r="M938" t="str">
        <f>IF(L938&lt;=Statistics!$E$6,"Low Difference",IF('Product Positioning'!L938&gt;=Statistics!$E$4,"High Difference","Moderate Difference"))</f>
        <v>High Difference</v>
      </c>
    </row>
    <row r="939" spans="1:13" x14ac:dyDescent="0.2">
      <c r="A939">
        <v>147361</v>
      </c>
      <c r="B939" s="1">
        <v>32.840000000000003</v>
      </c>
      <c r="C939" s="1">
        <v>32.42</v>
      </c>
      <c r="D939">
        <v>563</v>
      </c>
      <c r="E939" t="str">
        <f>_xlfn.XLOOKUP(A939, 'Customer Information'!$A$1:$A$1001, 'Customer Information'!$B$1:$B$1001)</f>
        <v>Low</v>
      </c>
      <c r="F939" t="str">
        <f>_xlfn.XLOOKUP(A939, 'Customer Information'!$A$1:$A$1001, 'Customer Information'!$C$1:$C$1001)</f>
        <v>Seniors</v>
      </c>
      <c r="G939" t="str">
        <f>_xlfn.XLOOKUP('Customer Information'!A939, 'Customer Information'!$A$1:$A$1001, 'Customer Information'!$D$1:$D$1001)</f>
        <v>No</v>
      </c>
      <c r="H939" t="str">
        <f>INDEX('Additional Product Info.'!$A$1:$C$1001, MATCH('Product Positioning'!$A939, 'Additional Product Info.'!$A$1:$A$1001, 0), MATCH('Product Positioning'!H$1, 'Additional Product Info.'!$A$1:$C$1, 0))</f>
        <v>End-cap</v>
      </c>
      <c r="I939" t="str">
        <f>INDEX('Additional Product Info.'!$A$1:$C$1001, MATCH('Product Positioning'!$A939, 'Additional Product Info.'!$A$1:$A$1001, 0), MATCH('Product Positioning'!I$1, 'Additional Product Info.'!$A$1:$C$1, 0))</f>
        <v>Food</v>
      </c>
      <c r="J939" t="str">
        <f>_xlfn.XLOOKUP(A939, $A$1:$A$1001, 'Additional Product Info.'!$D$1:$D$1001)</f>
        <v>Yes</v>
      </c>
      <c r="K939" s="1">
        <f t="shared" si="28"/>
        <v>18488.920000000002</v>
      </c>
      <c r="L939" s="1">
        <f t="shared" si="29"/>
        <v>0.42000000000000171</v>
      </c>
      <c r="M939" t="str">
        <f>IF(L939&lt;=Statistics!$E$6,"Low Difference",IF('Product Positioning'!L939&gt;=Statistics!$E$4,"High Difference","Moderate Difference"))</f>
        <v>Low Difference</v>
      </c>
    </row>
    <row r="940" spans="1:13" x14ac:dyDescent="0.2">
      <c r="A940">
        <v>158227</v>
      </c>
      <c r="B940" s="1">
        <v>11.54</v>
      </c>
      <c r="C940" s="1">
        <v>9.3699999999999992</v>
      </c>
      <c r="D940">
        <v>2721</v>
      </c>
      <c r="E940" t="str">
        <f>_xlfn.XLOOKUP(A940, 'Customer Information'!$A$1:$A$1001, 'Customer Information'!$B$1:$B$1001)</f>
        <v>High</v>
      </c>
      <c r="F940" t="str">
        <f>_xlfn.XLOOKUP(A940, 'Customer Information'!$A$1:$A$1001, 'Customer Information'!$C$1:$C$1001)</f>
        <v>Families</v>
      </c>
      <c r="G940" t="str">
        <f>_xlfn.XLOOKUP('Customer Information'!A940, 'Customer Information'!$A$1:$A$1001, 'Customer Information'!$D$1:$D$1001)</f>
        <v>No</v>
      </c>
      <c r="H940" t="str">
        <f>INDEX('Additional Product Info.'!$A$1:$C$1001, MATCH('Product Positioning'!$A940, 'Additional Product Info.'!$A$1:$A$1001, 0), MATCH('Product Positioning'!H$1, 'Additional Product Info.'!$A$1:$C$1, 0))</f>
        <v>Aisle</v>
      </c>
      <c r="I940" t="str">
        <f>INDEX('Additional Product Info.'!$A$1:$C$1001, MATCH('Product Positioning'!$A940, 'Additional Product Info.'!$A$1:$A$1001, 0), MATCH('Product Positioning'!I$1, 'Additional Product Info.'!$A$1:$C$1, 0))</f>
        <v>Clothing</v>
      </c>
      <c r="J940" t="str">
        <f>_xlfn.XLOOKUP(A940, $A$1:$A$1001, 'Additional Product Info.'!$D$1:$D$1001)</f>
        <v>No</v>
      </c>
      <c r="K940" s="1">
        <f t="shared" si="28"/>
        <v>31400.339999999997</v>
      </c>
      <c r="L940" s="1">
        <f t="shared" si="29"/>
        <v>2.17</v>
      </c>
      <c r="M940" t="str">
        <f>IF(L940&lt;=Statistics!$E$6,"Low Difference",IF('Product Positioning'!L940&gt;=Statistics!$E$4,"High Difference","Moderate Difference"))</f>
        <v>Moderate Difference</v>
      </c>
    </row>
    <row r="941" spans="1:13" x14ac:dyDescent="0.2">
      <c r="A941">
        <v>197123</v>
      </c>
      <c r="B941" s="1">
        <v>37.090000000000003</v>
      </c>
      <c r="C941" s="1">
        <v>33.18</v>
      </c>
      <c r="D941">
        <v>2625</v>
      </c>
      <c r="E941" t="str">
        <f>_xlfn.XLOOKUP(A941, 'Customer Information'!$A$1:$A$1001, 'Customer Information'!$B$1:$B$1001)</f>
        <v>High</v>
      </c>
      <c r="F941" t="str">
        <f>_xlfn.XLOOKUP(A941, 'Customer Information'!$A$1:$A$1001, 'Customer Information'!$C$1:$C$1001)</f>
        <v>College students</v>
      </c>
      <c r="G941" t="str">
        <f>_xlfn.XLOOKUP('Customer Information'!A941, 'Customer Information'!$A$1:$A$1001, 'Customer Information'!$D$1:$D$1001)</f>
        <v>Yes</v>
      </c>
      <c r="H941" t="str">
        <f>INDEX('Additional Product Info.'!$A$1:$C$1001, MATCH('Product Positioning'!$A941, 'Additional Product Info.'!$A$1:$A$1001, 0), MATCH('Product Positioning'!H$1, 'Additional Product Info.'!$A$1:$C$1, 0))</f>
        <v>Front of Store</v>
      </c>
      <c r="I941" t="str">
        <f>INDEX('Additional Product Info.'!$A$1:$C$1001, MATCH('Product Positioning'!$A941, 'Additional Product Info.'!$A$1:$A$1001, 0), MATCH('Product Positioning'!I$1, 'Additional Product Info.'!$A$1:$C$1, 0))</f>
        <v>Electronics</v>
      </c>
      <c r="J941" t="str">
        <f>_xlfn.XLOOKUP(A941, $A$1:$A$1001, 'Additional Product Info.'!$D$1:$D$1001)</f>
        <v>No</v>
      </c>
      <c r="K941" s="1">
        <f t="shared" si="28"/>
        <v>97361.250000000015</v>
      </c>
      <c r="L941" s="1">
        <f t="shared" si="29"/>
        <v>3.9100000000000037</v>
      </c>
      <c r="M941" t="str">
        <f>IF(L941&lt;=Statistics!$E$6,"Low Difference",IF('Product Positioning'!L941&gt;=Statistics!$E$4,"High Difference","Moderate Difference"))</f>
        <v>High Difference</v>
      </c>
    </row>
    <row r="942" spans="1:13" x14ac:dyDescent="0.2">
      <c r="A942">
        <v>140321</v>
      </c>
      <c r="B942" s="1">
        <v>39.47</v>
      </c>
      <c r="C942" s="1">
        <v>36.130000000000003</v>
      </c>
      <c r="D942">
        <v>687</v>
      </c>
      <c r="E942" t="str">
        <f>_xlfn.XLOOKUP(A942, 'Customer Information'!$A$1:$A$1001, 'Customer Information'!$B$1:$B$1001)</f>
        <v>High</v>
      </c>
      <c r="F942" t="str">
        <f>_xlfn.XLOOKUP(A942, 'Customer Information'!$A$1:$A$1001, 'Customer Information'!$C$1:$C$1001)</f>
        <v>Seniors</v>
      </c>
      <c r="G942" t="str">
        <f>_xlfn.XLOOKUP('Customer Information'!A942, 'Customer Information'!$A$1:$A$1001, 'Customer Information'!$D$1:$D$1001)</f>
        <v>No</v>
      </c>
      <c r="H942" t="str">
        <f>INDEX('Additional Product Info.'!$A$1:$C$1001, MATCH('Product Positioning'!$A942, 'Additional Product Info.'!$A$1:$A$1001, 0), MATCH('Product Positioning'!H$1, 'Additional Product Info.'!$A$1:$C$1, 0))</f>
        <v>End-cap</v>
      </c>
      <c r="I942" t="str">
        <f>INDEX('Additional Product Info.'!$A$1:$C$1001, MATCH('Product Positioning'!$A942, 'Additional Product Info.'!$A$1:$A$1001, 0), MATCH('Product Positioning'!I$1, 'Additional Product Info.'!$A$1:$C$1, 0))</f>
        <v>Food</v>
      </c>
      <c r="J942" t="str">
        <f>_xlfn.XLOOKUP(A942, $A$1:$A$1001, 'Additional Product Info.'!$D$1:$D$1001)</f>
        <v>Yes</v>
      </c>
      <c r="K942" s="1">
        <f t="shared" si="28"/>
        <v>27115.89</v>
      </c>
      <c r="L942" s="1">
        <f t="shared" si="29"/>
        <v>3.3399999999999963</v>
      </c>
      <c r="M942" t="str">
        <f>IF(L942&lt;=Statistics!$E$6,"Low Difference",IF('Product Positioning'!L942&gt;=Statistics!$E$4,"High Difference","Moderate Difference"))</f>
        <v>Moderate Difference</v>
      </c>
    </row>
    <row r="943" spans="1:13" x14ac:dyDescent="0.2">
      <c r="A943">
        <v>177510</v>
      </c>
      <c r="B943" s="1">
        <v>37.07</v>
      </c>
      <c r="C943" s="1">
        <v>36.380000000000003</v>
      </c>
      <c r="D943">
        <v>1768</v>
      </c>
      <c r="E943" t="str">
        <f>_xlfn.XLOOKUP(A943, 'Customer Information'!$A$1:$A$1001, 'Customer Information'!$B$1:$B$1001)</f>
        <v>High</v>
      </c>
      <c r="F943" t="str">
        <f>_xlfn.XLOOKUP(A943, 'Customer Information'!$A$1:$A$1001, 'Customer Information'!$C$1:$C$1001)</f>
        <v>Young adults</v>
      </c>
      <c r="G943" t="str">
        <f>_xlfn.XLOOKUP('Customer Information'!A943, 'Customer Information'!$A$1:$A$1001, 'Customer Information'!$D$1:$D$1001)</f>
        <v>Yes</v>
      </c>
      <c r="H943" t="str">
        <f>INDEX('Additional Product Info.'!$A$1:$C$1001, MATCH('Product Positioning'!$A943, 'Additional Product Info.'!$A$1:$A$1001, 0), MATCH('Product Positioning'!H$1, 'Additional Product Info.'!$A$1:$C$1, 0))</f>
        <v>Front of Store</v>
      </c>
      <c r="I943" t="str">
        <f>INDEX('Additional Product Info.'!$A$1:$C$1001, MATCH('Product Positioning'!$A943, 'Additional Product Info.'!$A$1:$A$1001, 0), MATCH('Product Positioning'!I$1, 'Additional Product Info.'!$A$1:$C$1, 0))</f>
        <v>Food</v>
      </c>
      <c r="J943" t="str">
        <f>_xlfn.XLOOKUP(A943, $A$1:$A$1001, 'Additional Product Info.'!$D$1:$D$1001)</f>
        <v>No</v>
      </c>
      <c r="K943" s="1">
        <f t="shared" si="28"/>
        <v>65539.759999999995</v>
      </c>
      <c r="L943" s="1">
        <f t="shared" si="29"/>
        <v>0.68999999999999773</v>
      </c>
      <c r="M943" t="str">
        <f>IF(L943&lt;=Statistics!$E$6,"Low Difference",IF('Product Positioning'!L943&gt;=Statistics!$E$4,"High Difference","Moderate Difference"))</f>
        <v>Low Difference</v>
      </c>
    </row>
    <row r="944" spans="1:13" x14ac:dyDescent="0.2">
      <c r="A944">
        <v>135786</v>
      </c>
      <c r="B944" s="1">
        <v>27.36</v>
      </c>
      <c r="C944" s="1">
        <v>25.74</v>
      </c>
      <c r="D944">
        <v>2987</v>
      </c>
      <c r="E944" t="str">
        <f>_xlfn.XLOOKUP(A944, 'Customer Information'!$A$1:$A$1001, 'Customer Information'!$B$1:$B$1001)</f>
        <v>Medium</v>
      </c>
      <c r="F944" t="str">
        <f>_xlfn.XLOOKUP(A944, 'Customer Information'!$A$1:$A$1001, 'Customer Information'!$C$1:$C$1001)</f>
        <v>Seniors</v>
      </c>
      <c r="G944" t="str">
        <f>_xlfn.XLOOKUP('Customer Information'!A944, 'Customer Information'!$A$1:$A$1001, 'Customer Information'!$D$1:$D$1001)</f>
        <v>Yes</v>
      </c>
      <c r="H944" t="str">
        <f>INDEX('Additional Product Info.'!$A$1:$C$1001, MATCH('Product Positioning'!$A944, 'Additional Product Info.'!$A$1:$A$1001, 0), MATCH('Product Positioning'!H$1, 'Additional Product Info.'!$A$1:$C$1, 0))</f>
        <v>Aisle</v>
      </c>
      <c r="I944" t="str">
        <f>INDEX('Additional Product Info.'!$A$1:$C$1001, MATCH('Product Positioning'!$A944, 'Additional Product Info.'!$A$1:$A$1001, 0), MATCH('Product Positioning'!I$1, 'Additional Product Info.'!$A$1:$C$1, 0))</f>
        <v>Electronics</v>
      </c>
      <c r="J944" t="str">
        <f>_xlfn.XLOOKUP(A944, $A$1:$A$1001, 'Additional Product Info.'!$D$1:$D$1001)</f>
        <v>Yes</v>
      </c>
      <c r="K944" s="1">
        <f t="shared" si="28"/>
        <v>81724.319999999992</v>
      </c>
      <c r="L944" s="1">
        <f t="shared" si="29"/>
        <v>1.620000000000001</v>
      </c>
      <c r="M944" t="str">
        <f>IF(L944&lt;=Statistics!$E$6,"Low Difference",IF('Product Positioning'!L944&gt;=Statistics!$E$4,"High Difference","Moderate Difference"))</f>
        <v>Moderate Difference</v>
      </c>
    </row>
    <row r="945" spans="1:13" x14ac:dyDescent="0.2">
      <c r="A945">
        <v>184980</v>
      </c>
      <c r="B945" s="1">
        <v>47.39</v>
      </c>
      <c r="C945" s="1">
        <v>44.9</v>
      </c>
      <c r="D945">
        <v>2788</v>
      </c>
      <c r="E945" t="str">
        <f>_xlfn.XLOOKUP(A945, 'Customer Information'!$A$1:$A$1001, 'Customer Information'!$B$1:$B$1001)</f>
        <v>Medium</v>
      </c>
      <c r="F945" t="str">
        <f>_xlfn.XLOOKUP(A945, 'Customer Information'!$A$1:$A$1001, 'Customer Information'!$C$1:$C$1001)</f>
        <v>Seniors</v>
      </c>
      <c r="G945" t="str">
        <f>_xlfn.XLOOKUP('Customer Information'!A945, 'Customer Information'!$A$1:$A$1001, 'Customer Information'!$D$1:$D$1001)</f>
        <v>Yes</v>
      </c>
      <c r="H945" t="str">
        <f>INDEX('Additional Product Info.'!$A$1:$C$1001, MATCH('Product Positioning'!$A945, 'Additional Product Info.'!$A$1:$A$1001, 0), MATCH('Product Positioning'!H$1, 'Additional Product Info.'!$A$1:$C$1, 0))</f>
        <v>End-cap</v>
      </c>
      <c r="I945" t="str">
        <f>INDEX('Additional Product Info.'!$A$1:$C$1001, MATCH('Product Positioning'!$A945, 'Additional Product Info.'!$A$1:$A$1001, 0), MATCH('Product Positioning'!I$1, 'Additional Product Info.'!$A$1:$C$1, 0))</f>
        <v>Electronics</v>
      </c>
      <c r="J945" t="str">
        <f>_xlfn.XLOOKUP(A945, $A$1:$A$1001, 'Additional Product Info.'!$D$1:$D$1001)</f>
        <v>No</v>
      </c>
      <c r="K945" s="1">
        <f t="shared" si="28"/>
        <v>132123.32</v>
      </c>
      <c r="L945" s="1">
        <f t="shared" si="29"/>
        <v>2.490000000000002</v>
      </c>
      <c r="M945" t="str">
        <f>IF(L945&lt;=Statistics!$E$6,"Low Difference",IF('Product Positioning'!L945&gt;=Statistics!$E$4,"High Difference","Moderate Difference"))</f>
        <v>Moderate Difference</v>
      </c>
    </row>
    <row r="946" spans="1:13" x14ac:dyDescent="0.2">
      <c r="A946">
        <v>152671</v>
      </c>
      <c r="B946" s="1">
        <v>47.12</v>
      </c>
      <c r="C946" s="1">
        <v>46</v>
      </c>
      <c r="D946">
        <v>1380</v>
      </c>
      <c r="E946" t="str">
        <f>_xlfn.XLOOKUP(A946, 'Customer Information'!$A$1:$A$1001, 'Customer Information'!$B$1:$B$1001)</f>
        <v>High</v>
      </c>
      <c r="F946" t="str">
        <f>_xlfn.XLOOKUP(A946, 'Customer Information'!$A$1:$A$1001, 'Customer Information'!$C$1:$C$1001)</f>
        <v>Families</v>
      </c>
      <c r="G946" t="str">
        <f>_xlfn.XLOOKUP('Customer Information'!A946, 'Customer Information'!$A$1:$A$1001, 'Customer Information'!$D$1:$D$1001)</f>
        <v>Yes</v>
      </c>
      <c r="H946" t="str">
        <f>INDEX('Additional Product Info.'!$A$1:$C$1001, MATCH('Product Positioning'!$A946, 'Additional Product Info.'!$A$1:$A$1001, 0), MATCH('Product Positioning'!H$1, 'Additional Product Info.'!$A$1:$C$1, 0))</f>
        <v>Aisle</v>
      </c>
      <c r="I946" t="str">
        <f>INDEX('Additional Product Info.'!$A$1:$C$1001, MATCH('Product Positioning'!$A946, 'Additional Product Info.'!$A$1:$A$1001, 0), MATCH('Product Positioning'!I$1, 'Additional Product Info.'!$A$1:$C$1, 0))</f>
        <v>Food</v>
      </c>
      <c r="J946" t="str">
        <f>_xlfn.XLOOKUP(A946, $A$1:$A$1001, 'Additional Product Info.'!$D$1:$D$1001)</f>
        <v>No</v>
      </c>
      <c r="K946" s="1">
        <f t="shared" si="28"/>
        <v>65025.599999999999</v>
      </c>
      <c r="L946" s="1">
        <f t="shared" si="29"/>
        <v>1.1199999999999974</v>
      </c>
      <c r="M946" t="str">
        <f>IF(L946&lt;=Statistics!$E$6,"Low Difference",IF('Product Positioning'!L946&gt;=Statistics!$E$4,"High Difference","Moderate Difference"))</f>
        <v>Low Difference</v>
      </c>
    </row>
    <row r="947" spans="1:13" x14ac:dyDescent="0.2">
      <c r="A947">
        <v>155722</v>
      </c>
      <c r="B947" s="1">
        <v>29.53</v>
      </c>
      <c r="C947" s="1">
        <v>26.18</v>
      </c>
      <c r="D947">
        <v>1484</v>
      </c>
      <c r="E947" t="str">
        <f>_xlfn.XLOOKUP(A947, 'Customer Information'!$A$1:$A$1001, 'Customer Information'!$B$1:$B$1001)</f>
        <v>High</v>
      </c>
      <c r="F947" t="str">
        <f>_xlfn.XLOOKUP(A947, 'Customer Information'!$A$1:$A$1001, 'Customer Information'!$C$1:$C$1001)</f>
        <v>Families</v>
      </c>
      <c r="G947" t="str">
        <f>_xlfn.XLOOKUP('Customer Information'!A947, 'Customer Information'!$A$1:$A$1001, 'Customer Information'!$D$1:$D$1001)</f>
        <v>Yes</v>
      </c>
      <c r="H947" t="str">
        <f>INDEX('Additional Product Info.'!$A$1:$C$1001, MATCH('Product Positioning'!$A947, 'Additional Product Info.'!$A$1:$A$1001, 0), MATCH('Product Positioning'!H$1, 'Additional Product Info.'!$A$1:$C$1, 0))</f>
        <v>End-cap</v>
      </c>
      <c r="I947" t="str">
        <f>INDEX('Additional Product Info.'!$A$1:$C$1001, MATCH('Product Positioning'!$A947, 'Additional Product Info.'!$A$1:$A$1001, 0), MATCH('Product Positioning'!I$1, 'Additional Product Info.'!$A$1:$C$1, 0))</f>
        <v>Clothing</v>
      </c>
      <c r="J947" t="str">
        <f>_xlfn.XLOOKUP(A947, $A$1:$A$1001, 'Additional Product Info.'!$D$1:$D$1001)</f>
        <v>Yes</v>
      </c>
      <c r="K947" s="1">
        <f t="shared" si="28"/>
        <v>43822.520000000004</v>
      </c>
      <c r="L947" s="1">
        <f t="shared" si="29"/>
        <v>3.3500000000000014</v>
      </c>
      <c r="M947" t="str">
        <f>IF(L947&lt;=Statistics!$E$6,"Low Difference",IF('Product Positioning'!L947&gt;=Statistics!$E$4,"High Difference","Moderate Difference"))</f>
        <v>Moderate Difference</v>
      </c>
    </row>
    <row r="948" spans="1:13" x14ac:dyDescent="0.2">
      <c r="A948">
        <v>171570</v>
      </c>
      <c r="B948" s="1">
        <v>15.7</v>
      </c>
      <c r="C948" s="1">
        <v>11.02</v>
      </c>
      <c r="D948">
        <v>1353</v>
      </c>
      <c r="E948" t="str">
        <f>_xlfn.XLOOKUP(A948, 'Customer Information'!$A$1:$A$1001, 'Customer Information'!$B$1:$B$1001)</f>
        <v>High</v>
      </c>
      <c r="F948" t="str">
        <f>_xlfn.XLOOKUP(A948, 'Customer Information'!$A$1:$A$1001, 'Customer Information'!$C$1:$C$1001)</f>
        <v>Seniors</v>
      </c>
      <c r="G948" t="str">
        <f>_xlfn.XLOOKUP('Customer Information'!A948, 'Customer Information'!$A$1:$A$1001, 'Customer Information'!$D$1:$D$1001)</f>
        <v>Yes</v>
      </c>
      <c r="H948" t="str">
        <f>INDEX('Additional Product Info.'!$A$1:$C$1001, MATCH('Product Positioning'!$A948, 'Additional Product Info.'!$A$1:$A$1001, 0), MATCH('Product Positioning'!H$1, 'Additional Product Info.'!$A$1:$C$1, 0))</f>
        <v>End-cap</v>
      </c>
      <c r="I948" t="str">
        <f>INDEX('Additional Product Info.'!$A$1:$C$1001, MATCH('Product Positioning'!$A948, 'Additional Product Info.'!$A$1:$A$1001, 0), MATCH('Product Positioning'!I$1, 'Additional Product Info.'!$A$1:$C$1, 0))</f>
        <v>Clothing</v>
      </c>
      <c r="J948" t="str">
        <f>_xlfn.XLOOKUP(A948, $A$1:$A$1001, 'Additional Product Info.'!$D$1:$D$1001)</f>
        <v>Yes</v>
      </c>
      <c r="K948" s="1">
        <f t="shared" si="28"/>
        <v>21242.1</v>
      </c>
      <c r="L948" s="1">
        <f t="shared" si="29"/>
        <v>4.68</v>
      </c>
      <c r="M948" t="str">
        <f>IF(L948&lt;=Statistics!$E$6,"Low Difference",IF('Product Positioning'!L948&gt;=Statistics!$E$4,"High Difference","Moderate Difference"))</f>
        <v>High Difference</v>
      </c>
    </row>
    <row r="949" spans="1:13" x14ac:dyDescent="0.2">
      <c r="A949">
        <v>181417</v>
      </c>
      <c r="B949" s="1">
        <v>40.19</v>
      </c>
      <c r="C949" s="1">
        <v>38.729999999999997</v>
      </c>
      <c r="D949">
        <v>2728</v>
      </c>
      <c r="E949" t="str">
        <f>_xlfn.XLOOKUP(A949, 'Customer Information'!$A$1:$A$1001, 'Customer Information'!$B$1:$B$1001)</f>
        <v>Medium</v>
      </c>
      <c r="F949" t="str">
        <f>_xlfn.XLOOKUP(A949, 'Customer Information'!$A$1:$A$1001, 'Customer Information'!$C$1:$C$1001)</f>
        <v>Young adults</v>
      </c>
      <c r="G949" t="str">
        <f>_xlfn.XLOOKUP('Customer Information'!A949, 'Customer Information'!$A$1:$A$1001, 'Customer Information'!$D$1:$D$1001)</f>
        <v>Yes</v>
      </c>
      <c r="H949" t="str">
        <f>INDEX('Additional Product Info.'!$A$1:$C$1001, MATCH('Product Positioning'!$A949, 'Additional Product Info.'!$A$1:$A$1001, 0), MATCH('Product Positioning'!H$1, 'Additional Product Info.'!$A$1:$C$1, 0))</f>
        <v>Aisle</v>
      </c>
      <c r="I949" t="str">
        <f>INDEX('Additional Product Info.'!$A$1:$C$1001, MATCH('Product Positioning'!$A949, 'Additional Product Info.'!$A$1:$A$1001, 0), MATCH('Product Positioning'!I$1, 'Additional Product Info.'!$A$1:$C$1, 0))</f>
        <v>Clothing</v>
      </c>
      <c r="J949" t="str">
        <f>_xlfn.XLOOKUP(A949, $A$1:$A$1001, 'Additional Product Info.'!$D$1:$D$1001)</f>
        <v>No</v>
      </c>
      <c r="K949" s="1">
        <f t="shared" si="28"/>
        <v>109638.31999999999</v>
      </c>
      <c r="L949" s="1">
        <f t="shared" si="29"/>
        <v>1.4600000000000009</v>
      </c>
      <c r="M949" t="str">
        <f>IF(L949&lt;=Statistics!$E$6,"Low Difference",IF('Product Positioning'!L949&gt;=Statistics!$E$4,"High Difference","Moderate Difference"))</f>
        <v>Moderate Difference</v>
      </c>
    </row>
    <row r="950" spans="1:13" x14ac:dyDescent="0.2">
      <c r="A950">
        <v>157514</v>
      </c>
      <c r="B950" s="1">
        <v>17.489999999999998</v>
      </c>
      <c r="C950" s="1">
        <v>13.3</v>
      </c>
      <c r="D950">
        <v>937</v>
      </c>
      <c r="E950" t="str">
        <f>_xlfn.XLOOKUP(A950, 'Customer Information'!$A$1:$A$1001, 'Customer Information'!$B$1:$B$1001)</f>
        <v>Medium</v>
      </c>
      <c r="F950" t="str">
        <f>_xlfn.XLOOKUP(A950, 'Customer Information'!$A$1:$A$1001, 'Customer Information'!$C$1:$C$1001)</f>
        <v>College students</v>
      </c>
      <c r="G950" t="str">
        <f>_xlfn.XLOOKUP('Customer Information'!A950, 'Customer Information'!$A$1:$A$1001, 'Customer Information'!$D$1:$D$1001)</f>
        <v>No</v>
      </c>
      <c r="H950" t="str">
        <f>INDEX('Additional Product Info.'!$A$1:$C$1001, MATCH('Product Positioning'!$A950, 'Additional Product Info.'!$A$1:$A$1001, 0), MATCH('Product Positioning'!H$1, 'Additional Product Info.'!$A$1:$C$1, 0))</f>
        <v>Front of Store</v>
      </c>
      <c r="I950" t="str">
        <f>INDEX('Additional Product Info.'!$A$1:$C$1001, MATCH('Product Positioning'!$A950, 'Additional Product Info.'!$A$1:$A$1001, 0), MATCH('Product Positioning'!I$1, 'Additional Product Info.'!$A$1:$C$1, 0))</f>
        <v>Electronics</v>
      </c>
      <c r="J950" t="str">
        <f>_xlfn.XLOOKUP(A950, $A$1:$A$1001, 'Additional Product Info.'!$D$1:$D$1001)</f>
        <v>Yes</v>
      </c>
      <c r="K950" s="1">
        <f t="shared" si="28"/>
        <v>16388.129999999997</v>
      </c>
      <c r="L950" s="1">
        <f t="shared" si="29"/>
        <v>4.1899999999999977</v>
      </c>
      <c r="M950" t="str">
        <f>IF(L950&lt;=Statistics!$E$6,"Low Difference",IF('Product Positioning'!L950&gt;=Statistics!$E$4,"High Difference","Moderate Difference"))</f>
        <v>High Difference</v>
      </c>
    </row>
    <row r="951" spans="1:13" x14ac:dyDescent="0.2">
      <c r="A951">
        <v>170515</v>
      </c>
      <c r="B951" s="1">
        <v>38.450000000000003</v>
      </c>
      <c r="C951" s="1">
        <v>38.049999999999997</v>
      </c>
      <c r="D951">
        <v>533</v>
      </c>
      <c r="E951" t="str">
        <f>_xlfn.XLOOKUP(A951, 'Customer Information'!$A$1:$A$1001, 'Customer Information'!$B$1:$B$1001)</f>
        <v>Low</v>
      </c>
      <c r="F951" t="str">
        <f>_xlfn.XLOOKUP(A951, 'Customer Information'!$A$1:$A$1001, 'Customer Information'!$C$1:$C$1001)</f>
        <v>Families</v>
      </c>
      <c r="G951" t="str">
        <f>_xlfn.XLOOKUP('Customer Information'!A951, 'Customer Information'!$A$1:$A$1001, 'Customer Information'!$D$1:$D$1001)</f>
        <v>No</v>
      </c>
      <c r="H951" t="str">
        <f>INDEX('Additional Product Info.'!$A$1:$C$1001, MATCH('Product Positioning'!$A951, 'Additional Product Info.'!$A$1:$A$1001, 0), MATCH('Product Positioning'!H$1, 'Additional Product Info.'!$A$1:$C$1, 0))</f>
        <v>Front of Store</v>
      </c>
      <c r="I951" t="str">
        <f>INDEX('Additional Product Info.'!$A$1:$C$1001, MATCH('Product Positioning'!$A951, 'Additional Product Info.'!$A$1:$A$1001, 0), MATCH('Product Positioning'!I$1, 'Additional Product Info.'!$A$1:$C$1, 0))</f>
        <v>Electronics</v>
      </c>
      <c r="J951" t="str">
        <f>_xlfn.XLOOKUP(A951, $A$1:$A$1001, 'Additional Product Info.'!$D$1:$D$1001)</f>
        <v>Yes</v>
      </c>
      <c r="K951" s="1">
        <f t="shared" si="28"/>
        <v>20493.850000000002</v>
      </c>
      <c r="L951" s="1">
        <f t="shared" si="29"/>
        <v>0.40000000000000568</v>
      </c>
      <c r="M951" t="str">
        <f>IF(L951&lt;=Statistics!$E$6,"Low Difference",IF('Product Positioning'!L951&gt;=Statistics!$E$4,"High Difference","Moderate Difference"))</f>
        <v>Low Difference</v>
      </c>
    </row>
    <row r="952" spans="1:13" x14ac:dyDescent="0.2">
      <c r="A952">
        <v>179736</v>
      </c>
      <c r="B952" s="1">
        <v>17.03</v>
      </c>
      <c r="C952" s="1">
        <v>13.4</v>
      </c>
      <c r="D952">
        <v>1452</v>
      </c>
      <c r="E952" t="str">
        <f>_xlfn.XLOOKUP(A952, 'Customer Information'!$A$1:$A$1001, 'Customer Information'!$B$1:$B$1001)</f>
        <v>High</v>
      </c>
      <c r="F952" t="str">
        <f>_xlfn.XLOOKUP(A952, 'Customer Information'!$A$1:$A$1001, 'Customer Information'!$C$1:$C$1001)</f>
        <v>Young adults</v>
      </c>
      <c r="G952" t="str">
        <f>_xlfn.XLOOKUP('Customer Information'!A952, 'Customer Information'!$A$1:$A$1001, 'Customer Information'!$D$1:$D$1001)</f>
        <v>No</v>
      </c>
      <c r="H952" t="str">
        <f>INDEX('Additional Product Info.'!$A$1:$C$1001, MATCH('Product Positioning'!$A952, 'Additional Product Info.'!$A$1:$A$1001, 0), MATCH('Product Positioning'!H$1, 'Additional Product Info.'!$A$1:$C$1, 0))</f>
        <v>Aisle</v>
      </c>
      <c r="I952" t="str">
        <f>INDEX('Additional Product Info.'!$A$1:$C$1001, MATCH('Product Positioning'!$A952, 'Additional Product Info.'!$A$1:$A$1001, 0), MATCH('Product Positioning'!I$1, 'Additional Product Info.'!$A$1:$C$1, 0))</f>
        <v>Electronics</v>
      </c>
      <c r="J952" t="str">
        <f>_xlfn.XLOOKUP(A952, $A$1:$A$1001, 'Additional Product Info.'!$D$1:$D$1001)</f>
        <v>No</v>
      </c>
      <c r="K952" s="1">
        <f t="shared" si="28"/>
        <v>24727.56</v>
      </c>
      <c r="L952" s="1">
        <f t="shared" si="29"/>
        <v>3.6300000000000008</v>
      </c>
      <c r="M952" t="str">
        <f>IF(L952&lt;=Statistics!$E$6,"Low Difference",IF('Product Positioning'!L952&gt;=Statistics!$E$4,"High Difference","Moderate Difference"))</f>
        <v>Moderate Difference</v>
      </c>
    </row>
    <row r="953" spans="1:13" x14ac:dyDescent="0.2">
      <c r="A953">
        <v>137969</v>
      </c>
      <c r="B953" s="1">
        <v>38.82</v>
      </c>
      <c r="C953" s="1">
        <v>34.28</v>
      </c>
      <c r="D953">
        <v>1987</v>
      </c>
      <c r="E953" t="str">
        <f>_xlfn.XLOOKUP(A953, 'Customer Information'!$A$1:$A$1001, 'Customer Information'!$B$1:$B$1001)</f>
        <v>High</v>
      </c>
      <c r="F953" t="str">
        <f>_xlfn.XLOOKUP(A953, 'Customer Information'!$A$1:$A$1001, 'Customer Information'!$C$1:$C$1001)</f>
        <v>Families</v>
      </c>
      <c r="G953" t="str">
        <f>_xlfn.XLOOKUP('Customer Information'!A953, 'Customer Information'!$A$1:$A$1001, 'Customer Information'!$D$1:$D$1001)</f>
        <v>No</v>
      </c>
      <c r="H953" t="str">
        <f>INDEX('Additional Product Info.'!$A$1:$C$1001, MATCH('Product Positioning'!$A953, 'Additional Product Info.'!$A$1:$A$1001, 0), MATCH('Product Positioning'!H$1, 'Additional Product Info.'!$A$1:$C$1, 0))</f>
        <v>End-cap</v>
      </c>
      <c r="I953" t="str">
        <f>INDEX('Additional Product Info.'!$A$1:$C$1001, MATCH('Product Positioning'!$A953, 'Additional Product Info.'!$A$1:$A$1001, 0), MATCH('Product Positioning'!I$1, 'Additional Product Info.'!$A$1:$C$1, 0))</f>
        <v>Electronics</v>
      </c>
      <c r="J953" t="str">
        <f>_xlfn.XLOOKUP(A953, $A$1:$A$1001, 'Additional Product Info.'!$D$1:$D$1001)</f>
        <v>Yes</v>
      </c>
      <c r="K953" s="1">
        <f t="shared" si="28"/>
        <v>77135.34</v>
      </c>
      <c r="L953" s="1">
        <f t="shared" si="29"/>
        <v>4.5399999999999991</v>
      </c>
      <c r="M953" t="str">
        <f>IF(L953&lt;=Statistics!$E$6,"Low Difference",IF('Product Positioning'!L953&gt;=Statistics!$E$4,"High Difference","Moderate Difference"))</f>
        <v>High Difference</v>
      </c>
    </row>
    <row r="954" spans="1:13" x14ac:dyDescent="0.2">
      <c r="A954">
        <v>146503</v>
      </c>
      <c r="B954" s="1">
        <v>27.63</v>
      </c>
      <c r="C954" s="1">
        <v>26.37</v>
      </c>
      <c r="D954">
        <v>2410</v>
      </c>
      <c r="E954" t="str">
        <f>_xlfn.XLOOKUP(A954, 'Customer Information'!$A$1:$A$1001, 'Customer Information'!$B$1:$B$1001)</f>
        <v>High</v>
      </c>
      <c r="F954" t="str">
        <f>_xlfn.XLOOKUP(A954, 'Customer Information'!$A$1:$A$1001, 'Customer Information'!$C$1:$C$1001)</f>
        <v>Young adults</v>
      </c>
      <c r="G954" t="str">
        <f>_xlfn.XLOOKUP('Customer Information'!A954, 'Customer Information'!$A$1:$A$1001, 'Customer Information'!$D$1:$D$1001)</f>
        <v>Yes</v>
      </c>
      <c r="H954" t="str">
        <f>INDEX('Additional Product Info.'!$A$1:$C$1001, MATCH('Product Positioning'!$A954, 'Additional Product Info.'!$A$1:$A$1001, 0), MATCH('Product Positioning'!H$1, 'Additional Product Info.'!$A$1:$C$1, 0))</f>
        <v>Front of Store</v>
      </c>
      <c r="I954" t="str">
        <f>INDEX('Additional Product Info.'!$A$1:$C$1001, MATCH('Product Positioning'!$A954, 'Additional Product Info.'!$A$1:$A$1001, 0), MATCH('Product Positioning'!I$1, 'Additional Product Info.'!$A$1:$C$1, 0))</f>
        <v>Electronics</v>
      </c>
      <c r="J954" t="str">
        <f>_xlfn.XLOOKUP(A954, $A$1:$A$1001, 'Additional Product Info.'!$D$1:$D$1001)</f>
        <v>No</v>
      </c>
      <c r="K954" s="1">
        <f t="shared" si="28"/>
        <v>66588.3</v>
      </c>
      <c r="L954" s="1">
        <f t="shared" si="29"/>
        <v>1.259999999999998</v>
      </c>
      <c r="M954" t="str">
        <f>IF(L954&lt;=Statistics!$E$6,"Low Difference",IF('Product Positioning'!L954&gt;=Statistics!$E$4,"High Difference","Moderate Difference"))</f>
        <v>Moderate Difference</v>
      </c>
    </row>
    <row r="955" spans="1:13" x14ac:dyDescent="0.2">
      <c r="A955">
        <v>115333</v>
      </c>
      <c r="B955" s="1">
        <v>16.489999999999998</v>
      </c>
      <c r="C955" s="1">
        <v>13.55</v>
      </c>
      <c r="D955">
        <v>962</v>
      </c>
      <c r="E955" t="str">
        <f>_xlfn.XLOOKUP(A955, 'Customer Information'!$A$1:$A$1001, 'Customer Information'!$B$1:$B$1001)</f>
        <v>High</v>
      </c>
      <c r="F955" t="str">
        <f>_xlfn.XLOOKUP(A955, 'Customer Information'!$A$1:$A$1001, 'Customer Information'!$C$1:$C$1001)</f>
        <v>Seniors</v>
      </c>
      <c r="G955" t="str">
        <f>_xlfn.XLOOKUP('Customer Information'!A955, 'Customer Information'!$A$1:$A$1001, 'Customer Information'!$D$1:$D$1001)</f>
        <v>No</v>
      </c>
      <c r="H955" t="str">
        <f>INDEX('Additional Product Info.'!$A$1:$C$1001, MATCH('Product Positioning'!$A955, 'Additional Product Info.'!$A$1:$A$1001, 0), MATCH('Product Positioning'!H$1, 'Additional Product Info.'!$A$1:$C$1, 0))</f>
        <v>Front of Store</v>
      </c>
      <c r="I955" t="str">
        <f>INDEX('Additional Product Info.'!$A$1:$C$1001, MATCH('Product Positioning'!$A955, 'Additional Product Info.'!$A$1:$A$1001, 0), MATCH('Product Positioning'!I$1, 'Additional Product Info.'!$A$1:$C$1, 0))</f>
        <v>Food</v>
      </c>
      <c r="J955" t="str">
        <f>_xlfn.XLOOKUP(A955, $A$1:$A$1001, 'Additional Product Info.'!$D$1:$D$1001)</f>
        <v>No</v>
      </c>
      <c r="K955" s="1">
        <f t="shared" si="28"/>
        <v>15863.38</v>
      </c>
      <c r="L955" s="1">
        <f t="shared" si="29"/>
        <v>2.9399999999999977</v>
      </c>
      <c r="M955" t="str">
        <f>IF(L955&lt;=Statistics!$E$6,"Low Difference",IF('Product Positioning'!L955&gt;=Statistics!$E$4,"High Difference","Moderate Difference"))</f>
        <v>Moderate Difference</v>
      </c>
    </row>
    <row r="956" spans="1:13" x14ac:dyDescent="0.2">
      <c r="A956">
        <v>162808</v>
      </c>
      <c r="B956" s="1">
        <v>36.43</v>
      </c>
      <c r="C956" s="1">
        <v>33.6</v>
      </c>
      <c r="D956">
        <v>775</v>
      </c>
      <c r="E956" t="str">
        <f>_xlfn.XLOOKUP(A956, 'Customer Information'!$A$1:$A$1001, 'Customer Information'!$B$1:$B$1001)</f>
        <v>Low</v>
      </c>
      <c r="F956" t="str">
        <f>_xlfn.XLOOKUP(A956, 'Customer Information'!$A$1:$A$1001, 'Customer Information'!$C$1:$C$1001)</f>
        <v>Young adults</v>
      </c>
      <c r="G956" t="str">
        <f>_xlfn.XLOOKUP('Customer Information'!A956, 'Customer Information'!$A$1:$A$1001, 'Customer Information'!$D$1:$D$1001)</f>
        <v>Yes</v>
      </c>
      <c r="H956" t="str">
        <f>INDEX('Additional Product Info.'!$A$1:$C$1001, MATCH('Product Positioning'!$A956, 'Additional Product Info.'!$A$1:$A$1001, 0), MATCH('Product Positioning'!H$1, 'Additional Product Info.'!$A$1:$C$1, 0))</f>
        <v>End-cap</v>
      </c>
      <c r="I956" t="str">
        <f>INDEX('Additional Product Info.'!$A$1:$C$1001, MATCH('Product Positioning'!$A956, 'Additional Product Info.'!$A$1:$A$1001, 0), MATCH('Product Positioning'!I$1, 'Additional Product Info.'!$A$1:$C$1, 0))</f>
        <v>Electronics</v>
      </c>
      <c r="J956" t="str">
        <f>_xlfn.XLOOKUP(A956, $A$1:$A$1001, 'Additional Product Info.'!$D$1:$D$1001)</f>
        <v>No</v>
      </c>
      <c r="K956" s="1">
        <f t="shared" si="28"/>
        <v>28233.25</v>
      </c>
      <c r="L956" s="1">
        <f t="shared" si="29"/>
        <v>2.8299999999999983</v>
      </c>
      <c r="M956" t="str">
        <f>IF(L956&lt;=Statistics!$E$6,"Low Difference",IF('Product Positioning'!L956&gt;=Statistics!$E$4,"High Difference","Moderate Difference"))</f>
        <v>Moderate Difference</v>
      </c>
    </row>
    <row r="957" spans="1:13" x14ac:dyDescent="0.2">
      <c r="A957">
        <v>114390</v>
      </c>
      <c r="B957" s="1">
        <v>33</v>
      </c>
      <c r="C957" s="1">
        <v>29.31</v>
      </c>
      <c r="D957">
        <v>2674</v>
      </c>
      <c r="E957" t="str">
        <f>_xlfn.XLOOKUP(A957, 'Customer Information'!$A$1:$A$1001, 'Customer Information'!$B$1:$B$1001)</f>
        <v>Low</v>
      </c>
      <c r="F957" t="str">
        <f>_xlfn.XLOOKUP(A957, 'Customer Information'!$A$1:$A$1001, 'Customer Information'!$C$1:$C$1001)</f>
        <v>Young adults</v>
      </c>
      <c r="G957" t="str">
        <f>_xlfn.XLOOKUP('Customer Information'!A957, 'Customer Information'!$A$1:$A$1001, 'Customer Information'!$D$1:$D$1001)</f>
        <v>No</v>
      </c>
      <c r="H957" t="str">
        <f>INDEX('Additional Product Info.'!$A$1:$C$1001, MATCH('Product Positioning'!$A957, 'Additional Product Info.'!$A$1:$A$1001, 0), MATCH('Product Positioning'!H$1, 'Additional Product Info.'!$A$1:$C$1, 0))</f>
        <v>Front of Store</v>
      </c>
      <c r="I957" t="str">
        <f>INDEX('Additional Product Info.'!$A$1:$C$1001, MATCH('Product Positioning'!$A957, 'Additional Product Info.'!$A$1:$A$1001, 0), MATCH('Product Positioning'!I$1, 'Additional Product Info.'!$A$1:$C$1, 0))</f>
        <v>Clothing</v>
      </c>
      <c r="J957" t="str">
        <f>_xlfn.XLOOKUP(A957, $A$1:$A$1001, 'Additional Product Info.'!$D$1:$D$1001)</f>
        <v>No</v>
      </c>
      <c r="K957" s="1">
        <f t="shared" si="28"/>
        <v>88242</v>
      </c>
      <c r="L957" s="1">
        <f t="shared" si="29"/>
        <v>3.6900000000000013</v>
      </c>
      <c r="M957" t="str">
        <f>IF(L957&lt;=Statistics!$E$6,"Low Difference",IF('Product Positioning'!L957&gt;=Statistics!$E$4,"High Difference","Moderate Difference"))</f>
        <v>Moderate Difference</v>
      </c>
    </row>
    <row r="958" spans="1:13" x14ac:dyDescent="0.2">
      <c r="A958">
        <v>154882</v>
      </c>
      <c r="B958" s="1">
        <v>20.81</v>
      </c>
      <c r="C958" s="1">
        <v>18.579999999999998</v>
      </c>
      <c r="D958">
        <v>889</v>
      </c>
      <c r="E958" t="str">
        <f>_xlfn.XLOOKUP(A958, 'Customer Information'!$A$1:$A$1001, 'Customer Information'!$B$1:$B$1001)</f>
        <v>Low</v>
      </c>
      <c r="F958" t="str">
        <f>_xlfn.XLOOKUP(A958, 'Customer Information'!$A$1:$A$1001, 'Customer Information'!$C$1:$C$1001)</f>
        <v>College students</v>
      </c>
      <c r="G958" t="str">
        <f>_xlfn.XLOOKUP('Customer Information'!A958, 'Customer Information'!$A$1:$A$1001, 'Customer Information'!$D$1:$D$1001)</f>
        <v>No</v>
      </c>
      <c r="H958" t="str">
        <f>INDEX('Additional Product Info.'!$A$1:$C$1001, MATCH('Product Positioning'!$A958, 'Additional Product Info.'!$A$1:$A$1001, 0), MATCH('Product Positioning'!H$1, 'Additional Product Info.'!$A$1:$C$1, 0))</f>
        <v>Aisle</v>
      </c>
      <c r="I958" t="str">
        <f>INDEX('Additional Product Info.'!$A$1:$C$1001, MATCH('Product Positioning'!$A958, 'Additional Product Info.'!$A$1:$A$1001, 0), MATCH('Product Positioning'!I$1, 'Additional Product Info.'!$A$1:$C$1, 0))</f>
        <v>Food</v>
      </c>
      <c r="J958" t="str">
        <f>_xlfn.XLOOKUP(A958, $A$1:$A$1001, 'Additional Product Info.'!$D$1:$D$1001)</f>
        <v>Yes</v>
      </c>
      <c r="K958" s="1">
        <f t="shared" si="28"/>
        <v>18500.09</v>
      </c>
      <c r="L958" s="1">
        <f t="shared" si="29"/>
        <v>2.2300000000000004</v>
      </c>
      <c r="M958" t="str">
        <f>IF(L958&lt;=Statistics!$E$6,"Low Difference",IF('Product Positioning'!L958&gt;=Statistics!$E$4,"High Difference","Moderate Difference"))</f>
        <v>Moderate Difference</v>
      </c>
    </row>
    <row r="959" spans="1:13" x14ac:dyDescent="0.2">
      <c r="A959">
        <v>148460</v>
      </c>
      <c r="B959" s="1">
        <v>20.89</v>
      </c>
      <c r="C959" s="1">
        <v>17.37</v>
      </c>
      <c r="D959">
        <v>1433</v>
      </c>
      <c r="E959" t="str">
        <f>_xlfn.XLOOKUP(A959, 'Customer Information'!$A$1:$A$1001, 'Customer Information'!$B$1:$B$1001)</f>
        <v>Medium</v>
      </c>
      <c r="F959" t="str">
        <f>_xlfn.XLOOKUP(A959, 'Customer Information'!$A$1:$A$1001, 'Customer Information'!$C$1:$C$1001)</f>
        <v>College students</v>
      </c>
      <c r="G959" t="str">
        <f>_xlfn.XLOOKUP('Customer Information'!A959, 'Customer Information'!$A$1:$A$1001, 'Customer Information'!$D$1:$D$1001)</f>
        <v>No</v>
      </c>
      <c r="H959" t="str">
        <f>INDEX('Additional Product Info.'!$A$1:$C$1001, MATCH('Product Positioning'!$A959, 'Additional Product Info.'!$A$1:$A$1001, 0), MATCH('Product Positioning'!H$1, 'Additional Product Info.'!$A$1:$C$1, 0))</f>
        <v>Aisle</v>
      </c>
      <c r="I959" t="str">
        <f>INDEX('Additional Product Info.'!$A$1:$C$1001, MATCH('Product Positioning'!$A959, 'Additional Product Info.'!$A$1:$A$1001, 0), MATCH('Product Positioning'!I$1, 'Additional Product Info.'!$A$1:$C$1, 0))</f>
        <v>Food</v>
      </c>
      <c r="J959" t="str">
        <f>_xlfn.XLOOKUP(A959, $A$1:$A$1001, 'Additional Product Info.'!$D$1:$D$1001)</f>
        <v>Yes</v>
      </c>
      <c r="K959" s="1">
        <f t="shared" si="28"/>
        <v>29935.370000000003</v>
      </c>
      <c r="L959" s="1">
        <f t="shared" si="29"/>
        <v>3.5199999999999996</v>
      </c>
      <c r="M959" t="str">
        <f>IF(L959&lt;=Statistics!$E$6,"Low Difference",IF('Product Positioning'!L959&gt;=Statistics!$E$4,"High Difference","Moderate Difference"))</f>
        <v>Moderate Difference</v>
      </c>
    </row>
    <row r="960" spans="1:13" x14ac:dyDescent="0.2">
      <c r="A960">
        <v>188481</v>
      </c>
      <c r="B960" s="1">
        <v>29.43</v>
      </c>
      <c r="C960" s="1">
        <v>28.15</v>
      </c>
      <c r="D960">
        <v>1879</v>
      </c>
      <c r="E960" t="str">
        <f>_xlfn.XLOOKUP(A960, 'Customer Information'!$A$1:$A$1001, 'Customer Information'!$B$1:$B$1001)</f>
        <v>High</v>
      </c>
      <c r="F960" t="str">
        <f>_xlfn.XLOOKUP(A960, 'Customer Information'!$A$1:$A$1001, 'Customer Information'!$C$1:$C$1001)</f>
        <v>Young adults</v>
      </c>
      <c r="G960" t="str">
        <f>_xlfn.XLOOKUP('Customer Information'!A960, 'Customer Information'!$A$1:$A$1001, 'Customer Information'!$D$1:$D$1001)</f>
        <v>Yes</v>
      </c>
      <c r="H960" t="str">
        <f>INDEX('Additional Product Info.'!$A$1:$C$1001, MATCH('Product Positioning'!$A960, 'Additional Product Info.'!$A$1:$A$1001, 0), MATCH('Product Positioning'!H$1, 'Additional Product Info.'!$A$1:$C$1, 0))</f>
        <v>Front of Store</v>
      </c>
      <c r="I960" t="str">
        <f>INDEX('Additional Product Info.'!$A$1:$C$1001, MATCH('Product Positioning'!$A960, 'Additional Product Info.'!$A$1:$A$1001, 0), MATCH('Product Positioning'!I$1, 'Additional Product Info.'!$A$1:$C$1, 0))</f>
        <v>Electronics</v>
      </c>
      <c r="J960" t="str">
        <f>_xlfn.XLOOKUP(A960, $A$1:$A$1001, 'Additional Product Info.'!$D$1:$D$1001)</f>
        <v>No</v>
      </c>
      <c r="K960" s="1">
        <f t="shared" si="28"/>
        <v>55298.97</v>
      </c>
      <c r="L960" s="1">
        <f t="shared" si="29"/>
        <v>1.2800000000000011</v>
      </c>
      <c r="M960" t="str">
        <f>IF(L960&lt;=Statistics!$E$6,"Low Difference",IF('Product Positioning'!L960&gt;=Statistics!$E$4,"High Difference","Moderate Difference"))</f>
        <v>Moderate Difference</v>
      </c>
    </row>
    <row r="961" spans="1:13" x14ac:dyDescent="0.2">
      <c r="A961">
        <v>197435</v>
      </c>
      <c r="B961" s="1">
        <v>11.51</v>
      </c>
      <c r="C961" s="1">
        <v>6.97</v>
      </c>
      <c r="D961">
        <v>2270</v>
      </c>
      <c r="E961" t="str">
        <f>_xlfn.XLOOKUP(A961, 'Customer Information'!$A$1:$A$1001, 'Customer Information'!$B$1:$B$1001)</f>
        <v>Medium</v>
      </c>
      <c r="F961" t="str">
        <f>_xlfn.XLOOKUP(A961, 'Customer Information'!$A$1:$A$1001, 'Customer Information'!$C$1:$C$1001)</f>
        <v>Young adults</v>
      </c>
      <c r="G961" t="str">
        <f>_xlfn.XLOOKUP('Customer Information'!A961, 'Customer Information'!$A$1:$A$1001, 'Customer Information'!$D$1:$D$1001)</f>
        <v>No</v>
      </c>
      <c r="H961" t="str">
        <f>INDEX('Additional Product Info.'!$A$1:$C$1001, MATCH('Product Positioning'!$A961, 'Additional Product Info.'!$A$1:$A$1001, 0), MATCH('Product Positioning'!H$1, 'Additional Product Info.'!$A$1:$C$1, 0))</f>
        <v>Aisle</v>
      </c>
      <c r="I961" t="str">
        <f>INDEX('Additional Product Info.'!$A$1:$C$1001, MATCH('Product Positioning'!$A961, 'Additional Product Info.'!$A$1:$A$1001, 0), MATCH('Product Positioning'!I$1, 'Additional Product Info.'!$A$1:$C$1, 0))</f>
        <v>Clothing</v>
      </c>
      <c r="J961" t="str">
        <f>_xlfn.XLOOKUP(A961, $A$1:$A$1001, 'Additional Product Info.'!$D$1:$D$1001)</f>
        <v>No</v>
      </c>
      <c r="K961" s="1">
        <f t="shared" si="28"/>
        <v>26127.7</v>
      </c>
      <c r="L961" s="1">
        <f t="shared" si="29"/>
        <v>4.54</v>
      </c>
      <c r="M961" t="str">
        <f>IF(L961&lt;=Statistics!$E$6,"Low Difference",IF('Product Positioning'!L961&gt;=Statistics!$E$4,"High Difference","Moderate Difference"))</f>
        <v>High Difference</v>
      </c>
    </row>
    <row r="962" spans="1:13" x14ac:dyDescent="0.2">
      <c r="A962">
        <v>157169</v>
      </c>
      <c r="B962" s="1">
        <v>22.77</v>
      </c>
      <c r="C962" s="1">
        <v>22.64</v>
      </c>
      <c r="D962">
        <v>841</v>
      </c>
      <c r="E962" t="str">
        <f>_xlfn.XLOOKUP(A962, 'Customer Information'!$A$1:$A$1001, 'Customer Information'!$B$1:$B$1001)</f>
        <v>Low</v>
      </c>
      <c r="F962" t="str">
        <f>_xlfn.XLOOKUP(A962, 'Customer Information'!$A$1:$A$1001, 'Customer Information'!$C$1:$C$1001)</f>
        <v>Young adults</v>
      </c>
      <c r="G962" t="str">
        <f>_xlfn.XLOOKUP('Customer Information'!A962, 'Customer Information'!$A$1:$A$1001, 'Customer Information'!$D$1:$D$1001)</f>
        <v>No</v>
      </c>
      <c r="H962" t="str">
        <f>INDEX('Additional Product Info.'!$A$1:$C$1001, MATCH('Product Positioning'!$A962, 'Additional Product Info.'!$A$1:$A$1001, 0), MATCH('Product Positioning'!H$1, 'Additional Product Info.'!$A$1:$C$1, 0))</f>
        <v>End-cap</v>
      </c>
      <c r="I962" t="str">
        <f>INDEX('Additional Product Info.'!$A$1:$C$1001, MATCH('Product Positioning'!$A962, 'Additional Product Info.'!$A$1:$A$1001, 0), MATCH('Product Positioning'!I$1, 'Additional Product Info.'!$A$1:$C$1, 0))</f>
        <v>Clothing</v>
      </c>
      <c r="J962" t="str">
        <f>_xlfn.XLOOKUP(A962, $A$1:$A$1001, 'Additional Product Info.'!$D$1:$D$1001)</f>
        <v>Yes</v>
      </c>
      <c r="K962" s="1">
        <f t="shared" ref="K962:K1001" si="30">B962*D962</f>
        <v>19149.57</v>
      </c>
      <c r="L962" s="1">
        <f t="shared" ref="L962:L1001" si="31">ABS(B962-C962)</f>
        <v>0.12999999999999901</v>
      </c>
      <c r="M962" t="str">
        <f>IF(L962&lt;=Statistics!$E$6,"Low Difference",IF('Product Positioning'!L962&gt;=Statistics!$E$4,"High Difference","Moderate Difference"))</f>
        <v>Low Difference</v>
      </c>
    </row>
    <row r="963" spans="1:13" x14ac:dyDescent="0.2">
      <c r="A963">
        <v>184945</v>
      </c>
      <c r="B963" s="1">
        <v>47.52</v>
      </c>
      <c r="C963" s="1">
        <v>43.76</v>
      </c>
      <c r="D963">
        <v>1220</v>
      </c>
      <c r="E963" t="str">
        <f>_xlfn.XLOOKUP(A963, 'Customer Information'!$A$1:$A$1001, 'Customer Information'!$B$1:$B$1001)</f>
        <v>Low</v>
      </c>
      <c r="F963" t="str">
        <f>_xlfn.XLOOKUP(A963, 'Customer Information'!$A$1:$A$1001, 'Customer Information'!$C$1:$C$1001)</f>
        <v>Families</v>
      </c>
      <c r="G963" t="str">
        <f>_xlfn.XLOOKUP('Customer Information'!A963, 'Customer Information'!$A$1:$A$1001, 'Customer Information'!$D$1:$D$1001)</f>
        <v>Yes</v>
      </c>
      <c r="H963" t="str">
        <f>INDEX('Additional Product Info.'!$A$1:$C$1001, MATCH('Product Positioning'!$A963, 'Additional Product Info.'!$A$1:$A$1001, 0), MATCH('Product Positioning'!H$1, 'Additional Product Info.'!$A$1:$C$1, 0))</f>
        <v>Front of Store</v>
      </c>
      <c r="I963" t="str">
        <f>INDEX('Additional Product Info.'!$A$1:$C$1001, MATCH('Product Positioning'!$A963, 'Additional Product Info.'!$A$1:$A$1001, 0), MATCH('Product Positioning'!I$1, 'Additional Product Info.'!$A$1:$C$1, 0))</f>
        <v>Food</v>
      </c>
      <c r="J963" t="str">
        <f>_xlfn.XLOOKUP(A963, $A$1:$A$1001, 'Additional Product Info.'!$D$1:$D$1001)</f>
        <v>No</v>
      </c>
      <c r="K963" s="1">
        <f t="shared" si="30"/>
        <v>57974.400000000001</v>
      </c>
      <c r="L963" s="1">
        <f t="shared" si="31"/>
        <v>3.7600000000000051</v>
      </c>
      <c r="M963" t="str">
        <f>IF(L963&lt;=Statistics!$E$6,"Low Difference",IF('Product Positioning'!L963&gt;=Statistics!$E$4,"High Difference","Moderate Difference"))</f>
        <v>High Difference</v>
      </c>
    </row>
    <row r="964" spans="1:13" x14ac:dyDescent="0.2">
      <c r="A964">
        <v>140927</v>
      </c>
      <c r="B964" s="1">
        <v>46.55</v>
      </c>
      <c r="C964" s="1">
        <v>44.71</v>
      </c>
      <c r="D964">
        <v>1745</v>
      </c>
      <c r="E964" t="str">
        <f>_xlfn.XLOOKUP(A964, 'Customer Information'!$A$1:$A$1001, 'Customer Information'!$B$1:$B$1001)</f>
        <v>Low</v>
      </c>
      <c r="F964" t="str">
        <f>_xlfn.XLOOKUP(A964, 'Customer Information'!$A$1:$A$1001, 'Customer Information'!$C$1:$C$1001)</f>
        <v>Young adults</v>
      </c>
      <c r="G964" t="str">
        <f>_xlfn.XLOOKUP('Customer Information'!A964, 'Customer Information'!$A$1:$A$1001, 'Customer Information'!$D$1:$D$1001)</f>
        <v>No</v>
      </c>
      <c r="H964" t="str">
        <f>INDEX('Additional Product Info.'!$A$1:$C$1001, MATCH('Product Positioning'!$A964, 'Additional Product Info.'!$A$1:$A$1001, 0), MATCH('Product Positioning'!H$1, 'Additional Product Info.'!$A$1:$C$1, 0))</f>
        <v>Aisle</v>
      </c>
      <c r="I964" t="str">
        <f>INDEX('Additional Product Info.'!$A$1:$C$1001, MATCH('Product Positioning'!$A964, 'Additional Product Info.'!$A$1:$A$1001, 0), MATCH('Product Positioning'!I$1, 'Additional Product Info.'!$A$1:$C$1, 0))</f>
        <v>Food</v>
      </c>
      <c r="J964" t="str">
        <f>_xlfn.XLOOKUP(A964, $A$1:$A$1001, 'Additional Product Info.'!$D$1:$D$1001)</f>
        <v>Yes</v>
      </c>
      <c r="K964" s="1">
        <f t="shared" si="30"/>
        <v>81229.75</v>
      </c>
      <c r="L964" s="1">
        <f t="shared" si="31"/>
        <v>1.8399999999999963</v>
      </c>
      <c r="M964" t="str">
        <f>IF(L964&lt;=Statistics!$E$6,"Low Difference",IF('Product Positioning'!L964&gt;=Statistics!$E$4,"High Difference","Moderate Difference"))</f>
        <v>Moderate Difference</v>
      </c>
    </row>
    <row r="965" spans="1:13" x14ac:dyDescent="0.2">
      <c r="A965">
        <v>174621</v>
      </c>
      <c r="B965" s="1">
        <v>26.66</v>
      </c>
      <c r="C965" s="1">
        <v>26.54</v>
      </c>
      <c r="D965">
        <v>680</v>
      </c>
      <c r="E965" t="str">
        <f>_xlfn.XLOOKUP(A965, 'Customer Information'!$A$1:$A$1001, 'Customer Information'!$B$1:$B$1001)</f>
        <v>Medium</v>
      </c>
      <c r="F965" t="str">
        <f>_xlfn.XLOOKUP(A965, 'Customer Information'!$A$1:$A$1001, 'Customer Information'!$C$1:$C$1001)</f>
        <v>Families</v>
      </c>
      <c r="G965" t="str">
        <f>_xlfn.XLOOKUP('Customer Information'!A965, 'Customer Information'!$A$1:$A$1001, 'Customer Information'!$D$1:$D$1001)</f>
        <v>No</v>
      </c>
      <c r="H965" t="str">
        <f>INDEX('Additional Product Info.'!$A$1:$C$1001, MATCH('Product Positioning'!$A965, 'Additional Product Info.'!$A$1:$A$1001, 0), MATCH('Product Positioning'!H$1, 'Additional Product Info.'!$A$1:$C$1, 0))</f>
        <v>Aisle</v>
      </c>
      <c r="I965" t="str">
        <f>INDEX('Additional Product Info.'!$A$1:$C$1001, MATCH('Product Positioning'!$A965, 'Additional Product Info.'!$A$1:$A$1001, 0), MATCH('Product Positioning'!I$1, 'Additional Product Info.'!$A$1:$C$1, 0))</f>
        <v>Clothing</v>
      </c>
      <c r="J965" t="str">
        <f>_xlfn.XLOOKUP(A965, $A$1:$A$1001, 'Additional Product Info.'!$D$1:$D$1001)</f>
        <v>Yes</v>
      </c>
      <c r="K965" s="1">
        <f t="shared" si="30"/>
        <v>18128.8</v>
      </c>
      <c r="L965" s="1">
        <f t="shared" si="31"/>
        <v>0.12000000000000099</v>
      </c>
      <c r="M965" t="str">
        <f>IF(L965&lt;=Statistics!$E$6,"Low Difference",IF('Product Positioning'!L965&gt;=Statistics!$E$4,"High Difference","Moderate Difference"))</f>
        <v>Low Difference</v>
      </c>
    </row>
    <row r="966" spans="1:13" x14ac:dyDescent="0.2">
      <c r="A966">
        <v>137475</v>
      </c>
      <c r="B966" s="1">
        <v>9.68</v>
      </c>
      <c r="C966" s="1">
        <v>4.75</v>
      </c>
      <c r="D966">
        <v>2258</v>
      </c>
      <c r="E966" t="str">
        <f>_xlfn.XLOOKUP(A966, 'Customer Information'!$A$1:$A$1001, 'Customer Information'!$B$1:$B$1001)</f>
        <v>Low</v>
      </c>
      <c r="F966" t="str">
        <f>_xlfn.XLOOKUP(A966, 'Customer Information'!$A$1:$A$1001, 'Customer Information'!$C$1:$C$1001)</f>
        <v>College students</v>
      </c>
      <c r="G966" t="str">
        <f>_xlfn.XLOOKUP('Customer Information'!A966, 'Customer Information'!$A$1:$A$1001, 'Customer Information'!$D$1:$D$1001)</f>
        <v>No</v>
      </c>
      <c r="H966" t="str">
        <f>INDEX('Additional Product Info.'!$A$1:$C$1001, MATCH('Product Positioning'!$A966, 'Additional Product Info.'!$A$1:$A$1001, 0), MATCH('Product Positioning'!H$1, 'Additional Product Info.'!$A$1:$C$1, 0))</f>
        <v>Front of Store</v>
      </c>
      <c r="I966" t="str">
        <f>INDEX('Additional Product Info.'!$A$1:$C$1001, MATCH('Product Positioning'!$A966, 'Additional Product Info.'!$A$1:$A$1001, 0), MATCH('Product Positioning'!I$1, 'Additional Product Info.'!$A$1:$C$1, 0))</f>
        <v>Food</v>
      </c>
      <c r="J966" t="str">
        <f>_xlfn.XLOOKUP(A966, $A$1:$A$1001, 'Additional Product Info.'!$D$1:$D$1001)</f>
        <v>Yes</v>
      </c>
      <c r="K966" s="1">
        <f t="shared" si="30"/>
        <v>21857.439999999999</v>
      </c>
      <c r="L966" s="1">
        <f t="shared" si="31"/>
        <v>4.93</v>
      </c>
      <c r="M966" t="str">
        <f>IF(L966&lt;=Statistics!$E$6,"Low Difference",IF('Product Positioning'!L966&gt;=Statistics!$E$4,"High Difference","Moderate Difference"))</f>
        <v>High Difference</v>
      </c>
    </row>
    <row r="967" spans="1:13" x14ac:dyDescent="0.2">
      <c r="A967">
        <v>184176</v>
      </c>
      <c r="B967" s="1">
        <v>8.74</v>
      </c>
      <c r="C967" s="1">
        <v>5.79</v>
      </c>
      <c r="D967">
        <v>2278</v>
      </c>
      <c r="E967" t="str">
        <f>_xlfn.XLOOKUP(A967, 'Customer Information'!$A$1:$A$1001, 'Customer Information'!$B$1:$B$1001)</f>
        <v>Medium</v>
      </c>
      <c r="F967" t="str">
        <f>_xlfn.XLOOKUP(A967, 'Customer Information'!$A$1:$A$1001, 'Customer Information'!$C$1:$C$1001)</f>
        <v>Families</v>
      </c>
      <c r="G967" t="str">
        <f>_xlfn.XLOOKUP('Customer Information'!A967, 'Customer Information'!$A$1:$A$1001, 'Customer Information'!$D$1:$D$1001)</f>
        <v>Yes</v>
      </c>
      <c r="H967" t="str">
        <f>INDEX('Additional Product Info.'!$A$1:$C$1001, MATCH('Product Positioning'!$A967, 'Additional Product Info.'!$A$1:$A$1001, 0), MATCH('Product Positioning'!H$1, 'Additional Product Info.'!$A$1:$C$1, 0))</f>
        <v>Aisle</v>
      </c>
      <c r="I967" t="str">
        <f>INDEX('Additional Product Info.'!$A$1:$C$1001, MATCH('Product Positioning'!$A967, 'Additional Product Info.'!$A$1:$A$1001, 0), MATCH('Product Positioning'!I$1, 'Additional Product Info.'!$A$1:$C$1, 0))</f>
        <v>Electronics</v>
      </c>
      <c r="J967" t="str">
        <f>_xlfn.XLOOKUP(A967, $A$1:$A$1001, 'Additional Product Info.'!$D$1:$D$1001)</f>
        <v>Yes</v>
      </c>
      <c r="K967" s="1">
        <f t="shared" si="30"/>
        <v>19909.72</v>
      </c>
      <c r="L967" s="1">
        <f t="shared" si="31"/>
        <v>2.95</v>
      </c>
      <c r="M967" t="str">
        <f>IF(L967&lt;=Statistics!$E$6,"Low Difference",IF('Product Positioning'!L967&gt;=Statistics!$E$4,"High Difference","Moderate Difference"))</f>
        <v>Moderate Difference</v>
      </c>
    </row>
    <row r="968" spans="1:13" x14ac:dyDescent="0.2">
      <c r="A968">
        <v>149169</v>
      </c>
      <c r="B968" s="1">
        <v>37.42</v>
      </c>
      <c r="C968" s="1">
        <v>36.79</v>
      </c>
      <c r="D968">
        <v>2283</v>
      </c>
      <c r="E968" t="str">
        <f>_xlfn.XLOOKUP(A968, 'Customer Information'!$A$1:$A$1001, 'Customer Information'!$B$1:$B$1001)</f>
        <v>Medium</v>
      </c>
      <c r="F968" t="str">
        <f>_xlfn.XLOOKUP(A968, 'Customer Information'!$A$1:$A$1001, 'Customer Information'!$C$1:$C$1001)</f>
        <v>College students</v>
      </c>
      <c r="G968" t="str">
        <f>_xlfn.XLOOKUP('Customer Information'!A968, 'Customer Information'!$A$1:$A$1001, 'Customer Information'!$D$1:$D$1001)</f>
        <v>Yes</v>
      </c>
      <c r="H968" t="str">
        <f>INDEX('Additional Product Info.'!$A$1:$C$1001, MATCH('Product Positioning'!$A968, 'Additional Product Info.'!$A$1:$A$1001, 0), MATCH('Product Positioning'!H$1, 'Additional Product Info.'!$A$1:$C$1, 0))</f>
        <v>End-cap</v>
      </c>
      <c r="I968" t="str">
        <f>INDEX('Additional Product Info.'!$A$1:$C$1001, MATCH('Product Positioning'!$A968, 'Additional Product Info.'!$A$1:$A$1001, 0), MATCH('Product Positioning'!I$1, 'Additional Product Info.'!$A$1:$C$1, 0))</f>
        <v>Electronics</v>
      </c>
      <c r="J968" t="str">
        <f>_xlfn.XLOOKUP(A968, $A$1:$A$1001, 'Additional Product Info.'!$D$1:$D$1001)</f>
        <v>No</v>
      </c>
      <c r="K968" s="1">
        <f t="shared" si="30"/>
        <v>85429.86</v>
      </c>
      <c r="L968" s="1">
        <f t="shared" si="31"/>
        <v>0.63000000000000256</v>
      </c>
      <c r="M968" t="str">
        <f>IF(L968&lt;=Statistics!$E$6,"Low Difference",IF('Product Positioning'!L968&gt;=Statistics!$E$4,"High Difference","Moderate Difference"))</f>
        <v>Low Difference</v>
      </c>
    </row>
    <row r="969" spans="1:13" x14ac:dyDescent="0.2">
      <c r="A969">
        <v>126549</v>
      </c>
      <c r="B969" s="1">
        <v>28.38</v>
      </c>
      <c r="C969" s="1">
        <v>24.05</v>
      </c>
      <c r="D969">
        <v>2690</v>
      </c>
      <c r="E969" t="str">
        <f>_xlfn.XLOOKUP(A969, 'Customer Information'!$A$1:$A$1001, 'Customer Information'!$B$1:$B$1001)</f>
        <v>High</v>
      </c>
      <c r="F969" t="str">
        <f>_xlfn.XLOOKUP(A969, 'Customer Information'!$A$1:$A$1001, 'Customer Information'!$C$1:$C$1001)</f>
        <v>Seniors</v>
      </c>
      <c r="G969" t="str">
        <f>_xlfn.XLOOKUP('Customer Information'!A969, 'Customer Information'!$A$1:$A$1001, 'Customer Information'!$D$1:$D$1001)</f>
        <v>Yes</v>
      </c>
      <c r="H969" t="str">
        <f>INDEX('Additional Product Info.'!$A$1:$C$1001, MATCH('Product Positioning'!$A969, 'Additional Product Info.'!$A$1:$A$1001, 0), MATCH('Product Positioning'!H$1, 'Additional Product Info.'!$A$1:$C$1, 0))</f>
        <v>Front of Store</v>
      </c>
      <c r="I969" t="str">
        <f>INDEX('Additional Product Info.'!$A$1:$C$1001, MATCH('Product Positioning'!$A969, 'Additional Product Info.'!$A$1:$A$1001, 0), MATCH('Product Positioning'!I$1, 'Additional Product Info.'!$A$1:$C$1, 0))</f>
        <v>Clothing</v>
      </c>
      <c r="J969" t="str">
        <f>_xlfn.XLOOKUP(A969, $A$1:$A$1001, 'Additional Product Info.'!$D$1:$D$1001)</f>
        <v>No</v>
      </c>
      <c r="K969" s="1">
        <f t="shared" si="30"/>
        <v>76342.2</v>
      </c>
      <c r="L969" s="1">
        <f t="shared" si="31"/>
        <v>4.3299999999999983</v>
      </c>
      <c r="M969" t="str">
        <f>IF(L969&lt;=Statistics!$E$6,"Low Difference",IF('Product Positioning'!L969&gt;=Statistics!$E$4,"High Difference","Moderate Difference"))</f>
        <v>High Difference</v>
      </c>
    </row>
    <row r="970" spans="1:13" x14ac:dyDescent="0.2">
      <c r="A970">
        <v>138995</v>
      </c>
      <c r="B970" s="1">
        <v>43.32</v>
      </c>
      <c r="C970" s="1">
        <v>42.81</v>
      </c>
      <c r="D970">
        <v>541</v>
      </c>
      <c r="E970" t="str">
        <f>_xlfn.XLOOKUP(A970, 'Customer Information'!$A$1:$A$1001, 'Customer Information'!$B$1:$B$1001)</f>
        <v>High</v>
      </c>
      <c r="F970" t="str">
        <f>_xlfn.XLOOKUP(A970, 'Customer Information'!$A$1:$A$1001, 'Customer Information'!$C$1:$C$1001)</f>
        <v>Young adults</v>
      </c>
      <c r="G970" t="str">
        <f>_xlfn.XLOOKUP('Customer Information'!A970, 'Customer Information'!$A$1:$A$1001, 'Customer Information'!$D$1:$D$1001)</f>
        <v>No</v>
      </c>
      <c r="H970" t="str">
        <f>INDEX('Additional Product Info.'!$A$1:$C$1001, MATCH('Product Positioning'!$A970, 'Additional Product Info.'!$A$1:$A$1001, 0), MATCH('Product Positioning'!H$1, 'Additional Product Info.'!$A$1:$C$1, 0))</f>
        <v>Front of Store</v>
      </c>
      <c r="I970" t="str">
        <f>INDEX('Additional Product Info.'!$A$1:$C$1001, MATCH('Product Positioning'!$A970, 'Additional Product Info.'!$A$1:$A$1001, 0), MATCH('Product Positioning'!I$1, 'Additional Product Info.'!$A$1:$C$1, 0))</f>
        <v>Electronics</v>
      </c>
      <c r="J970" t="str">
        <f>_xlfn.XLOOKUP(A970, $A$1:$A$1001, 'Additional Product Info.'!$D$1:$D$1001)</f>
        <v>No</v>
      </c>
      <c r="K970" s="1">
        <f t="shared" si="30"/>
        <v>23436.12</v>
      </c>
      <c r="L970" s="1">
        <f t="shared" si="31"/>
        <v>0.50999999999999801</v>
      </c>
      <c r="M970" t="str">
        <f>IF(L970&lt;=Statistics!$E$6,"Low Difference",IF('Product Positioning'!L970&gt;=Statistics!$E$4,"High Difference","Moderate Difference"))</f>
        <v>Low Difference</v>
      </c>
    </row>
    <row r="971" spans="1:13" x14ac:dyDescent="0.2">
      <c r="A971">
        <v>110220</v>
      </c>
      <c r="B971" s="1">
        <v>48.11</v>
      </c>
      <c r="C971" s="1">
        <v>44.43</v>
      </c>
      <c r="D971">
        <v>660</v>
      </c>
      <c r="E971" t="str">
        <f>_xlfn.XLOOKUP(A971, 'Customer Information'!$A$1:$A$1001, 'Customer Information'!$B$1:$B$1001)</f>
        <v>Low</v>
      </c>
      <c r="F971" t="str">
        <f>_xlfn.XLOOKUP(A971, 'Customer Information'!$A$1:$A$1001, 'Customer Information'!$C$1:$C$1001)</f>
        <v>Seniors</v>
      </c>
      <c r="G971" t="str">
        <f>_xlfn.XLOOKUP('Customer Information'!A971, 'Customer Information'!$A$1:$A$1001, 'Customer Information'!$D$1:$D$1001)</f>
        <v>Yes</v>
      </c>
      <c r="H971" t="str">
        <f>INDEX('Additional Product Info.'!$A$1:$C$1001, MATCH('Product Positioning'!$A971, 'Additional Product Info.'!$A$1:$A$1001, 0), MATCH('Product Positioning'!H$1, 'Additional Product Info.'!$A$1:$C$1, 0))</f>
        <v>Front of Store</v>
      </c>
      <c r="I971" t="str">
        <f>INDEX('Additional Product Info.'!$A$1:$C$1001, MATCH('Product Positioning'!$A971, 'Additional Product Info.'!$A$1:$A$1001, 0), MATCH('Product Positioning'!I$1, 'Additional Product Info.'!$A$1:$C$1, 0))</f>
        <v>Electronics</v>
      </c>
      <c r="J971" t="str">
        <f>_xlfn.XLOOKUP(A971, $A$1:$A$1001, 'Additional Product Info.'!$D$1:$D$1001)</f>
        <v>Yes</v>
      </c>
      <c r="K971" s="1">
        <f t="shared" si="30"/>
        <v>31752.6</v>
      </c>
      <c r="L971" s="1">
        <f t="shared" si="31"/>
        <v>3.6799999999999997</v>
      </c>
      <c r="M971" t="str">
        <f>IF(L971&lt;=Statistics!$E$6,"Low Difference",IF('Product Positioning'!L971&gt;=Statistics!$E$4,"High Difference","Moderate Difference"))</f>
        <v>Moderate Difference</v>
      </c>
    </row>
    <row r="972" spans="1:13" x14ac:dyDescent="0.2">
      <c r="A972">
        <v>133770</v>
      </c>
      <c r="B972" s="1">
        <v>19.87</v>
      </c>
      <c r="C972" s="1">
        <v>18.07</v>
      </c>
      <c r="D972">
        <v>1978</v>
      </c>
      <c r="E972" t="str">
        <f>_xlfn.XLOOKUP(A972, 'Customer Information'!$A$1:$A$1001, 'Customer Information'!$B$1:$B$1001)</f>
        <v>High</v>
      </c>
      <c r="F972" t="str">
        <f>_xlfn.XLOOKUP(A972, 'Customer Information'!$A$1:$A$1001, 'Customer Information'!$C$1:$C$1001)</f>
        <v>College students</v>
      </c>
      <c r="G972" t="str">
        <f>_xlfn.XLOOKUP('Customer Information'!A972, 'Customer Information'!$A$1:$A$1001, 'Customer Information'!$D$1:$D$1001)</f>
        <v>Yes</v>
      </c>
      <c r="H972" t="str">
        <f>INDEX('Additional Product Info.'!$A$1:$C$1001, MATCH('Product Positioning'!$A972, 'Additional Product Info.'!$A$1:$A$1001, 0), MATCH('Product Positioning'!H$1, 'Additional Product Info.'!$A$1:$C$1, 0))</f>
        <v>Front of Store</v>
      </c>
      <c r="I972" t="str">
        <f>INDEX('Additional Product Info.'!$A$1:$C$1001, MATCH('Product Positioning'!$A972, 'Additional Product Info.'!$A$1:$A$1001, 0), MATCH('Product Positioning'!I$1, 'Additional Product Info.'!$A$1:$C$1, 0))</f>
        <v>Electronics</v>
      </c>
      <c r="J972" t="str">
        <f>_xlfn.XLOOKUP(A972, $A$1:$A$1001, 'Additional Product Info.'!$D$1:$D$1001)</f>
        <v>Yes</v>
      </c>
      <c r="K972" s="1">
        <f t="shared" si="30"/>
        <v>39302.86</v>
      </c>
      <c r="L972" s="1">
        <f t="shared" si="31"/>
        <v>1.8000000000000007</v>
      </c>
      <c r="M972" t="str">
        <f>IF(L972&lt;=Statistics!$E$6,"Low Difference",IF('Product Positioning'!L972&gt;=Statistics!$E$4,"High Difference","Moderate Difference"))</f>
        <v>Moderate Difference</v>
      </c>
    </row>
    <row r="973" spans="1:13" x14ac:dyDescent="0.2">
      <c r="A973">
        <v>165819</v>
      </c>
      <c r="B973" s="1">
        <v>7.09</v>
      </c>
      <c r="C973" s="1">
        <v>2.82</v>
      </c>
      <c r="D973">
        <v>1801</v>
      </c>
      <c r="E973" t="str">
        <f>_xlfn.XLOOKUP(A973, 'Customer Information'!$A$1:$A$1001, 'Customer Information'!$B$1:$B$1001)</f>
        <v>Medium</v>
      </c>
      <c r="F973" t="str">
        <f>_xlfn.XLOOKUP(A973, 'Customer Information'!$A$1:$A$1001, 'Customer Information'!$C$1:$C$1001)</f>
        <v>Families</v>
      </c>
      <c r="G973" t="str">
        <f>_xlfn.XLOOKUP('Customer Information'!A973, 'Customer Information'!$A$1:$A$1001, 'Customer Information'!$D$1:$D$1001)</f>
        <v>Yes</v>
      </c>
      <c r="H973" t="str">
        <f>INDEX('Additional Product Info.'!$A$1:$C$1001, MATCH('Product Positioning'!$A973, 'Additional Product Info.'!$A$1:$A$1001, 0), MATCH('Product Positioning'!H$1, 'Additional Product Info.'!$A$1:$C$1, 0))</f>
        <v>Front of Store</v>
      </c>
      <c r="I973" t="str">
        <f>INDEX('Additional Product Info.'!$A$1:$C$1001, MATCH('Product Positioning'!$A973, 'Additional Product Info.'!$A$1:$A$1001, 0), MATCH('Product Positioning'!I$1, 'Additional Product Info.'!$A$1:$C$1, 0))</f>
        <v>Electronics</v>
      </c>
      <c r="J973" t="str">
        <f>_xlfn.XLOOKUP(A973, $A$1:$A$1001, 'Additional Product Info.'!$D$1:$D$1001)</f>
        <v>No</v>
      </c>
      <c r="K973" s="1">
        <f t="shared" si="30"/>
        <v>12769.09</v>
      </c>
      <c r="L973" s="1">
        <f t="shared" si="31"/>
        <v>4.2699999999999996</v>
      </c>
      <c r="M973" t="str">
        <f>IF(L973&lt;=Statistics!$E$6,"Low Difference",IF('Product Positioning'!L973&gt;=Statistics!$E$4,"High Difference","Moderate Difference"))</f>
        <v>High Difference</v>
      </c>
    </row>
    <row r="974" spans="1:13" x14ac:dyDescent="0.2">
      <c r="A974">
        <v>191957</v>
      </c>
      <c r="B974" s="1">
        <v>24.07</v>
      </c>
      <c r="C974" s="1">
        <v>19.86</v>
      </c>
      <c r="D974">
        <v>1199</v>
      </c>
      <c r="E974" t="str">
        <f>_xlfn.XLOOKUP(A974, 'Customer Information'!$A$1:$A$1001, 'Customer Information'!$B$1:$B$1001)</f>
        <v>Medium</v>
      </c>
      <c r="F974" t="str">
        <f>_xlfn.XLOOKUP(A974, 'Customer Information'!$A$1:$A$1001, 'Customer Information'!$C$1:$C$1001)</f>
        <v>College students</v>
      </c>
      <c r="G974" t="str">
        <f>_xlfn.XLOOKUP('Customer Information'!A974, 'Customer Information'!$A$1:$A$1001, 'Customer Information'!$D$1:$D$1001)</f>
        <v>Yes</v>
      </c>
      <c r="H974" t="str">
        <f>INDEX('Additional Product Info.'!$A$1:$C$1001, MATCH('Product Positioning'!$A974, 'Additional Product Info.'!$A$1:$A$1001, 0), MATCH('Product Positioning'!H$1, 'Additional Product Info.'!$A$1:$C$1, 0))</f>
        <v>Front of Store</v>
      </c>
      <c r="I974" t="str">
        <f>INDEX('Additional Product Info.'!$A$1:$C$1001, MATCH('Product Positioning'!$A974, 'Additional Product Info.'!$A$1:$A$1001, 0), MATCH('Product Positioning'!I$1, 'Additional Product Info.'!$A$1:$C$1, 0))</f>
        <v>Food</v>
      </c>
      <c r="J974" t="str">
        <f>_xlfn.XLOOKUP(A974, $A$1:$A$1001, 'Additional Product Info.'!$D$1:$D$1001)</f>
        <v>Yes</v>
      </c>
      <c r="K974" s="1">
        <f t="shared" si="30"/>
        <v>28859.93</v>
      </c>
      <c r="L974" s="1">
        <f t="shared" si="31"/>
        <v>4.2100000000000009</v>
      </c>
      <c r="M974" t="str">
        <f>IF(L974&lt;=Statistics!$E$6,"Low Difference",IF('Product Positioning'!L974&gt;=Statistics!$E$4,"High Difference","Moderate Difference"))</f>
        <v>High Difference</v>
      </c>
    </row>
    <row r="975" spans="1:13" x14ac:dyDescent="0.2">
      <c r="A975">
        <v>178701</v>
      </c>
      <c r="B975" s="1">
        <v>20.04</v>
      </c>
      <c r="C975" s="1">
        <v>15.24</v>
      </c>
      <c r="D975">
        <v>2921</v>
      </c>
      <c r="E975" t="str">
        <f>_xlfn.XLOOKUP(A975, 'Customer Information'!$A$1:$A$1001, 'Customer Information'!$B$1:$B$1001)</f>
        <v>Low</v>
      </c>
      <c r="F975" t="str">
        <f>_xlfn.XLOOKUP(A975, 'Customer Information'!$A$1:$A$1001, 'Customer Information'!$C$1:$C$1001)</f>
        <v>Young adults</v>
      </c>
      <c r="G975" t="str">
        <f>_xlfn.XLOOKUP('Customer Information'!A975, 'Customer Information'!$A$1:$A$1001, 'Customer Information'!$D$1:$D$1001)</f>
        <v>No</v>
      </c>
      <c r="H975" t="str">
        <f>INDEX('Additional Product Info.'!$A$1:$C$1001, MATCH('Product Positioning'!$A975, 'Additional Product Info.'!$A$1:$A$1001, 0), MATCH('Product Positioning'!H$1, 'Additional Product Info.'!$A$1:$C$1, 0))</f>
        <v>End-cap</v>
      </c>
      <c r="I975" t="str">
        <f>INDEX('Additional Product Info.'!$A$1:$C$1001, MATCH('Product Positioning'!$A975, 'Additional Product Info.'!$A$1:$A$1001, 0), MATCH('Product Positioning'!I$1, 'Additional Product Info.'!$A$1:$C$1, 0))</f>
        <v>Clothing</v>
      </c>
      <c r="J975" t="str">
        <f>_xlfn.XLOOKUP(A975, $A$1:$A$1001, 'Additional Product Info.'!$D$1:$D$1001)</f>
        <v>Yes</v>
      </c>
      <c r="K975" s="1">
        <f t="shared" si="30"/>
        <v>58536.84</v>
      </c>
      <c r="L975" s="1">
        <f t="shared" si="31"/>
        <v>4.7999999999999989</v>
      </c>
      <c r="M975" t="str">
        <f>IF(L975&lt;=Statistics!$E$6,"Low Difference",IF('Product Positioning'!L975&gt;=Statistics!$E$4,"High Difference","Moderate Difference"))</f>
        <v>High Difference</v>
      </c>
    </row>
    <row r="976" spans="1:13" x14ac:dyDescent="0.2">
      <c r="A976">
        <v>181111</v>
      </c>
      <c r="B976" s="1">
        <v>46.12</v>
      </c>
      <c r="C976" s="1">
        <v>43.68</v>
      </c>
      <c r="D976">
        <v>633</v>
      </c>
      <c r="E976" t="str">
        <f>_xlfn.XLOOKUP(A976, 'Customer Information'!$A$1:$A$1001, 'Customer Information'!$B$1:$B$1001)</f>
        <v>High</v>
      </c>
      <c r="F976" t="str">
        <f>_xlfn.XLOOKUP(A976, 'Customer Information'!$A$1:$A$1001, 'Customer Information'!$C$1:$C$1001)</f>
        <v>Families</v>
      </c>
      <c r="G976" t="str">
        <f>_xlfn.XLOOKUP('Customer Information'!A976, 'Customer Information'!$A$1:$A$1001, 'Customer Information'!$D$1:$D$1001)</f>
        <v>No</v>
      </c>
      <c r="H976" t="str">
        <f>INDEX('Additional Product Info.'!$A$1:$C$1001, MATCH('Product Positioning'!$A976, 'Additional Product Info.'!$A$1:$A$1001, 0), MATCH('Product Positioning'!H$1, 'Additional Product Info.'!$A$1:$C$1, 0))</f>
        <v>Front of Store</v>
      </c>
      <c r="I976" t="str">
        <f>INDEX('Additional Product Info.'!$A$1:$C$1001, MATCH('Product Positioning'!$A976, 'Additional Product Info.'!$A$1:$A$1001, 0), MATCH('Product Positioning'!I$1, 'Additional Product Info.'!$A$1:$C$1, 0))</f>
        <v>Food</v>
      </c>
      <c r="J976" t="str">
        <f>_xlfn.XLOOKUP(A976, $A$1:$A$1001, 'Additional Product Info.'!$D$1:$D$1001)</f>
        <v>No</v>
      </c>
      <c r="K976" s="1">
        <f t="shared" si="30"/>
        <v>29193.96</v>
      </c>
      <c r="L976" s="1">
        <f t="shared" si="31"/>
        <v>2.4399999999999977</v>
      </c>
      <c r="M976" t="str">
        <f>IF(L976&lt;=Statistics!$E$6,"Low Difference",IF('Product Positioning'!L976&gt;=Statistics!$E$4,"High Difference","Moderate Difference"))</f>
        <v>Moderate Difference</v>
      </c>
    </row>
    <row r="977" spans="1:13" x14ac:dyDescent="0.2">
      <c r="A977">
        <v>183252</v>
      </c>
      <c r="B977" s="1">
        <v>23.24</v>
      </c>
      <c r="C977" s="1">
        <v>19.350000000000001</v>
      </c>
      <c r="D977">
        <v>792</v>
      </c>
      <c r="E977" t="str">
        <f>_xlfn.XLOOKUP(A977, 'Customer Information'!$A$1:$A$1001, 'Customer Information'!$B$1:$B$1001)</f>
        <v>Medium</v>
      </c>
      <c r="F977" t="str">
        <f>_xlfn.XLOOKUP(A977, 'Customer Information'!$A$1:$A$1001, 'Customer Information'!$C$1:$C$1001)</f>
        <v>Young adults</v>
      </c>
      <c r="G977" t="str">
        <f>_xlfn.XLOOKUP('Customer Information'!A977, 'Customer Information'!$A$1:$A$1001, 'Customer Information'!$D$1:$D$1001)</f>
        <v>Yes</v>
      </c>
      <c r="H977" t="str">
        <f>INDEX('Additional Product Info.'!$A$1:$C$1001, MATCH('Product Positioning'!$A977, 'Additional Product Info.'!$A$1:$A$1001, 0), MATCH('Product Positioning'!H$1, 'Additional Product Info.'!$A$1:$C$1, 0))</f>
        <v>Aisle</v>
      </c>
      <c r="I977" t="str">
        <f>INDEX('Additional Product Info.'!$A$1:$C$1001, MATCH('Product Positioning'!$A977, 'Additional Product Info.'!$A$1:$A$1001, 0), MATCH('Product Positioning'!I$1, 'Additional Product Info.'!$A$1:$C$1, 0))</f>
        <v>Clothing</v>
      </c>
      <c r="J977" t="str">
        <f>_xlfn.XLOOKUP(A977, $A$1:$A$1001, 'Additional Product Info.'!$D$1:$D$1001)</f>
        <v>No</v>
      </c>
      <c r="K977" s="1">
        <f t="shared" si="30"/>
        <v>18406.079999999998</v>
      </c>
      <c r="L977" s="1">
        <f t="shared" si="31"/>
        <v>3.889999999999997</v>
      </c>
      <c r="M977" t="str">
        <f>IF(L977&lt;=Statistics!$E$6,"Low Difference",IF('Product Positioning'!L977&gt;=Statistics!$E$4,"High Difference","Moderate Difference"))</f>
        <v>High Difference</v>
      </c>
    </row>
    <row r="978" spans="1:13" x14ac:dyDescent="0.2">
      <c r="A978">
        <v>182755</v>
      </c>
      <c r="B978" s="1">
        <v>9.14</v>
      </c>
      <c r="C978" s="1">
        <v>8.68</v>
      </c>
      <c r="D978">
        <v>1380</v>
      </c>
      <c r="E978" t="str">
        <f>_xlfn.XLOOKUP(A978, 'Customer Information'!$A$1:$A$1001, 'Customer Information'!$B$1:$B$1001)</f>
        <v>High</v>
      </c>
      <c r="F978" t="str">
        <f>_xlfn.XLOOKUP(A978, 'Customer Information'!$A$1:$A$1001, 'Customer Information'!$C$1:$C$1001)</f>
        <v>Young adults</v>
      </c>
      <c r="G978" t="str">
        <f>_xlfn.XLOOKUP('Customer Information'!A978, 'Customer Information'!$A$1:$A$1001, 'Customer Information'!$D$1:$D$1001)</f>
        <v>No</v>
      </c>
      <c r="H978" t="str">
        <f>INDEX('Additional Product Info.'!$A$1:$C$1001, MATCH('Product Positioning'!$A978, 'Additional Product Info.'!$A$1:$A$1001, 0), MATCH('Product Positioning'!H$1, 'Additional Product Info.'!$A$1:$C$1, 0))</f>
        <v>End-cap</v>
      </c>
      <c r="I978" t="str">
        <f>INDEX('Additional Product Info.'!$A$1:$C$1001, MATCH('Product Positioning'!$A978, 'Additional Product Info.'!$A$1:$A$1001, 0), MATCH('Product Positioning'!I$1, 'Additional Product Info.'!$A$1:$C$1, 0))</f>
        <v>Food</v>
      </c>
      <c r="J978" t="str">
        <f>_xlfn.XLOOKUP(A978, $A$1:$A$1001, 'Additional Product Info.'!$D$1:$D$1001)</f>
        <v>No</v>
      </c>
      <c r="K978" s="1">
        <f t="shared" si="30"/>
        <v>12613.2</v>
      </c>
      <c r="L978" s="1">
        <f t="shared" si="31"/>
        <v>0.46000000000000085</v>
      </c>
      <c r="M978" t="str">
        <f>IF(L978&lt;=Statistics!$E$6,"Low Difference",IF('Product Positioning'!L978&gt;=Statistics!$E$4,"High Difference","Moderate Difference"))</f>
        <v>Low Difference</v>
      </c>
    </row>
    <row r="979" spans="1:13" x14ac:dyDescent="0.2">
      <c r="A979">
        <v>143247</v>
      </c>
      <c r="B979" s="1">
        <v>35.4</v>
      </c>
      <c r="C979" s="1">
        <v>33.28</v>
      </c>
      <c r="D979">
        <v>2845</v>
      </c>
      <c r="E979" t="str">
        <f>_xlfn.XLOOKUP(A979, 'Customer Information'!$A$1:$A$1001, 'Customer Information'!$B$1:$B$1001)</f>
        <v>Medium</v>
      </c>
      <c r="F979" t="str">
        <f>_xlfn.XLOOKUP(A979, 'Customer Information'!$A$1:$A$1001, 'Customer Information'!$C$1:$C$1001)</f>
        <v>Families</v>
      </c>
      <c r="G979" t="str">
        <f>_xlfn.XLOOKUP('Customer Information'!A979, 'Customer Information'!$A$1:$A$1001, 'Customer Information'!$D$1:$D$1001)</f>
        <v>No</v>
      </c>
      <c r="H979" t="str">
        <f>INDEX('Additional Product Info.'!$A$1:$C$1001, MATCH('Product Positioning'!$A979, 'Additional Product Info.'!$A$1:$A$1001, 0), MATCH('Product Positioning'!H$1, 'Additional Product Info.'!$A$1:$C$1, 0))</f>
        <v>Aisle</v>
      </c>
      <c r="I979" t="str">
        <f>INDEX('Additional Product Info.'!$A$1:$C$1001, MATCH('Product Positioning'!$A979, 'Additional Product Info.'!$A$1:$A$1001, 0), MATCH('Product Positioning'!I$1, 'Additional Product Info.'!$A$1:$C$1, 0))</f>
        <v>Clothing</v>
      </c>
      <c r="J979" t="str">
        <f>_xlfn.XLOOKUP(A979, $A$1:$A$1001, 'Additional Product Info.'!$D$1:$D$1001)</f>
        <v>Yes</v>
      </c>
      <c r="K979" s="1">
        <f t="shared" si="30"/>
        <v>100713</v>
      </c>
      <c r="L979" s="1">
        <f t="shared" si="31"/>
        <v>2.1199999999999974</v>
      </c>
      <c r="M979" t="str">
        <f>IF(L979&lt;=Statistics!$E$6,"Low Difference",IF('Product Positioning'!L979&gt;=Statistics!$E$4,"High Difference","Moderate Difference"))</f>
        <v>Moderate Difference</v>
      </c>
    </row>
    <row r="980" spans="1:13" x14ac:dyDescent="0.2">
      <c r="A980">
        <v>118346</v>
      </c>
      <c r="B980" s="1">
        <v>49.68</v>
      </c>
      <c r="C980" s="1">
        <v>46.58</v>
      </c>
      <c r="D980">
        <v>2656</v>
      </c>
      <c r="E980" t="str">
        <f>_xlfn.XLOOKUP(A980, 'Customer Information'!$A$1:$A$1001, 'Customer Information'!$B$1:$B$1001)</f>
        <v>High</v>
      </c>
      <c r="F980" t="str">
        <f>_xlfn.XLOOKUP(A980, 'Customer Information'!$A$1:$A$1001, 'Customer Information'!$C$1:$C$1001)</f>
        <v>Seniors</v>
      </c>
      <c r="G980" t="str">
        <f>_xlfn.XLOOKUP('Customer Information'!A980, 'Customer Information'!$A$1:$A$1001, 'Customer Information'!$D$1:$D$1001)</f>
        <v>No</v>
      </c>
      <c r="H980" t="str">
        <f>INDEX('Additional Product Info.'!$A$1:$C$1001, MATCH('Product Positioning'!$A980, 'Additional Product Info.'!$A$1:$A$1001, 0), MATCH('Product Positioning'!H$1, 'Additional Product Info.'!$A$1:$C$1, 0))</f>
        <v>Front of Store</v>
      </c>
      <c r="I980" t="str">
        <f>INDEX('Additional Product Info.'!$A$1:$C$1001, MATCH('Product Positioning'!$A980, 'Additional Product Info.'!$A$1:$A$1001, 0), MATCH('Product Positioning'!I$1, 'Additional Product Info.'!$A$1:$C$1, 0))</f>
        <v>Clothing</v>
      </c>
      <c r="J980" t="str">
        <f>_xlfn.XLOOKUP(A980, $A$1:$A$1001, 'Additional Product Info.'!$D$1:$D$1001)</f>
        <v>Yes</v>
      </c>
      <c r="K980" s="1">
        <f t="shared" si="30"/>
        <v>131950.07999999999</v>
      </c>
      <c r="L980" s="1">
        <f t="shared" si="31"/>
        <v>3.1000000000000014</v>
      </c>
      <c r="M980" t="str">
        <f>IF(L980&lt;=Statistics!$E$6,"Low Difference",IF('Product Positioning'!L980&gt;=Statistics!$E$4,"High Difference","Moderate Difference"))</f>
        <v>Moderate Difference</v>
      </c>
    </row>
    <row r="981" spans="1:13" x14ac:dyDescent="0.2">
      <c r="A981">
        <v>182563</v>
      </c>
      <c r="B981" s="1">
        <v>13.1</v>
      </c>
      <c r="C981" s="1">
        <v>13</v>
      </c>
      <c r="D981">
        <v>2211</v>
      </c>
      <c r="E981" t="str">
        <f>_xlfn.XLOOKUP(A981, 'Customer Information'!$A$1:$A$1001, 'Customer Information'!$B$1:$B$1001)</f>
        <v>Low</v>
      </c>
      <c r="F981" t="str">
        <f>_xlfn.XLOOKUP(A981, 'Customer Information'!$A$1:$A$1001, 'Customer Information'!$C$1:$C$1001)</f>
        <v>Families</v>
      </c>
      <c r="G981" t="str">
        <f>_xlfn.XLOOKUP('Customer Information'!A981, 'Customer Information'!$A$1:$A$1001, 'Customer Information'!$D$1:$D$1001)</f>
        <v>No</v>
      </c>
      <c r="H981" t="str">
        <f>INDEX('Additional Product Info.'!$A$1:$C$1001, MATCH('Product Positioning'!$A981, 'Additional Product Info.'!$A$1:$A$1001, 0), MATCH('Product Positioning'!H$1, 'Additional Product Info.'!$A$1:$C$1, 0))</f>
        <v>Aisle</v>
      </c>
      <c r="I981" t="str">
        <f>INDEX('Additional Product Info.'!$A$1:$C$1001, MATCH('Product Positioning'!$A981, 'Additional Product Info.'!$A$1:$A$1001, 0), MATCH('Product Positioning'!I$1, 'Additional Product Info.'!$A$1:$C$1, 0))</f>
        <v>Clothing</v>
      </c>
      <c r="J981" t="str">
        <f>_xlfn.XLOOKUP(A981, $A$1:$A$1001, 'Additional Product Info.'!$D$1:$D$1001)</f>
        <v>Yes</v>
      </c>
      <c r="K981" s="1">
        <f t="shared" si="30"/>
        <v>28964.1</v>
      </c>
      <c r="L981" s="1">
        <f t="shared" si="31"/>
        <v>9.9999999999999645E-2</v>
      </c>
      <c r="M981" t="str">
        <f>IF(L981&lt;=Statistics!$E$6,"Low Difference",IF('Product Positioning'!L981&gt;=Statistics!$E$4,"High Difference","Moderate Difference"))</f>
        <v>Low Difference</v>
      </c>
    </row>
    <row r="982" spans="1:13" x14ac:dyDescent="0.2">
      <c r="A982">
        <v>120300</v>
      </c>
      <c r="B982" s="1">
        <v>16.18</v>
      </c>
      <c r="C982" s="1">
        <v>15.84</v>
      </c>
      <c r="D982">
        <v>2698</v>
      </c>
      <c r="E982" t="str">
        <f>_xlfn.XLOOKUP(A982, 'Customer Information'!$A$1:$A$1001, 'Customer Information'!$B$1:$B$1001)</f>
        <v>Low</v>
      </c>
      <c r="F982" t="str">
        <f>_xlfn.XLOOKUP(A982, 'Customer Information'!$A$1:$A$1001, 'Customer Information'!$C$1:$C$1001)</f>
        <v>Young adults</v>
      </c>
      <c r="G982" t="str">
        <f>_xlfn.XLOOKUP('Customer Information'!A982, 'Customer Information'!$A$1:$A$1001, 'Customer Information'!$D$1:$D$1001)</f>
        <v>Yes</v>
      </c>
      <c r="H982" t="str">
        <f>INDEX('Additional Product Info.'!$A$1:$C$1001, MATCH('Product Positioning'!$A982, 'Additional Product Info.'!$A$1:$A$1001, 0), MATCH('Product Positioning'!H$1, 'Additional Product Info.'!$A$1:$C$1, 0))</f>
        <v>End-cap</v>
      </c>
      <c r="I982" t="str">
        <f>INDEX('Additional Product Info.'!$A$1:$C$1001, MATCH('Product Positioning'!$A982, 'Additional Product Info.'!$A$1:$A$1001, 0), MATCH('Product Positioning'!I$1, 'Additional Product Info.'!$A$1:$C$1, 0))</f>
        <v>Food</v>
      </c>
      <c r="J982" t="str">
        <f>_xlfn.XLOOKUP(A982, $A$1:$A$1001, 'Additional Product Info.'!$D$1:$D$1001)</f>
        <v>Yes</v>
      </c>
      <c r="K982" s="1">
        <f t="shared" si="30"/>
        <v>43653.64</v>
      </c>
      <c r="L982" s="1">
        <f t="shared" si="31"/>
        <v>0.33999999999999986</v>
      </c>
      <c r="M982" t="str">
        <f>IF(L982&lt;=Statistics!$E$6,"Low Difference",IF('Product Positioning'!L982&gt;=Statistics!$E$4,"High Difference","Moderate Difference"))</f>
        <v>Low Difference</v>
      </c>
    </row>
    <row r="983" spans="1:13" x14ac:dyDescent="0.2">
      <c r="A983">
        <v>184596</v>
      </c>
      <c r="B983" s="1">
        <v>41.83</v>
      </c>
      <c r="C983" s="1">
        <v>37.17</v>
      </c>
      <c r="D983">
        <v>2745</v>
      </c>
      <c r="E983" t="str">
        <f>_xlfn.XLOOKUP(A983, 'Customer Information'!$A$1:$A$1001, 'Customer Information'!$B$1:$B$1001)</f>
        <v>Low</v>
      </c>
      <c r="F983" t="str">
        <f>_xlfn.XLOOKUP(A983, 'Customer Information'!$A$1:$A$1001, 'Customer Information'!$C$1:$C$1001)</f>
        <v>Young adults</v>
      </c>
      <c r="G983" t="str">
        <f>_xlfn.XLOOKUP('Customer Information'!A983, 'Customer Information'!$A$1:$A$1001, 'Customer Information'!$D$1:$D$1001)</f>
        <v>Yes</v>
      </c>
      <c r="H983" t="str">
        <f>INDEX('Additional Product Info.'!$A$1:$C$1001, MATCH('Product Positioning'!$A983, 'Additional Product Info.'!$A$1:$A$1001, 0), MATCH('Product Positioning'!H$1, 'Additional Product Info.'!$A$1:$C$1, 0))</f>
        <v>Aisle</v>
      </c>
      <c r="I983" t="str">
        <f>INDEX('Additional Product Info.'!$A$1:$C$1001, MATCH('Product Positioning'!$A983, 'Additional Product Info.'!$A$1:$A$1001, 0), MATCH('Product Positioning'!I$1, 'Additional Product Info.'!$A$1:$C$1, 0))</f>
        <v>Clothing</v>
      </c>
      <c r="J983" t="str">
        <f>_xlfn.XLOOKUP(A983, $A$1:$A$1001, 'Additional Product Info.'!$D$1:$D$1001)</f>
        <v>No</v>
      </c>
      <c r="K983" s="1">
        <f t="shared" si="30"/>
        <v>114823.34999999999</v>
      </c>
      <c r="L983" s="1">
        <f t="shared" si="31"/>
        <v>4.6599999999999966</v>
      </c>
      <c r="M983" t="str">
        <f>IF(L983&lt;=Statistics!$E$6,"Low Difference",IF('Product Positioning'!L983&gt;=Statistics!$E$4,"High Difference","Moderate Difference"))</f>
        <v>High Difference</v>
      </c>
    </row>
    <row r="984" spans="1:13" x14ac:dyDescent="0.2">
      <c r="A984">
        <v>165690</v>
      </c>
      <c r="B984" s="1">
        <v>20.399999999999999</v>
      </c>
      <c r="C984" s="1">
        <v>18.71</v>
      </c>
      <c r="D984">
        <v>2069</v>
      </c>
      <c r="E984" t="str">
        <f>_xlfn.XLOOKUP(A984, 'Customer Information'!$A$1:$A$1001, 'Customer Information'!$B$1:$B$1001)</f>
        <v>Low</v>
      </c>
      <c r="F984" t="str">
        <f>_xlfn.XLOOKUP(A984, 'Customer Information'!$A$1:$A$1001, 'Customer Information'!$C$1:$C$1001)</f>
        <v>College students</v>
      </c>
      <c r="G984" t="str">
        <f>_xlfn.XLOOKUP('Customer Information'!A984, 'Customer Information'!$A$1:$A$1001, 'Customer Information'!$D$1:$D$1001)</f>
        <v>No</v>
      </c>
      <c r="H984" t="str">
        <f>INDEX('Additional Product Info.'!$A$1:$C$1001, MATCH('Product Positioning'!$A984, 'Additional Product Info.'!$A$1:$A$1001, 0), MATCH('Product Positioning'!H$1, 'Additional Product Info.'!$A$1:$C$1, 0))</f>
        <v>End-cap</v>
      </c>
      <c r="I984" t="str">
        <f>INDEX('Additional Product Info.'!$A$1:$C$1001, MATCH('Product Positioning'!$A984, 'Additional Product Info.'!$A$1:$A$1001, 0), MATCH('Product Positioning'!I$1, 'Additional Product Info.'!$A$1:$C$1, 0))</f>
        <v>Food</v>
      </c>
      <c r="J984" t="str">
        <f>_xlfn.XLOOKUP(A984, $A$1:$A$1001, 'Additional Product Info.'!$D$1:$D$1001)</f>
        <v>Yes</v>
      </c>
      <c r="K984" s="1">
        <f t="shared" si="30"/>
        <v>42207.6</v>
      </c>
      <c r="L984" s="1">
        <f t="shared" si="31"/>
        <v>1.6899999999999977</v>
      </c>
      <c r="M984" t="str">
        <f>IF(L984&lt;=Statistics!$E$6,"Low Difference",IF('Product Positioning'!L984&gt;=Statistics!$E$4,"High Difference","Moderate Difference"))</f>
        <v>Moderate Difference</v>
      </c>
    </row>
    <row r="985" spans="1:13" x14ac:dyDescent="0.2">
      <c r="A985">
        <v>148366</v>
      </c>
      <c r="B985" s="1">
        <v>19.63</v>
      </c>
      <c r="C985" s="1">
        <v>17.77</v>
      </c>
      <c r="D985">
        <v>935</v>
      </c>
      <c r="E985" t="str">
        <f>_xlfn.XLOOKUP(A985, 'Customer Information'!$A$1:$A$1001, 'Customer Information'!$B$1:$B$1001)</f>
        <v>Medium</v>
      </c>
      <c r="F985" t="str">
        <f>_xlfn.XLOOKUP(A985, 'Customer Information'!$A$1:$A$1001, 'Customer Information'!$C$1:$C$1001)</f>
        <v>Seniors</v>
      </c>
      <c r="G985" t="str">
        <f>_xlfn.XLOOKUP('Customer Information'!A985, 'Customer Information'!$A$1:$A$1001, 'Customer Information'!$D$1:$D$1001)</f>
        <v>No</v>
      </c>
      <c r="H985" t="str">
        <f>INDEX('Additional Product Info.'!$A$1:$C$1001, MATCH('Product Positioning'!$A985, 'Additional Product Info.'!$A$1:$A$1001, 0), MATCH('Product Positioning'!H$1, 'Additional Product Info.'!$A$1:$C$1, 0))</f>
        <v>End-cap</v>
      </c>
      <c r="I985" t="str">
        <f>INDEX('Additional Product Info.'!$A$1:$C$1001, MATCH('Product Positioning'!$A985, 'Additional Product Info.'!$A$1:$A$1001, 0), MATCH('Product Positioning'!I$1, 'Additional Product Info.'!$A$1:$C$1, 0))</f>
        <v>Food</v>
      </c>
      <c r="J985" t="str">
        <f>_xlfn.XLOOKUP(A985, $A$1:$A$1001, 'Additional Product Info.'!$D$1:$D$1001)</f>
        <v>No</v>
      </c>
      <c r="K985" s="1">
        <f t="shared" si="30"/>
        <v>18354.05</v>
      </c>
      <c r="L985" s="1">
        <f t="shared" si="31"/>
        <v>1.8599999999999994</v>
      </c>
      <c r="M985" t="str">
        <f>IF(L985&lt;=Statistics!$E$6,"Low Difference",IF('Product Positioning'!L985&gt;=Statistics!$E$4,"High Difference","Moderate Difference"))</f>
        <v>Moderate Difference</v>
      </c>
    </row>
    <row r="986" spans="1:13" x14ac:dyDescent="0.2">
      <c r="A986">
        <v>154931</v>
      </c>
      <c r="B986" s="1">
        <v>31.27</v>
      </c>
      <c r="C986" s="1">
        <v>28.47</v>
      </c>
      <c r="D986">
        <v>1514</v>
      </c>
      <c r="E986" t="str">
        <f>_xlfn.XLOOKUP(A986, 'Customer Information'!$A$1:$A$1001, 'Customer Information'!$B$1:$B$1001)</f>
        <v>Medium</v>
      </c>
      <c r="F986" t="str">
        <f>_xlfn.XLOOKUP(A986, 'Customer Information'!$A$1:$A$1001, 'Customer Information'!$C$1:$C$1001)</f>
        <v>Families</v>
      </c>
      <c r="G986" t="str">
        <f>_xlfn.XLOOKUP('Customer Information'!A986, 'Customer Information'!$A$1:$A$1001, 'Customer Information'!$D$1:$D$1001)</f>
        <v>Yes</v>
      </c>
      <c r="H986" t="str">
        <f>INDEX('Additional Product Info.'!$A$1:$C$1001, MATCH('Product Positioning'!$A986, 'Additional Product Info.'!$A$1:$A$1001, 0), MATCH('Product Positioning'!H$1, 'Additional Product Info.'!$A$1:$C$1, 0))</f>
        <v>Aisle</v>
      </c>
      <c r="I986" t="str">
        <f>INDEX('Additional Product Info.'!$A$1:$C$1001, MATCH('Product Positioning'!$A986, 'Additional Product Info.'!$A$1:$A$1001, 0), MATCH('Product Positioning'!I$1, 'Additional Product Info.'!$A$1:$C$1, 0))</f>
        <v>Clothing</v>
      </c>
      <c r="J986" t="str">
        <f>_xlfn.XLOOKUP(A986, $A$1:$A$1001, 'Additional Product Info.'!$D$1:$D$1001)</f>
        <v>Yes</v>
      </c>
      <c r="K986" s="1">
        <f t="shared" si="30"/>
        <v>47342.78</v>
      </c>
      <c r="L986" s="1">
        <f t="shared" si="31"/>
        <v>2.8000000000000007</v>
      </c>
      <c r="M986" t="str">
        <f>IF(L986&lt;=Statistics!$E$6,"Low Difference",IF('Product Positioning'!L986&gt;=Statistics!$E$4,"High Difference","Moderate Difference"))</f>
        <v>Moderate Difference</v>
      </c>
    </row>
    <row r="987" spans="1:13" x14ac:dyDescent="0.2">
      <c r="A987">
        <v>129915</v>
      </c>
      <c r="B987" s="1">
        <v>14.36</v>
      </c>
      <c r="C987" s="1">
        <v>12.58</v>
      </c>
      <c r="D987">
        <v>2302</v>
      </c>
      <c r="E987" t="str">
        <f>_xlfn.XLOOKUP(A987, 'Customer Information'!$A$1:$A$1001, 'Customer Information'!$B$1:$B$1001)</f>
        <v>High</v>
      </c>
      <c r="F987" t="str">
        <f>_xlfn.XLOOKUP(A987, 'Customer Information'!$A$1:$A$1001, 'Customer Information'!$C$1:$C$1001)</f>
        <v>Seniors</v>
      </c>
      <c r="G987" t="str">
        <f>_xlfn.XLOOKUP('Customer Information'!A987, 'Customer Information'!$A$1:$A$1001, 'Customer Information'!$D$1:$D$1001)</f>
        <v>No</v>
      </c>
      <c r="H987" t="str">
        <f>INDEX('Additional Product Info.'!$A$1:$C$1001, MATCH('Product Positioning'!$A987, 'Additional Product Info.'!$A$1:$A$1001, 0), MATCH('Product Positioning'!H$1, 'Additional Product Info.'!$A$1:$C$1, 0))</f>
        <v>Front of Store</v>
      </c>
      <c r="I987" t="str">
        <f>INDEX('Additional Product Info.'!$A$1:$C$1001, MATCH('Product Positioning'!$A987, 'Additional Product Info.'!$A$1:$A$1001, 0), MATCH('Product Positioning'!I$1, 'Additional Product Info.'!$A$1:$C$1, 0))</f>
        <v>Electronics</v>
      </c>
      <c r="J987" t="str">
        <f>_xlfn.XLOOKUP(A987, $A$1:$A$1001, 'Additional Product Info.'!$D$1:$D$1001)</f>
        <v>Yes</v>
      </c>
      <c r="K987" s="1">
        <f t="shared" si="30"/>
        <v>33056.720000000001</v>
      </c>
      <c r="L987" s="1">
        <f t="shared" si="31"/>
        <v>1.7799999999999994</v>
      </c>
      <c r="M987" t="str">
        <f>IF(L987&lt;=Statistics!$E$6,"Low Difference",IF('Product Positioning'!L987&gt;=Statistics!$E$4,"High Difference","Moderate Difference"))</f>
        <v>Moderate Difference</v>
      </c>
    </row>
    <row r="988" spans="1:13" x14ac:dyDescent="0.2">
      <c r="A988">
        <v>129854</v>
      </c>
      <c r="B988" s="1">
        <v>13.36</v>
      </c>
      <c r="C988" s="1">
        <v>12.36</v>
      </c>
      <c r="D988">
        <v>1864</v>
      </c>
      <c r="E988" t="str">
        <f>_xlfn.XLOOKUP(A988, 'Customer Information'!$A$1:$A$1001, 'Customer Information'!$B$1:$B$1001)</f>
        <v>Low</v>
      </c>
      <c r="F988" t="str">
        <f>_xlfn.XLOOKUP(A988, 'Customer Information'!$A$1:$A$1001, 'Customer Information'!$C$1:$C$1001)</f>
        <v>Families</v>
      </c>
      <c r="G988" t="str">
        <f>_xlfn.XLOOKUP('Customer Information'!A988, 'Customer Information'!$A$1:$A$1001, 'Customer Information'!$D$1:$D$1001)</f>
        <v>No</v>
      </c>
      <c r="H988" t="str">
        <f>INDEX('Additional Product Info.'!$A$1:$C$1001, MATCH('Product Positioning'!$A988, 'Additional Product Info.'!$A$1:$A$1001, 0), MATCH('Product Positioning'!H$1, 'Additional Product Info.'!$A$1:$C$1, 0))</f>
        <v>End-cap</v>
      </c>
      <c r="I988" t="str">
        <f>INDEX('Additional Product Info.'!$A$1:$C$1001, MATCH('Product Positioning'!$A988, 'Additional Product Info.'!$A$1:$A$1001, 0), MATCH('Product Positioning'!I$1, 'Additional Product Info.'!$A$1:$C$1, 0))</f>
        <v>Clothing</v>
      </c>
      <c r="J988" t="str">
        <f>_xlfn.XLOOKUP(A988, $A$1:$A$1001, 'Additional Product Info.'!$D$1:$D$1001)</f>
        <v>Yes</v>
      </c>
      <c r="K988" s="1">
        <f t="shared" si="30"/>
        <v>24903.039999999997</v>
      </c>
      <c r="L988" s="1">
        <f t="shared" si="31"/>
        <v>1</v>
      </c>
      <c r="M988" t="str">
        <f>IF(L988&lt;=Statistics!$E$6,"Low Difference",IF('Product Positioning'!L988&gt;=Statistics!$E$4,"High Difference","Moderate Difference"))</f>
        <v>Low Difference</v>
      </c>
    </row>
    <row r="989" spans="1:13" x14ac:dyDescent="0.2">
      <c r="A989">
        <v>196418</v>
      </c>
      <c r="B989" s="1">
        <v>39.11</v>
      </c>
      <c r="C989" s="1">
        <v>35.479999999999997</v>
      </c>
      <c r="D989">
        <v>1456</v>
      </c>
      <c r="E989" t="str">
        <f>_xlfn.XLOOKUP(A989, 'Customer Information'!$A$1:$A$1001, 'Customer Information'!$B$1:$B$1001)</f>
        <v>Medium</v>
      </c>
      <c r="F989" t="str">
        <f>_xlfn.XLOOKUP(A989, 'Customer Information'!$A$1:$A$1001, 'Customer Information'!$C$1:$C$1001)</f>
        <v>Seniors</v>
      </c>
      <c r="G989" t="str">
        <f>_xlfn.XLOOKUP('Customer Information'!A989, 'Customer Information'!$A$1:$A$1001, 'Customer Information'!$D$1:$D$1001)</f>
        <v>Yes</v>
      </c>
      <c r="H989" t="str">
        <f>INDEX('Additional Product Info.'!$A$1:$C$1001, MATCH('Product Positioning'!$A989, 'Additional Product Info.'!$A$1:$A$1001, 0), MATCH('Product Positioning'!H$1, 'Additional Product Info.'!$A$1:$C$1, 0))</f>
        <v>Aisle</v>
      </c>
      <c r="I989" t="str">
        <f>INDEX('Additional Product Info.'!$A$1:$C$1001, MATCH('Product Positioning'!$A989, 'Additional Product Info.'!$A$1:$A$1001, 0), MATCH('Product Positioning'!I$1, 'Additional Product Info.'!$A$1:$C$1, 0))</f>
        <v>Food</v>
      </c>
      <c r="J989" t="str">
        <f>_xlfn.XLOOKUP(A989, $A$1:$A$1001, 'Additional Product Info.'!$D$1:$D$1001)</f>
        <v>Yes</v>
      </c>
      <c r="K989" s="1">
        <f t="shared" si="30"/>
        <v>56944.159999999996</v>
      </c>
      <c r="L989" s="1">
        <f t="shared" si="31"/>
        <v>3.6300000000000026</v>
      </c>
      <c r="M989" t="str">
        <f>IF(L989&lt;=Statistics!$E$6,"Low Difference",IF('Product Positioning'!L989&gt;=Statistics!$E$4,"High Difference","Moderate Difference"))</f>
        <v>Moderate Difference</v>
      </c>
    </row>
    <row r="990" spans="1:13" x14ac:dyDescent="0.2">
      <c r="A990">
        <v>147140</v>
      </c>
      <c r="B990" s="1">
        <v>12.72</v>
      </c>
      <c r="C990" s="1">
        <v>11.72</v>
      </c>
      <c r="D990">
        <v>2224</v>
      </c>
      <c r="E990" t="str">
        <f>_xlfn.XLOOKUP(A990, 'Customer Information'!$A$1:$A$1001, 'Customer Information'!$B$1:$B$1001)</f>
        <v>Low</v>
      </c>
      <c r="F990" t="str">
        <f>_xlfn.XLOOKUP(A990, 'Customer Information'!$A$1:$A$1001, 'Customer Information'!$C$1:$C$1001)</f>
        <v>Seniors</v>
      </c>
      <c r="G990" t="str">
        <f>_xlfn.XLOOKUP('Customer Information'!A990, 'Customer Information'!$A$1:$A$1001, 'Customer Information'!$D$1:$D$1001)</f>
        <v>No</v>
      </c>
      <c r="H990" t="str">
        <f>INDEX('Additional Product Info.'!$A$1:$C$1001, MATCH('Product Positioning'!$A990, 'Additional Product Info.'!$A$1:$A$1001, 0), MATCH('Product Positioning'!H$1, 'Additional Product Info.'!$A$1:$C$1, 0))</f>
        <v>Aisle</v>
      </c>
      <c r="I990" t="str">
        <f>INDEX('Additional Product Info.'!$A$1:$C$1001, MATCH('Product Positioning'!$A990, 'Additional Product Info.'!$A$1:$A$1001, 0), MATCH('Product Positioning'!I$1, 'Additional Product Info.'!$A$1:$C$1, 0))</f>
        <v>Food</v>
      </c>
      <c r="J990" t="str">
        <f>_xlfn.XLOOKUP(A990, $A$1:$A$1001, 'Additional Product Info.'!$D$1:$D$1001)</f>
        <v>Yes</v>
      </c>
      <c r="K990" s="1">
        <f t="shared" si="30"/>
        <v>28289.280000000002</v>
      </c>
      <c r="L990" s="1">
        <f t="shared" si="31"/>
        <v>1</v>
      </c>
      <c r="M990" t="str">
        <f>IF(L990&lt;=Statistics!$E$6,"Low Difference",IF('Product Positioning'!L990&gt;=Statistics!$E$4,"High Difference","Moderate Difference"))</f>
        <v>Low Difference</v>
      </c>
    </row>
    <row r="991" spans="1:13" x14ac:dyDescent="0.2">
      <c r="A991">
        <v>176622</v>
      </c>
      <c r="B991" s="1">
        <v>14.7</v>
      </c>
      <c r="C991" s="1">
        <v>14.24</v>
      </c>
      <c r="D991">
        <v>2168</v>
      </c>
      <c r="E991" t="str">
        <f>_xlfn.XLOOKUP(A991, 'Customer Information'!$A$1:$A$1001, 'Customer Information'!$B$1:$B$1001)</f>
        <v>Low</v>
      </c>
      <c r="F991" t="str">
        <f>_xlfn.XLOOKUP(A991, 'Customer Information'!$A$1:$A$1001, 'Customer Information'!$C$1:$C$1001)</f>
        <v>Young adults</v>
      </c>
      <c r="G991" t="str">
        <f>_xlfn.XLOOKUP('Customer Information'!A991, 'Customer Information'!$A$1:$A$1001, 'Customer Information'!$D$1:$D$1001)</f>
        <v>No</v>
      </c>
      <c r="H991" t="str">
        <f>INDEX('Additional Product Info.'!$A$1:$C$1001, MATCH('Product Positioning'!$A991, 'Additional Product Info.'!$A$1:$A$1001, 0), MATCH('Product Positioning'!H$1, 'Additional Product Info.'!$A$1:$C$1, 0))</f>
        <v>End-cap</v>
      </c>
      <c r="I991" t="str">
        <f>INDEX('Additional Product Info.'!$A$1:$C$1001, MATCH('Product Positioning'!$A991, 'Additional Product Info.'!$A$1:$A$1001, 0), MATCH('Product Positioning'!I$1, 'Additional Product Info.'!$A$1:$C$1, 0))</f>
        <v>Electronics</v>
      </c>
      <c r="J991" t="str">
        <f>_xlfn.XLOOKUP(A991, $A$1:$A$1001, 'Additional Product Info.'!$D$1:$D$1001)</f>
        <v>No</v>
      </c>
      <c r="K991" s="1">
        <f t="shared" si="30"/>
        <v>31869.599999999999</v>
      </c>
      <c r="L991" s="1">
        <f t="shared" si="31"/>
        <v>0.45999999999999908</v>
      </c>
      <c r="M991" t="str">
        <f>IF(L991&lt;=Statistics!$E$6,"Low Difference",IF('Product Positioning'!L991&gt;=Statistics!$E$4,"High Difference","Moderate Difference"))</f>
        <v>Low Difference</v>
      </c>
    </row>
    <row r="992" spans="1:13" x14ac:dyDescent="0.2">
      <c r="A992">
        <v>180566</v>
      </c>
      <c r="B992" s="1">
        <v>33.32</v>
      </c>
      <c r="C992" s="1">
        <v>32.9</v>
      </c>
      <c r="D992">
        <v>1897</v>
      </c>
      <c r="E992" t="str">
        <f>_xlfn.XLOOKUP(A992, 'Customer Information'!$A$1:$A$1001, 'Customer Information'!$B$1:$B$1001)</f>
        <v>High</v>
      </c>
      <c r="F992" t="str">
        <f>_xlfn.XLOOKUP(A992, 'Customer Information'!$A$1:$A$1001, 'Customer Information'!$C$1:$C$1001)</f>
        <v>College students</v>
      </c>
      <c r="G992" t="str">
        <f>_xlfn.XLOOKUP('Customer Information'!A992, 'Customer Information'!$A$1:$A$1001, 'Customer Information'!$D$1:$D$1001)</f>
        <v>Yes</v>
      </c>
      <c r="H992" t="str">
        <f>INDEX('Additional Product Info.'!$A$1:$C$1001, MATCH('Product Positioning'!$A992, 'Additional Product Info.'!$A$1:$A$1001, 0), MATCH('Product Positioning'!H$1, 'Additional Product Info.'!$A$1:$C$1, 0))</f>
        <v>Aisle</v>
      </c>
      <c r="I992" t="str">
        <f>INDEX('Additional Product Info.'!$A$1:$C$1001, MATCH('Product Positioning'!$A992, 'Additional Product Info.'!$A$1:$A$1001, 0), MATCH('Product Positioning'!I$1, 'Additional Product Info.'!$A$1:$C$1, 0))</f>
        <v>Clothing</v>
      </c>
      <c r="J992" t="str">
        <f>_xlfn.XLOOKUP(A992, $A$1:$A$1001, 'Additional Product Info.'!$D$1:$D$1001)</f>
        <v>Yes</v>
      </c>
      <c r="K992" s="1">
        <f t="shared" si="30"/>
        <v>63208.04</v>
      </c>
      <c r="L992" s="1">
        <f t="shared" si="31"/>
        <v>0.42000000000000171</v>
      </c>
      <c r="M992" t="str">
        <f>IF(L992&lt;=Statistics!$E$6,"Low Difference",IF('Product Positioning'!L992&gt;=Statistics!$E$4,"High Difference","Moderate Difference"))</f>
        <v>Low Difference</v>
      </c>
    </row>
    <row r="993" spans="1:13" x14ac:dyDescent="0.2">
      <c r="A993">
        <v>124273</v>
      </c>
      <c r="B993" s="1">
        <v>44.99</v>
      </c>
      <c r="C993" s="1">
        <v>44.48</v>
      </c>
      <c r="D993">
        <v>2343</v>
      </c>
      <c r="E993" t="str">
        <f>_xlfn.XLOOKUP(A993, 'Customer Information'!$A$1:$A$1001, 'Customer Information'!$B$1:$B$1001)</f>
        <v>High</v>
      </c>
      <c r="F993" t="str">
        <f>_xlfn.XLOOKUP(A993, 'Customer Information'!$A$1:$A$1001, 'Customer Information'!$C$1:$C$1001)</f>
        <v>Young adults</v>
      </c>
      <c r="G993" t="str">
        <f>_xlfn.XLOOKUP('Customer Information'!A993, 'Customer Information'!$A$1:$A$1001, 'Customer Information'!$D$1:$D$1001)</f>
        <v>Yes</v>
      </c>
      <c r="H993" t="str">
        <f>INDEX('Additional Product Info.'!$A$1:$C$1001, MATCH('Product Positioning'!$A993, 'Additional Product Info.'!$A$1:$A$1001, 0), MATCH('Product Positioning'!H$1, 'Additional Product Info.'!$A$1:$C$1, 0))</f>
        <v>End-cap</v>
      </c>
      <c r="I993" t="str">
        <f>INDEX('Additional Product Info.'!$A$1:$C$1001, MATCH('Product Positioning'!$A993, 'Additional Product Info.'!$A$1:$A$1001, 0), MATCH('Product Positioning'!I$1, 'Additional Product Info.'!$A$1:$C$1, 0))</f>
        <v>Food</v>
      </c>
      <c r="J993" t="str">
        <f>_xlfn.XLOOKUP(A993, $A$1:$A$1001, 'Additional Product Info.'!$D$1:$D$1001)</f>
        <v>Yes</v>
      </c>
      <c r="K993" s="1">
        <f t="shared" si="30"/>
        <v>105411.57</v>
      </c>
      <c r="L993" s="1">
        <f t="shared" si="31"/>
        <v>0.51000000000000512</v>
      </c>
      <c r="M993" t="str">
        <f>IF(L993&lt;=Statistics!$E$6,"Low Difference",IF('Product Positioning'!L993&gt;=Statistics!$E$4,"High Difference","Moderate Difference"))</f>
        <v>Low Difference</v>
      </c>
    </row>
    <row r="994" spans="1:13" x14ac:dyDescent="0.2">
      <c r="A994">
        <v>159902</v>
      </c>
      <c r="B994" s="1">
        <v>34.75</v>
      </c>
      <c r="C994" s="1">
        <v>31.6</v>
      </c>
      <c r="D994">
        <v>1889</v>
      </c>
      <c r="E994" t="str">
        <f>_xlfn.XLOOKUP(A994, 'Customer Information'!$A$1:$A$1001, 'Customer Information'!$B$1:$B$1001)</f>
        <v>Medium</v>
      </c>
      <c r="F994" t="str">
        <f>_xlfn.XLOOKUP(A994, 'Customer Information'!$A$1:$A$1001, 'Customer Information'!$C$1:$C$1001)</f>
        <v>Seniors</v>
      </c>
      <c r="G994" t="str">
        <f>_xlfn.XLOOKUP('Customer Information'!A994, 'Customer Information'!$A$1:$A$1001, 'Customer Information'!$D$1:$D$1001)</f>
        <v>No</v>
      </c>
      <c r="H994" t="str">
        <f>INDEX('Additional Product Info.'!$A$1:$C$1001, MATCH('Product Positioning'!$A994, 'Additional Product Info.'!$A$1:$A$1001, 0), MATCH('Product Positioning'!H$1, 'Additional Product Info.'!$A$1:$C$1, 0))</f>
        <v>Aisle</v>
      </c>
      <c r="I994" t="str">
        <f>INDEX('Additional Product Info.'!$A$1:$C$1001, MATCH('Product Positioning'!$A994, 'Additional Product Info.'!$A$1:$A$1001, 0), MATCH('Product Positioning'!I$1, 'Additional Product Info.'!$A$1:$C$1, 0))</f>
        <v>Electronics</v>
      </c>
      <c r="J994" t="str">
        <f>_xlfn.XLOOKUP(A994, $A$1:$A$1001, 'Additional Product Info.'!$D$1:$D$1001)</f>
        <v>No</v>
      </c>
      <c r="K994" s="1">
        <f t="shared" si="30"/>
        <v>65642.75</v>
      </c>
      <c r="L994" s="1">
        <f t="shared" si="31"/>
        <v>3.1499999999999986</v>
      </c>
      <c r="M994" t="str">
        <f>IF(L994&lt;=Statistics!$E$6,"Low Difference",IF('Product Positioning'!L994&gt;=Statistics!$E$4,"High Difference","Moderate Difference"))</f>
        <v>Moderate Difference</v>
      </c>
    </row>
    <row r="995" spans="1:13" x14ac:dyDescent="0.2">
      <c r="A995">
        <v>163182</v>
      </c>
      <c r="B995" s="1">
        <v>43.05</v>
      </c>
      <c r="C995" s="1">
        <v>41.66</v>
      </c>
      <c r="D995">
        <v>1390</v>
      </c>
      <c r="E995" t="str">
        <f>_xlfn.XLOOKUP(A995, 'Customer Information'!$A$1:$A$1001, 'Customer Information'!$B$1:$B$1001)</f>
        <v>Low</v>
      </c>
      <c r="F995" t="str">
        <f>_xlfn.XLOOKUP(A995, 'Customer Information'!$A$1:$A$1001, 'Customer Information'!$C$1:$C$1001)</f>
        <v>Seniors</v>
      </c>
      <c r="G995" t="str">
        <f>_xlfn.XLOOKUP('Customer Information'!A995, 'Customer Information'!$A$1:$A$1001, 'Customer Information'!$D$1:$D$1001)</f>
        <v>No</v>
      </c>
      <c r="H995" t="str">
        <f>INDEX('Additional Product Info.'!$A$1:$C$1001, MATCH('Product Positioning'!$A995, 'Additional Product Info.'!$A$1:$A$1001, 0), MATCH('Product Positioning'!H$1, 'Additional Product Info.'!$A$1:$C$1, 0))</f>
        <v>Aisle</v>
      </c>
      <c r="I995" t="str">
        <f>INDEX('Additional Product Info.'!$A$1:$C$1001, MATCH('Product Positioning'!$A995, 'Additional Product Info.'!$A$1:$A$1001, 0), MATCH('Product Positioning'!I$1, 'Additional Product Info.'!$A$1:$C$1, 0))</f>
        <v>Electronics</v>
      </c>
      <c r="J995" t="str">
        <f>_xlfn.XLOOKUP(A995, $A$1:$A$1001, 'Additional Product Info.'!$D$1:$D$1001)</f>
        <v>No</v>
      </c>
      <c r="K995" s="1">
        <f t="shared" si="30"/>
        <v>59839.499999999993</v>
      </c>
      <c r="L995" s="1">
        <f t="shared" si="31"/>
        <v>1.3900000000000006</v>
      </c>
      <c r="M995" t="str">
        <f>IF(L995&lt;=Statistics!$E$6,"Low Difference",IF('Product Positioning'!L995&gt;=Statistics!$E$4,"High Difference","Moderate Difference"))</f>
        <v>Moderate Difference</v>
      </c>
    </row>
    <row r="996" spans="1:13" x14ac:dyDescent="0.2">
      <c r="A996">
        <v>121303</v>
      </c>
      <c r="B996" s="1">
        <v>24.35</v>
      </c>
      <c r="C996" s="1">
        <v>23.42</v>
      </c>
      <c r="D996">
        <v>1130</v>
      </c>
      <c r="E996" t="str">
        <f>_xlfn.XLOOKUP(A996, 'Customer Information'!$A$1:$A$1001, 'Customer Information'!$B$1:$B$1001)</f>
        <v>High</v>
      </c>
      <c r="F996" t="str">
        <f>_xlfn.XLOOKUP(A996, 'Customer Information'!$A$1:$A$1001, 'Customer Information'!$C$1:$C$1001)</f>
        <v>Young adults</v>
      </c>
      <c r="G996" t="str">
        <f>_xlfn.XLOOKUP('Customer Information'!A996, 'Customer Information'!$A$1:$A$1001, 'Customer Information'!$D$1:$D$1001)</f>
        <v>Yes</v>
      </c>
      <c r="H996" t="str">
        <f>INDEX('Additional Product Info.'!$A$1:$C$1001, MATCH('Product Positioning'!$A996, 'Additional Product Info.'!$A$1:$A$1001, 0), MATCH('Product Positioning'!H$1, 'Additional Product Info.'!$A$1:$C$1, 0))</f>
        <v>Front of Store</v>
      </c>
      <c r="I996" t="str">
        <f>INDEX('Additional Product Info.'!$A$1:$C$1001, MATCH('Product Positioning'!$A996, 'Additional Product Info.'!$A$1:$A$1001, 0), MATCH('Product Positioning'!I$1, 'Additional Product Info.'!$A$1:$C$1, 0))</f>
        <v>Clothing</v>
      </c>
      <c r="J996" t="str">
        <f>_xlfn.XLOOKUP(A996, $A$1:$A$1001, 'Additional Product Info.'!$D$1:$D$1001)</f>
        <v>Yes</v>
      </c>
      <c r="K996" s="1">
        <f t="shared" si="30"/>
        <v>27515.5</v>
      </c>
      <c r="L996" s="1">
        <f t="shared" si="31"/>
        <v>0.92999999999999972</v>
      </c>
      <c r="M996" t="str">
        <f>IF(L996&lt;=Statistics!$E$6,"Low Difference",IF('Product Positioning'!L996&gt;=Statistics!$E$4,"High Difference","Moderate Difference"))</f>
        <v>Low Difference</v>
      </c>
    </row>
    <row r="997" spans="1:13" x14ac:dyDescent="0.2">
      <c r="A997">
        <v>162658</v>
      </c>
      <c r="B997" s="1">
        <v>11.56</v>
      </c>
      <c r="C997" s="1">
        <v>8.61</v>
      </c>
      <c r="D997">
        <v>1133</v>
      </c>
      <c r="E997" t="str">
        <f>_xlfn.XLOOKUP(A997, 'Customer Information'!$A$1:$A$1001, 'Customer Information'!$B$1:$B$1001)</f>
        <v>Medium</v>
      </c>
      <c r="F997" t="str">
        <f>_xlfn.XLOOKUP(A997, 'Customer Information'!$A$1:$A$1001, 'Customer Information'!$C$1:$C$1001)</f>
        <v>Families</v>
      </c>
      <c r="G997" t="str">
        <f>_xlfn.XLOOKUP('Customer Information'!A997, 'Customer Information'!$A$1:$A$1001, 'Customer Information'!$D$1:$D$1001)</f>
        <v>No</v>
      </c>
      <c r="H997" t="str">
        <f>INDEX('Additional Product Info.'!$A$1:$C$1001, MATCH('Product Positioning'!$A997, 'Additional Product Info.'!$A$1:$A$1001, 0), MATCH('Product Positioning'!H$1, 'Additional Product Info.'!$A$1:$C$1, 0))</f>
        <v>End-cap</v>
      </c>
      <c r="I997" t="str">
        <f>INDEX('Additional Product Info.'!$A$1:$C$1001, MATCH('Product Positioning'!$A997, 'Additional Product Info.'!$A$1:$A$1001, 0), MATCH('Product Positioning'!I$1, 'Additional Product Info.'!$A$1:$C$1, 0))</f>
        <v>Electronics</v>
      </c>
      <c r="J997" t="str">
        <f>_xlfn.XLOOKUP(A997, $A$1:$A$1001, 'Additional Product Info.'!$D$1:$D$1001)</f>
        <v>Yes</v>
      </c>
      <c r="K997" s="1">
        <f t="shared" si="30"/>
        <v>13097.480000000001</v>
      </c>
      <c r="L997" s="1">
        <f t="shared" si="31"/>
        <v>2.9500000000000011</v>
      </c>
      <c r="M997" t="str">
        <f>IF(L997&lt;=Statistics!$E$6,"Low Difference",IF('Product Positioning'!L997&gt;=Statistics!$E$4,"High Difference","Moderate Difference"))</f>
        <v>Moderate Difference</v>
      </c>
    </row>
    <row r="998" spans="1:13" x14ac:dyDescent="0.2">
      <c r="A998">
        <v>146858</v>
      </c>
      <c r="B998" s="1">
        <v>47.72</v>
      </c>
      <c r="C998" s="1">
        <v>46.78</v>
      </c>
      <c r="D998">
        <v>565</v>
      </c>
      <c r="E998" t="str">
        <f>_xlfn.XLOOKUP(A998, 'Customer Information'!$A$1:$A$1001, 'Customer Information'!$B$1:$B$1001)</f>
        <v>Medium</v>
      </c>
      <c r="F998" t="str">
        <f>_xlfn.XLOOKUP(A998, 'Customer Information'!$A$1:$A$1001, 'Customer Information'!$C$1:$C$1001)</f>
        <v>College students</v>
      </c>
      <c r="G998" t="str">
        <f>_xlfn.XLOOKUP('Customer Information'!A998, 'Customer Information'!$A$1:$A$1001, 'Customer Information'!$D$1:$D$1001)</f>
        <v>No</v>
      </c>
      <c r="H998" t="str">
        <f>INDEX('Additional Product Info.'!$A$1:$C$1001, MATCH('Product Positioning'!$A998, 'Additional Product Info.'!$A$1:$A$1001, 0), MATCH('Product Positioning'!H$1, 'Additional Product Info.'!$A$1:$C$1, 0))</f>
        <v>Front of Store</v>
      </c>
      <c r="I998" t="str">
        <f>INDEX('Additional Product Info.'!$A$1:$C$1001, MATCH('Product Positioning'!$A998, 'Additional Product Info.'!$A$1:$A$1001, 0), MATCH('Product Positioning'!I$1, 'Additional Product Info.'!$A$1:$C$1, 0))</f>
        <v>Food</v>
      </c>
      <c r="J998" t="str">
        <f>_xlfn.XLOOKUP(A998, $A$1:$A$1001, 'Additional Product Info.'!$D$1:$D$1001)</f>
        <v>Yes</v>
      </c>
      <c r="K998" s="1">
        <f t="shared" si="30"/>
        <v>26961.8</v>
      </c>
      <c r="L998" s="1">
        <f t="shared" si="31"/>
        <v>0.93999999999999773</v>
      </c>
      <c r="M998" t="str">
        <f>IF(L998&lt;=Statistics!$E$6,"Low Difference",IF('Product Positioning'!L998&gt;=Statistics!$E$4,"High Difference","Moderate Difference"))</f>
        <v>Low Difference</v>
      </c>
    </row>
    <row r="999" spans="1:13" x14ac:dyDescent="0.2">
      <c r="A999">
        <v>174565</v>
      </c>
      <c r="B999" s="1">
        <v>21.3</v>
      </c>
      <c r="C999" s="1">
        <v>18.71</v>
      </c>
      <c r="D999">
        <v>890</v>
      </c>
      <c r="E999" t="str">
        <f>_xlfn.XLOOKUP(A999, 'Customer Information'!$A$1:$A$1001, 'Customer Information'!$B$1:$B$1001)</f>
        <v>High</v>
      </c>
      <c r="F999" t="str">
        <f>_xlfn.XLOOKUP(A999, 'Customer Information'!$A$1:$A$1001, 'Customer Information'!$C$1:$C$1001)</f>
        <v>Seniors</v>
      </c>
      <c r="G999" t="str">
        <f>_xlfn.XLOOKUP('Customer Information'!A999, 'Customer Information'!$A$1:$A$1001, 'Customer Information'!$D$1:$D$1001)</f>
        <v>Yes</v>
      </c>
      <c r="H999" t="str">
        <f>INDEX('Additional Product Info.'!$A$1:$C$1001, MATCH('Product Positioning'!$A999, 'Additional Product Info.'!$A$1:$A$1001, 0), MATCH('Product Positioning'!H$1, 'Additional Product Info.'!$A$1:$C$1, 0))</f>
        <v>Aisle</v>
      </c>
      <c r="I999" t="str">
        <f>INDEX('Additional Product Info.'!$A$1:$C$1001, MATCH('Product Positioning'!$A999, 'Additional Product Info.'!$A$1:$A$1001, 0), MATCH('Product Positioning'!I$1, 'Additional Product Info.'!$A$1:$C$1, 0))</f>
        <v>Electronics</v>
      </c>
      <c r="J999" t="str">
        <f>_xlfn.XLOOKUP(A999, $A$1:$A$1001, 'Additional Product Info.'!$D$1:$D$1001)</f>
        <v>No</v>
      </c>
      <c r="K999" s="1">
        <f t="shared" si="30"/>
        <v>18957</v>
      </c>
      <c r="L999" s="1">
        <f t="shared" si="31"/>
        <v>2.59</v>
      </c>
      <c r="M999" t="str">
        <f>IF(L999&lt;=Statistics!$E$6,"Low Difference",IF('Product Positioning'!L999&gt;=Statistics!$E$4,"High Difference","Moderate Difference"))</f>
        <v>Moderate Difference</v>
      </c>
    </row>
    <row r="1000" spans="1:13" x14ac:dyDescent="0.2">
      <c r="A1000">
        <v>160629</v>
      </c>
      <c r="B1000" s="1">
        <v>22.82</v>
      </c>
      <c r="C1000" s="1">
        <v>19.13</v>
      </c>
      <c r="D1000">
        <v>2538</v>
      </c>
      <c r="E1000" t="str">
        <f>_xlfn.XLOOKUP(A1000, 'Customer Information'!$A$1:$A$1001, 'Customer Information'!$B$1:$B$1001)</f>
        <v>Medium</v>
      </c>
      <c r="F1000" t="str">
        <f>_xlfn.XLOOKUP(A1000, 'Customer Information'!$A$1:$A$1001, 'Customer Information'!$C$1:$C$1001)</f>
        <v>Seniors</v>
      </c>
      <c r="G1000" t="str">
        <f>_xlfn.XLOOKUP('Customer Information'!A1000, 'Customer Information'!$A$1:$A$1001, 'Customer Information'!$D$1:$D$1001)</f>
        <v>No</v>
      </c>
      <c r="H1000" t="str">
        <f>INDEX('Additional Product Info.'!$A$1:$C$1001, MATCH('Product Positioning'!$A1000, 'Additional Product Info.'!$A$1:$A$1001, 0), MATCH('Product Positioning'!H$1, 'Additional Product Info.'!$A$1:$C$1, 0))</f>
        <v>Aisle</v>
      </c>
      <c r="I1000" t="str">
        <f>INDEX('Additional Product Info.'!$A$1:$C$1001, MATCH('Product Positioning'!$A1000, 'Additional Product Info.'!$A$1:$A$1001, 0), MATCH('Product Positioning'!I$1, 'Additional Product Info.'!$A$1:$C$1, 0))</f>
        <v>Electronics</v>
      </c>
      <c r="J1000" t="str">
        <f>_xlfn.XLOOKUP(A1000, $A$1:$A$1001, 'Additional Product Info.'!$D$1:$D$1001)</f>
        <v>Yes</v>
      </c>
      <c r="K1000" s="1">
        <f t="shared" si="30"/>
        <v>57917.16</v>
      </c>
      <c r="L1000" s="1">
        <f t="shared" si="31"/>
        <v>3.6900000000000013</v>
      </c>
      <c r="M1000" t="str">
        <f>IF(L1000&lt;=Statistics!$E$6,"Low Difference",IF('Product Positioning'!L1000&gt;=Statistics!$E$4,"High Difference","Moderate Difference"))</f>
        <v>Moderate Difference</v>
      </c>
    </row>
    <row r="1001" spans="1:13" x14ac:dyDescent="0.2">
      <c r="A1001">
        <v>150654</v>
      </c>
      <c r="B1001" s="1">
        <v>6.38</v>
      </c>
      <c r="C1001" s="1">
        <v>5.25</v>
      </c>
      <c r="D1001">
        <v>2884</v>
      </c>
      <c r="E1001" t="str">
        <f>_xlfn.XLOOKUP(A1001, 'Customer Information'!$A$1:$A$1001, 'Customer Information'!$B$1:$B$1001)</f>
        <v>Medium</v>
      </c>
      <c r="F1001" t="str">
        <f>_xlfn.XLOOKUP(A1001, 'Customer Information'!$A$1:$A$1001, 'Customer Information'!$C$1:$C$1001)</f>
        <v>Young adults</v>
      </c>
      <c r="G1001" t="str">
        <f>_xlfn.XLOOKUP('Customer Information'!A1001, 'Customer Information'!$A$1:$A$1001, 'Customer Information'!$D$1:$D$1001)</f>
        <v>Yes</v>
      </c>
      <c r="H1001" t="str">
        <f>INDEX('Additional Product Info.'!$A$1:$C$1001, MATCH('Product Positioning'!$A1001, 'Additional Product Info.'!$A$1:$A$1001, 0), MATCH('Product Positioning'!H$1, 'Additional Product Info.'!$A$1:$C$1, 0))</f>
        <v>End-cap</v>
      </c>
      <c r="I1001" t="str">
        <f>INDEX('Additional Product Info.'!$A$1:$C$1001, MATCH('Product Positioning'!$A1001, 'Additional Product Info.'!$A$1:$A$1001, 0), MATCH('Product Positioning'!I$1, 'Additional Product Info.'!$A$1:$C$1, 0))</f>
        <v>Electronics</v>
      </c>
      <c r="J1001" t="str">
        <f>_xlfn.XLOOKUP(A1001, $A$1:$A$1001, 'Additional Product Info.'!$D$1:$D$1001)</f>
        <v>No</v>
      </c>
      <c r="K1001" s="1">
        <f t="shared" si="30"/>
        <v>18399.919999999998</v>
      </c>
      <c r="L1001" s="1">
        <f t="shared" si="31"/>
        <v>1.1299999999999999</v>
      </c>
      <c r="M1001" t="str">
        <f>IF(L1001&lt;=Statistics!$E$6,"Low Difference",IF('Product Positioning'!L1001&gt;=Statistics!$E$4,"High Difference","Moderate Difference"))</f>
        <v>Low Difference</v>
      </c>
    </row>
  </sheetData>
  <conditionalFormatting sqref="N2:N1048576">
    <cfRule type="top10" dxfId="49" priority="137" rank="10"/>
    <cfRule type="dataBar" priority="142">
      <dataBar>
        <cfvo type="min"/>
        <cfvo type="max"/>
        <color rgb="FF63C384"/>
      </dataBar>
      <extLst>
        <ext xmlns:x14="http://schemas.microsoft.com/office/spreadsheetml/2009/9/main" uri="{B025F937-C7B1-47D3-B67F-A62EFF666E3E}">
          <x14:id>{517EFDCD-6B57-D34D-9FE2-7417DEACC632}</x14:id>
        </ext>
      </extLst>
    </cfRule>
  </conditionalFormatting>
  <conditionalFormatting sqref="O2:O1048576">
    <cfRule type="dataBar" priority="136">
      <dataBar>
        <cfvo type="min"/>
        <cfvo type="max"/>
        <color rgb="FF63C384"/>
      </dataBar>
      <extLst>
        <ext xmlns:x14="http://schemas.microsoft.com/office/spreadsheetml/2009/9/main" uri="{B025F937-C7B1-47D3-B67F-A62EFF666E3E}">
          <x14:id>{CDDF842D-F6B7-AD46-83E7-C0D458E7178A}</x14:id>
        </ext>
      </extLst>
    </cfRule>
  </conditionalFormatting>
  <conditionalFormatting sqref="O2:O1048576">
    <cfRule type="top10" dxfId="48" priority="131" rank="10"/>
  </conditionalFormatting>
  <conditionalFormatting sqref="P2:P1048576">
    <cfRule type="dataBar" priority="130">
      <dataBar>
        <cfvo type="min"/>
        <cfvo type="max"/>
        <color rgb="FF63C384"/>
      </dataBar>
      <extLst>
        <ext xmlns:x14="http://schemas.microsoft.com/office/spreadsheetml/2009/9/main" uri="{B025F937-C7B1-47D3-B67F-A62EFF666E3E}">
          <x14:id>{223ED762-68A9-6045-AA37-9F537F1C0D96}</x14:id>
        </ext>
      </extLst>
    </cfRule>
  </conditionalFormatting>
  <conditionalFormatting sqref="P2:P1048576">
    <cfRule type="top10" dxfId="47" priority="125" rank="10"/>
  </conditionalFormatting>
  <conditionalFormatting sqref="Q2:Q1048576">
    <cfRule type="dataBar" priority="124">
      <dataBar>
        <cfvo type="min"/>
        <cfvo type="max"/>
        <color rgb="FF63C384"/>
      </dataBar>
      <extLst>
        <ext xmlns:x14="http://schemas.microsoft.com/office/spreadsheetml/2009/9/main" uri="{B025F937-C7B1-47D3-B67F-A62EFF666E3E}">
          <x14:id>{A58093B4-973F-DE4D-8AED-CBC5E83DE4C4}</x14:id>
        </ext>
      </extLst>
    </cfRule>
  </conditionalFormatting>
  <conditionalFormatting sqref="N2:N1048576">
    <cfRule type="dataBar" priority="97">
      <dataBar>
        <cfvo type="min"/>
        <cfvo type="max"/>
        <color rgb="FF63C384"/>
      </dataBar>
      <extLst>
        <ext xmlns:x14="http://schemas.microsoft.com/office/spreadsheetml/2009/9/main" uri="{B025F937-C7B1-47D3-B67F-A62EFF666E3E}">
          <x14:id>{7FC1A8C0-0FCD-DD4D-A234-D46C07C821F8}</x14:id>
        </ext>
      </extLst>
    </cfRule>
    <cfRule type="dataBar" priority="118">
      <dataBar>
        <cfvo type="min"/>
        <cfvo type="max"/>
        <color rgb="FF63C384"/>
      </dataBar>
      <extLst>
        <ext xmlns:x14="http://schemas.microsoft.com/office/spreadsheetml/2009/9/main" uri="{B025F937-C7B1-47D3-B67F-A62EFF666E3E}">
          <x14:id>{9DD3FCAF-CA7E-EF42-B0E4-204718599F43}</x14:id>
        </ext>
      </extLst>
    </cfRule>
  </conditionalFormatting>
  <conditionalFormatting sqref="N2:N1048576">
    <cfRule type="top10" dxfId="46" priority="113" rank="10"/>
  </conditionalFormatting>
  <conditionalFormatting sqref="O2:O1048576">
    <cfRule type="dataBar" priority="112">
      <dataBar>
        <cfvo type="min"/>
        <cfvo type="max"/>
        <color rgb="FF63C384"/>
      </dataBar>
      <extLst>
        <ext xmlns:x14="http://schemas.microsoft.com/office/spreadsheetml/2009/9/main" uri="{B025F937-C7B1-47D3-B67F-A62EFF666E3E}">
          <x14:id>{7F741D08-713C-3E4D-B191-789201DF217D}</x14:id>
        </ext>
      </extLst>
    </cfRule>
  </conditionalFormatting>
  <conditionalFormatting sqref="N2:N1048576">
    <cfRule type="top10" dxfId="45" priority="92" rank="10"/>
  </conditionalFormatting>
  <conditionalFormatting sqref="O2:O1048576">
    <cfRule type="dataBar" priority="91">
      <dataBar>
        <cfvo type="min"/>
        <cfvo type="max"/>
        <color rgb="FF63C384"/>
      </dataBar>
      <extLst>
        <ext xmlns:x14="http://schemas.microsoft.com/office/spreadsheetml/2009/9/main" uri="{B025F937-C7B1-47D3-B67F-A62EFF666E3E}">
          <x14:id>{0E7213CF-35BF-E94B-8C9C-DF5F50AD4705}</x14:id>
        </ext>
      </extLst>
    </cfRule>
  </conditionalFormatting>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101" r:id="rId3" name="Button 5">
              <controlPr defaultSize="0" print="0" autoFill="0" autoPict="0" macro="[0]!Format">
                <anchor moveWithCells="1" sizeWithCells="1">
                  <from>
                    <xdr:col>13</xdr:col>
                    <xdr:colOff>457200</xdr:colOff>
                    <xdr:row>4</xdr:row>
                    <xdr:rowOff>0</xdr:rowOff>
                  </from>
                  <to>
                    <xdr:col>15</xdr:col>
                    <xdr:colOff>330200</xdr:colOff>
                    <xdr:row>5</xdr:row>
                    <xdr:rowOff>177800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517EFDCD-6B57-D34D-9FE2-7417DEACC632}">
            <x14:dataBar minLength="0" maxLength="100" border="1" negativeBarBorderColorSameAsPositive="0">
              <x14:cfvo type="autoMin"/>
              <x14:cfvo type="autoMax"/>
              <x14:borderColor rgb="FF63C384"/>
              <x14:negativeFillColor rgb="FFFF0000"/>
              <x14:negativeBorderColor rgb="FFFF0000"/>
              <x14:axisColor rgb="FF000000"/>
            </x14:dataBar>
          </x14:cfRule>
          <xm:sqref>N2:N1048576</xm:sqref>
        </x14:conditionalFormatting>
        <x14:conditionalFormatting xmlns:xm="http://schemas.microsoft.com/office/excel/2006/main">
          <x14:cfRule type="dataBar" id="{CDDF842D-F6B7-AD46-83E7-C0D458E7178A}">
            <x14:dataBar minLength="0" maxLength="100" border="1" negativeBarBorderColorSameAsPositive="0">
              <x14:cfvo type="autoMin"/>
              <x14:cfvo type="autoMax"/>
              <x14:borderColor rgb="FF63C384"/>
              <x14:negativeFillColor rgb="FFFF0000"/>
              <x14:negativeBorderColor rgb="FFFF0000"/>
              <x14:axisColor rgb="FF000000"/>
            </x14:dataBar>
          </x14:cfRule>
          <xm:sqref>O2:O1048576</xm:sqref>
        </x14:conditionalFormatting>
        <x14:conditionalFormatting xmlns:xm="http://schemas.microsoft.com/office/excel/2006/main">
          <x14:cfRule type="dataBar" id="{223ED762-68A9-6045-AA37-9F537F1C0D96}">
            <x14:dataBar minLength="0" maxLength="100" border="1" negativeBarBorderColorSameAsPositive="0">
              <x14:cfvo type="autoMin"/>
              <x14:cfvo type="autoMax"/>
              <x14:borderColor rgb="FF63C384"/>
              <x14:negativeFillColor rgb="FFFF0000"/>
              <x14:negativeBorderColor rgb="FFFF0000"/>
              <x14:axisColor rgb="FF000000"/>
            </x14:dataBar>
          </x14:cfRule>
          <xm:sqref>P2:P1048576</xm:sqref>
        </x14:conditionalFormatting>
        <x14:conditionalFormatting xmlns:xm="http://schemas.microsoft.com/office/excel/2006/main">
          <x14:cfRule type="dataBar" id="{A58093B4-973F-DE4D-8AED-CBC5E83DE4C4}">
            <x14:dataBar minLength="0" maxLength="100" border="1" negativeBarBorderColorSameAsPositive="0">
              <x14:cfvo type="autoMin"/>
              <x14:cfvo type="autoMax"/>
              <x14:borderColor rgb="FF63C384"/>
              <x14:negativeFillColor rgb="FFFF0000"/>
              <x14:negativeBorderColor rgb="FFFF0000"/>
              <x14:axisColor rgb="FF000000"/>
            </x14:dataBar>
          </x14:cfRule>
          <xm:sqref>Q2:Q1048576</xm:sqref>
        </x14:conditionalFormatting>
        <x14:conditionalFormatting xmlns:xm="http://schemas.microsoft.com/office/excel/2006/main">
          <x14:cfRule type="dataBar" id="{7FC1A8C0-0FCD-DD4D-A234-D46C07C821F8}">
            <x14:dataBar minLength="0" maxLength="100" border="1" negativeBarBorderColorSameAsPositive="0">
              <x14:cfvo type="autoMin"/>
              <x14:cfvo type="autoMax"/>
              <x14:borderColor rgb="FF63C384"/>
              <x14:negativeFillColor rgb="FFFF0000"/>
              <x14:negativeBorderColor rgb="FFFF0000"/>
              <x14:axisColor rgb="FF000000"/>
            </x14:dataBar>
          </x14:cfRule>
          <x14:cfRule type="dataBar" id="{9DD3FCAF-CA7E-EF42-B0E4-204718599F43}">
            <x14:dataBar minLength="0" maxLength="100" border="1" negativeBarBorderColorSameAsPositive="0">
              <x14:cfvo type="autoMin"/>
              <x14:cfvo type="autoMax"/>
              <x14:borderColor rgb="FF63C384"/>
              <x14:negativeFillColor rgb="FFFF0000"/>
              <x14:negativeBorderColor rgb="FFFF0000"/>
              <x14:axisColor rgb="FF000000"/>
            </x14:dataBar>
          </x14:cfRule>
          <xm:sqref>N2:N1048576</xm:sqref>
        </x14:conditionalFormatting>
        <x14:conditionalFormatting xmlns:xm="http://schemas.microsoft.com/office/excel/2006/main">
          <x14:cfRule type="dataBar" id="{7F741D08-713C-3E4D-B191-789201DF217D}">
            <x14:dataBar minLength="0" maxLength="100" border="1" negativeBarBorderColorSameAsPositive="0">
              <x14:cfvo type="autoMin"/>
              <x14:cfvo type="autoMax"/>
              <x14:borderColor rgb="FF63C384"/>
              <x14:negativeFillColor rgb="FFFF0000"/>
              <x14:negativeBorderColor rgb="FFFF0000"/>
              <x14:axisColor rgb="FF000000"/>
            </x14:dataBar>
          </x14:cfRule>
          <xm:sqref>O2:O1048576</xm:sqref>
        </x14:conditionalFormatting>
        <x14:conditionalFormatting xmlns:xm="http://schemas.microsoft.com/office/excel/2006/main">
          <x14:cfRule type="dataBar" id="{0E7213CF-35BF-E94B-8C9C-DF5F50AD4705}">
            <x14:dataBar minLength="0" maxLength="100" border="1" negativeBarBorderColorSameAsPositive="0">
              <x14:cfvo type="autoMin"/>
              <x14:cfvo type="autoMax"/>
              <x14:borderColor rgb="FF63C384"/>
              <x14:negativeFillColor rgb="FFFF0000"/>
              <x14:negativeBorderColor rgb="FFFF0000"/>
              <x14:axisColor rgb="FF000000"/>
            </x14:dataBar>
          </x14:cfRule>
          <xm:sqref>O2:O1048576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001"/>
  <sheetViews>
    <sheetView workbookViewId="0">
      <selection activeCell="D1" sqref="D1"/>
    </sheetView>
  </sheetViews>
  <sheetFormatPr baseColWidth="10" defaultRowHeight="16" x14ac:dyDescent="0.2"/>
  <cols>
    <col min="1" max="1" width="9.5" bestFit="1" customWidth="1"/>
    <col min="2" max="2" width="14.33203125" bestFit="1" customWidth="1"/>
    <col min="3" max="3" width="15" bestFit="1" customWidth="1"/>
    <col min="4" max="4" width="8.5" bestFit="1" customWidth="1"/>
  </cols>
  <sheetData>
    <row r="1" spans="1:4" x14ac:dyDescent="0.2">
      <c r="A1" t="s">
        <v>0</v>
      </c>
      <c r="B1" t="s">
        <v>1</v>
      </c>
      <c r="C1" t="s">
        <v>7</v>
      </c>
      <c r="D1" t="s">
        <v>8</v>
      </c>
    </row>
    <row r="2" spans="1:4" x14ac:dyDescent="0.2">
      <c r="A2">
        <v>185102</v>
      </c>
      <c r="B2" t="s">
        <v>10</v>
      </c>
      <c r="C2" t="s">
        <v>14</v>
      </c>
      <c r="D2" t="s">
        <v>11</v>
      </c>
    </row>
    <row r="3" spans="1:4" x14ac:dyDescent="0.2">
      <c r="A3">
        <v>188771</v>
      </c>
      <c r="B3" t="s">
        <v>10</v>
      </c>
      <c r="C3" t="s">
        <v>14</v>
      </c>
      <c r="D3" t="s">
        <v>11</v>
      </c>
    </row>
    <row r="4" spans="1:4" x14ac:dyDescent="0.2">
      <c r="A4">
        <v>180176</v>
      </c>
      <c r="B4" t="s">
        <v>17</v>
      </c>
      <c r="C4" t="s">
        <v>20</v>
      </c>
      <c r="D4" t="s">
        <v>18</v>
      </c>
    </row>
    <row r="5" spans="1:4" x14ac:dyDescent="0.2">
      <c r="A5">
        <v>112917</v>
      </c>
      <c r="B5" t="s">
        <v>10</v>
      </c>
      <c r="C5" t="s">
        <v>14</v>
      </c>
      <c r="D5" t="s">
        <v>18</v>
      </c>
    </row>
    <row r="6" spans="1:4" x14ac:dyDescent="0.2">
      <c r="A6">
        <v>192936</v>
      </c>
      <c r="B6" t="s">
        <v>17</v>
      </c>
      <c r="C6" t="s">
        <v>14</v>
      </c>
      <c r="D6" t="s">
        <v>18</v>
      </c>
    </row>
    <row r="7" spans="1:4" x14ac:dyDescent="0.2">
      <c r="A7">
        <v>117590</v>
      </c>
      <c r="B7" t="s">
        <v>17</v>
      </c>
      <c r="C7" t="s">
        <v>14</v>
      </c>
      <c r="D7" t="s">
        <v>11</v>
      </c>
    </row>
    <row r="8" spans="1:4" x14ac:dyDescent="0.2">
      <c r="A8">
        <v>189118</v>
      </c>
      <c r="B8" t="s">
        <v>22</v>
      </c>
      <c r="C8" t="s">
        <v>14</v>
      </c>
      <c r="D8" t="s">
        <v>18</v>
      </c>
    </row>
    <row r="9" spans="1:4" x14ac:dyDescent="0.2">
      <c r="A9">
        <v>182157</v>
      </c>
      <c r="B9" t="s">
        <v>10</v>
      </c>
      <c r="C9" t="s">
        <v>14</v>
      </c>
      <c r="D9" t="s">
        <v>11</v>
      </c>
    </row>
    <row r="10" spans="1:4" x14ac:dyDescent="0.2">
      <c r="A10">
        <v>141861</v>
      </c>
      <c r="B10" t="s">
        <v>10</v>
      </c>
      <c r="C10" t="s">
        <v>20</v>
      </c>
      <c r="D10" t="s">
        <v>18</v>
      </c>
    </row>
    <row r="11" spans="1:4" x14ac:dyDescent="0.2">
      <c r="A11">
        <v>137121</v>
      </c>
      <c r="B11" t="s">
        <v>10</v>
      </c>
      <c r="C11" t="s">
        <v>20</v>
      </c>
      <c r="D11" t="s">
        <v>18</v>
      </c>
    </row>
    <row r="12" spans="1:4" x14ac:dyDescent="0.2">
      <c r="A12">
        <v>113143</v>
      </c>
      <c r="B12" t="s">
        <v>10</v>
      </c>
      <c r="C12" t="s">
        <v>24</v>
      </c>
      <c r="D12" t="s">
        <v>18</v>
      </c>
    </row>
    <row r="13" spans="1:4" x14ac:dyDescent="0.2">
      <c r="A13">
        <v>140028</v>
      </c>
      <c r="B13" t="s">
        <v>10</v>
      </c>
      <c r="C13" t="s">
        <v>24</v>
      </c>
      <c r="D13" t="s">
        <v>18</v>
      </c>
    </row>
    <row r="14" spans="1:4" x14ac:dyDescent="0.2">
      <c r="A14">
        <v>134693</v>
      </c>
      <c r="B14" t="s">
        <v>10</v>
      </c>
      <c r="C14" t="s">
        <v>24</v>
      </c>
      <c r="D14" t="s">
        <v>11</v>
      </c>
    </row>
    <row r="15" spans="1:4" x14ac:dyDescent="0.2">
      <c r="A15">
        <v>151396</v>
      </c>
      <c r="B15" t="s">
        <v>22</v>
      </c>
      <c r="C15" t="s">
        <v>24</v>
      </c>
      <c r="D15" t="s">
        <v>18</v>
      </c>
    </row>
    <row r="16" spans="1:4" x14ac:dyDescent="0.2">
      <c r="A16">
        <v>132889</v>
      </c>
      <c r="B16" t="s">
        <v>10</v>
      </c>
      <c r="C16" t="s">
        <v>24</v>
      </c>
      <c r="D16" t="s">
        <v>18</v>
      </c>
    </row>
    <row r="17" spans="1:4" x14ac:dyDescent="0.2">
      <c r="A17">
        <v>152174</v>
      </c>
      <c r="B17" t="s">
        <v>17</v>
      </c>
      <c r="C17" t="s">
        <v>14</v>
      </c>
      <c r="D17" t="s">
        <v>11</v>
      </c>
    </row>
    <row r="18" spans="1:4" x14ac:dyDescent="0.2">
      <c r="A18">
        <v>129906</v>
      </c>
      <c r="B18" t="s">
        <v>10</v>
      </c>
      <c r="C18" t="s">
        <v>24</v>
      </c>
      <c r="D18" t="s">
        <v>11</v>
      </c>
    </row>
    <row r="19" spans="1:4" x14ac:dyDescent="0.2">
      <c r="A19">
        <v>195879</v>
      </c>
      <c r="B19" t="s">
        <v>22</v>
      </c>
      <c r="C19" t="s">
        <v>24</v>
      </c>
      <c r="D19" t="s">
        <v>18</v>
      </c>
    </row>
    <row r="20" spans="1:4" x14ac:dyDescent="0.2">
      <c r="A20">
        <v>155050</v>
      </c>
      <c r="B20" t="s">
        <v>10</v>
      </c>
      <c r="C20" t="s">
        <v>14</v>
      </c>
      <c r="D20" t="s">
        <v>18</v>
      </c>
    </row>
    <row r="21" spans="1:4" x14ac:dyDescent="0.2">
      <c r="A21">
        <v>194410</v>
      </c>
      <c r="B21" t="s">
        <v>17</v>
      </c>
      <c r="C21" t="s">
        <v>20</v>
      </c>
      <c r="D21" t="s">
        <v>11</v>
      </c>
    </row>
    <row r="22" spans="1:4" x14ac:dyDescent="0.2">
      <c r="A22">
        <v>141904</v>
      </c>
      <c r="B22" t="s">
        <v>17</v>
      </c>
      <c r="C22" t="s">
        <v>24</v>
      </c>
      <c r="D22" t="s">
        <v>18</v>
      </c>
    </row>
    <row r="23" spans="1:4" x14ac:dyDescent="0.2">
      <c r="A23">
        <v>124981</v>
      </c>
      <c r="B23" t="s">
        <v>22</v>
      </c>
      <c r="C23" t="s">
        <v>14</v>
      </c>
      <c r="D23" t="s">
        <v>18</v>
      </c>
    </row>
    <row r="24" spans="1:4" x14ac:dyDescent="0.2">
      <c r="A24">
        <v>161909</v>
      </c>
      <c r="B24" t="s">
        <v>10</v>
      </c>
      <c r="C24" t="s">
        <v>20</v>
      </c>
      <c r="D24" t="s">
        <v>11</v>
      </c>
    </row>
    <row r="25" spans="1:4" x14ac:dyDescent="0.2">
      <c r="A25">
        <v>129152</v>
      </c>
      <c r="B25" t="s">
        <v>17</v>
      </c>
      <c r="C25" t="s">
        <v>20</v>
      </c>
      <c r="D25" t="s">
        <v>11</v>
      </c>
    </row>
    <row r="26" spans="1:4" x14ac:dyDescent="0.2">
      <c r="A26">
        <v>183243</v>
      </c>
      <c r="B26" t="s">
        <v>22</v>
      </c>
      <c r="C26" t="s">
        <v>24</v>
      </c>
      <c r="D26" t="s">
        <v>11</v>
      </c>
    </row>
    <row r="27" spans="1:4" x14ac:dyDescent="0.2">
      <c r="A27">
        <v>198248</v>
      </c>
      <c r="B27" t="s">
        <v>22</v>
      </c>
      <c r="C27" t="s">
        <v>14</v>
      </c>
      <c r="D27" t="s">
        <v>11</v>
      </c>
    </row>
    <row r="28" spans="1:4" x14ac:dyDescent="0.2">
      <c r="A28">
        <v>191230</v>
      </c>
      <c r="B28" t="s">
        <v>17</v>
      </c>
      <c r="C28" t="s">
        <v>14</v>
      </c>
      <c r="D28" t="s">
        <v>11</v>
      </c>
    </row>
    <row r="29" spans="1:4" x14ac:dyDescent="0.2">
      <c r="A29">
        <v>187234</v>
      </c>
      <c r="B29" t="s">
        <v>22</v>
      </c>
      <c r="C29" t="s">
        <v>14</v>
      </c>
      <c r="D29" t="s">
        <v>18</v>
      </c>
    </row>
    <row r="30" spans="1:4" x14ac:dyDescent="0.2">
      <c r="A30">
        <v>148888</v>
      </c>
      <c r="B30" t="s">
        <v>22</v>
      </c>
      <c r="C30" t="s">
        <v>14</v>
      </c>
      <c r="D30" t="s">
        <v>11</v>
      </c>
    </row>
    <row r="31" spans="1:4" x14ac:dyDescent="0.2">
      <c r="A31">
        <v>110805</v>
      </c>
      <c r="B31" t="s">
        <v>22</v>
      </c>
      <c r="C31" t="s">
        <v>24</v>
      </c>
      <c r="D31" t="s">
        <v>11</v>
      </c>
    </row>
    <row r="32" spans="1:4" x14ac:dyDescent="0.2">
      <c r="A32">
        <v>179801</v>
      </c>
      <c r="B32" t="s">
        <v>22</v>
      </c>
      <c r="C32" t="s">
        <v>20</v>
      </c>
      <c r="D32" t="s">
        <v>18</v>
      </c>
    </row>
    <row r="33" spans="1:4" x14ac:dyDescent="0.2">
      <c r="A33">
        <v>134927</v>
      </c>
      <c r="B33" t="s">
        <v>10</v>
      </c>
      <c r="C33" t="s">
        <v>20</v>
      </c>
      <c r="D33" t="s">
        <v>18</v>
      </c>
    </row>
    <row r="34" spans="1:4" x14ac:dyDescent="0.2">
      <c r="A34">
        <v>123150</v>
      </c>
      <c r="B34" t="s">
        <v>17</v>
      </c>
      <c r="C34" t="s">
        <v>20</v>
      </c>
      <c r="D34" t="s">
        <v>11</v>
      </c>
    </row>
    <row r="35" spans="1:4" x14ac:dyDescent="0.2">
      <c r="A35">
        <v>159145</v>
      </c>
      <c r="B35" t="s">
        <v>17</v>
      </c>
      <c r="C35" t="s">
        <v>20</v>
      </c>
      <c r="D35" t="s">
        <v>11</v>
      </c>
    </row>
    <row r="36" spans="1:4" x14ac:dyDescent="0.2">
      <c r="A36">
        <v>172364</v>
      </c>
      <c r="B36" t="s">
        <v>10</v>
      </c>
      <c r="C36" t="s">
        <v>14</v>
      </c>
      <c r="D36" t="s">
        <v>11</v>
      </c>
    </row>
    <row r="37" spans="1:4" x14ac:dyDescent="0.2">
      <c r="A37">
        <v>178281</v>
      </c>
      <c r="B37" t="s">
        <v>17</v>
      </c>
      <c r="C37" t="s">
        <v>20</v>
      </c>
      <c r="D37" t="s">
        <v>18</v>
      </c>
    </row>
    <row r="38" spans="1:4" x14ac:dyDescent="0.2">
      <c r="A38">
        <v>194339</v>
      </c>
      <c r="B38" t="s">
        <v>17</v>
      </c>
      <c r="C38" t="s">
        <v>14</v>
      </c>
      <c r="D38" t="s">
        <v>11</v>
      </c>
    </row>
    <row r="39" spans="1:4" x14ac:dyDescent="0.2">
      <c r="A39">
        <v>174412</v>
      </c>
      <c r="B39" t="s">
        <v>10</v>
      </c>
      <c r="C39" t="s">
        <v>20</v>
      </c>
      <c r="D39" t="s">
        <v>18</v>
      </c>
    </row>
    <row r="40" spans="1:4" x14ac:dyDescent="0.2">
      <c r="A40">
        <v>114877</v>
      </c>
      <c r="B40" t="s">
        <v>10</v>
      </c>
      <c r="C40" t="s">
        <v>14</v>
      </c>
      <c r="D40" t="s">
        <v>11</v>
      </c>
    </row>
    <row r="41" spans="1:4" x14ac:dyDescent="0.2">
      <c r="A41">
        <v>140727</v>
      </c>
      <c r="B41" t="s">
        <v>17</v>
      </c>
      <c r="C41" t="s">
        <v>14</v>
      </c>
      <c r="D41" t="s">
        <v>18</v>
      </c>
    </row>
    <row r="42" spans="1:4" x14ac:dyDescent="0.2">
      <c r="A42">
        <v>133109</v>
      </c>
      <c r="B42" t="s">
        <v>22</v>
      </c>
      <c r="C42" t="s">
        <v>14</v>
      </c>
      <c r="D42" t="s">
        <v>18</v>
      </c>
    </row>
    <row r="43" spans="1:4" x14ac:dyDescent="0.2">
      <c r="A43">
        <v>127296</v>
      </c>
      <c r="B43" t="s">
        <v>10</v>
      </c>
      <c r="C43" t="s">
        <v>24</v>
      </c>
      <c r="D43" t="s">
        <v>11</v>
      </c>
    </row>
    <row r="44" spans="1:4" x14ac:dyDescent="0.2">
      <c r="A44">
        <v>133757</v>
      </c>
      <c r="B44" t="s">
        <v>10</v>
      </c>
      <c r="C44" t="s">
        <v>20</v>
      </c>
      <c r="D44" t="s">
        <v>11</v>
      </c>
    </row>
    <row r="45" spans="1:4" x14ac:dyDescent="0.2">
      <c r="A45">
        <v>111760</v>
      </c>
      <c r="B45" t="s">
        <v>17</v>
      </c>
      <c r="C45" t="s">
        <v>14</v>
      </c>
      <c r="D45" t="s">
        <v>11</v>
      </c>
    </row>
    <row r="46" spans="1:4" x14ac:dyDescent="0.2">
      <c r="A46">
        <v>198375</v>
      </c>
      <c r="B46" t="s">
        <v>17</v>
      </c>
      <c r="C46" t="s">
        <v>14</v>
      </c>
      <c r="D46" t="s">
        <v>11</v>
      </c>
    </row>
    <row r="47" spans="1:4" x14ac:dyDescent="0.2">
      <c r="A47">
        <v>168837</v>
      </c>
      <c r="B47" t="s">
        <v>10</v>
      </c>
      <c r="C47" t="s">
        <v>20</v>
      </c>
      <c r="D47" t="s">
        <v>11</v>
      </c>
    </row>
    <row r="48" spans="1:4" x14ac:dyDescent="0.2">
      <c r="A48">
        <v>138505</v>
      </c>
      <c r="B48" t="s">
        <v>22</v>
      </c>
      <c r="C48" t="s">
        <v>24</v>
      </c>
      <c r="D48" t="s">
        <v>11</v>
      </c>
    </row>
    <row r="49" spans="1:4" x14ac:dyDescent="0.2">
      <c r="A49">
        <v>116228</v>
      </c>
      <c r="B49" t="s">
        <v>17</v>
      </c>
      <c r="C49" t="s">
        <v>14</v>
      </c>
      <c r="D49" t="s">
        <v>11</v>
      </c>
    </row>
    <row r="50" spans="1:4" x14ac:dyDescent="0.2">
      <c r="A50">
        <v>167592</v>
      </c>
      <c r="B50" t="s">
        <v>22</v>
      </c>
      <c r="C50" t="s">
        <v>24</v>
      </c>
      <c r="D50" t="s">
        <v>11</v>
      </c>
    </row>
    <row r="51" spans="1:4" x14ac:dyDescent="0.2">
      <c r="A51">
        <v>133100</v>
      </c>
      <c r="B51" t="s">
        <v>17</v>
      </c>
      <c r="C51" t="s">
        <v>14</v>
      </c>
      <c r="D51" t="s">
        <v>11</v>
      </c>
    </row>
    <row r="52" spans="1:4" x14ac:dyDescent="0.2">
      <c r="A52">
        <v>119955</v>
      </c>
      <c r="B52" t="s">
        <v>22</v>
      </c>
      <c r="C52" t="s">
        <v>20</v>
      </c>
      <c r="D52" t="s">
        <v>11</v>
      </c>
    </row>
    <row r="53" spans="1:4" x14ac:dyDescent="0.2">
      <c r="A53">
        <v>189349</v>
      </c>
      <c r="B53" t="s">
        <v>17</v>
      </c>
      <c r="C53" t="s">
        <v>20</v>
      </c>
      <c r="D53" t="s">
        <v>11</v>
      </c>
    </row>
    <row r="54" spans="1:4" x14ac:dyDescent="0.2">
      <c r="A54">
        <v>127478</v>
      </c>
      <c r="B54" t="s">
        <v>22</v>
      </c>
      <c r="C54" t="s">
        <v>14</v>
      </c>
      <c r="D54" t="s">
        <v>18</v>
      </c>
    </row>
    <row r="55" spans="1:4" x14ac:dyDescent="0.2">
      <c r="A55">
        <v>180661</v>
      </c>
      <c r="B55" t="s">
        <v>22</v>
      </c>
      <c r="C55" t="s">
        <v>24</v>
      </c>
      <c r="D55" t="s">
        <v>18</v>
      </c>
    </row>
    <row r="56" spans="1:4" x14ac:dyDescent="0.2">
      <c r="A56">
        <v>186681</v>
      </c>
      <c r="B56" t="s">
        <v>17</v>
      </c>
      <c r="C56" t="s">
        <v>24</v>
      </c>
      <c r="D56" t="s">
        <v>18</v>
      </c>
    </row>
    <row r="57" spans="1:4" x14ac:dyDescent="0.2">
      <c r="A57">
        <v>133183</v>
      </c>
      <c r="B57" t="s">
        <v>22</v>
      </c>
      <c r="C57" t="s">
        <v>20</v>
      </c>
      <c r="D57" t="s">
        <v>18</v>
      </c>
    </row>
    <row r="58" spans="1:4" x14ac:dyDescent="0.2">
      <c r="A58">
        <v>173508</v>
      </c>
      <c r="B58" t="s">
        <v>10</v>
      </c>
      <c r="C58" t="s">
        <v>24</v>
      </c>
      <c r="D58" t="s">
        <v>11</v>
      </c>
    </row>
    <row r="59" spans="1:4" x14ac:dyDescent="0.2">
      <c r="A59">
        <v>187930</v>
      </c>
      <c r="B59" t="s">
        <v>17</v>
      </c>
      <c r="C59" t="s">
        <v>20</v>
      </c>
      <c r="D59" t="s">
        <v>18</v>
      </c>
    </row>
    <row r="60" spans="1:4" x14ac:dyDescent="0.2">
      <c r="A60">
        <v>124088</v>
      </c>
      <c r="B60" t="s">
        <v>17</v>
      </c>
      <c r="C60" t="s">
        <v>20</v>
      </c>
      <c r="D60" t="s">
        <v>18</v>
      </c>
    </row>
    <row r="61" spans="1:4" x14ac:dyDescent="0.2">
      <c r="A61">
        <v>190238</v>
      </c>
      <c r="B61" t="s">
        <v>22</v>
      </c>
      <c r="C61" t="s">
        <v>14</v>
      </c>
      <c r="D61" t="s">
        <v>18</v>
      </c>
    </row>
    <row r="62" spans="1:4" x14ac:dyDescent="0.2">
      <c r="A62">
        <v>151925</v>
      </c>
      <c r="B62" t="s">
        <v>17</v>
      </c>
      <c r="C62" t="s">
        <v>24</v>
      </c>
      <c r="D62" t="s">
        <v>18</v>
      </c>
    </row>
    <row r="63" spans="1:4" x14ac:dyDescent="0.2">
      <c r="A63">
        <v>163234</v>
      </c>
      <c r="B63" t="s">
        <v>22</v>
      </c>
      <c r="C63" t="s">
        <v>14</v>
      </c>
      <c r="D63" t="s">
        <v>11</v>
      </c>
    </row>
    <row r="64" spans="1:4" x14ac:dyDescent="0.2">
      <c r="A64">
        <v>135610</v>
      </c>
      <c r="B64" t="s">
        <v>10</v>
      </c>
      <c r="C64" t="s">
        <v>20</v>
      </c>
      <c r="D64" t="s">
        <v>18</v>
      </c>
    </row>
    <row r="65" spans="1:4" x14ac:dyDescent="0.2">
      <c r="A65">
        <v>117065</v>
      </c>
      <c r="B65" t="s">
        <v>10</v>
      </c>
      <c r="C65" t="s">
        <v>20</v>
      </c>
      <c r="D65" t="s">
        <v>18</v>
      </c>
    </row>
    <row r="66" spans="1:4" x14ac:dyDescent="0.2">
      <c r="A66">
        <v>149315</v>
      </c>
      <c r="B66" t="s">
        <v>17</v>
      </c>
      <c r="C66" t="s">
        <v>20</v>
      </c>
      <c r="D66" t="s">
        <v>11</v>
      </c>
    </row>
    <row r="67" spans="1:4" x14ac:dyDescent="0.2">
      <c r="A67">
        <v>149510</v>
      </c>
      <c r="B67" t="s">
        <v>10</v>
      </c>
      <c r="C67" t="s">
        <v>14</v>
      </c>
      <c r="D67" t="s">
        <v>18</v>
      </c>
    </row>
    <row r="68" spans="1:4" x14ac:dyDescent="0.2">
      <c r="A68">
        <v>137990</v>
      </c>
      <c r="B68" t="s">
        <v>10</v>
      </c>
      <c r="C68" t="s">
        <v>14</v>
      </c>
      <c r="D68" t="s">
        <v>11</v>
      </c>
    </row>
    <row r="69" spans="1:4" x14ac:dyDescent="0.2">
      <c r="A69">
        <v>154016</v>
      </c>
      <c r="B69" t="s">
        <v>17</v>
      </c>
      <c r="C69" t="s">
        <v>24</v>
      </c>
      <c r="D69" t="s">
        <v>18</v>
      </c>
    </row>
    <row r="70" spans="1:4" x14ac:dyDescent="0.2">
      <c r="A70">
        <v>117751</v>
      </c>
      <c r="B70" t="s">
        <v>10</v>
      </c>
      <c r="C70" t="s">
        <v>20</v>
      </c>
      <c r="D70" t="s">
        <v>11</v>
      </c>
    </row>
    <row r="71" spans="1:4" x14ac:dyDescent="0.2">
      <c r="A71">
        <v>182362</v>
      </c>
      <c r="B71" t="s">
        <v>22</v>
      </c>
      <c r="C71" t="s">
        <v>20</v>
      </c>
      <c r="D71" t="s">
        <v>11</v>
      </c>
    </row>
    <row r="72" spans="1:4" x14ac:dyDescent="0.2">
      <c r="A72">
        <v>117725</v>
      </c>
      <c r="B72" t="s">
        <v>10</v>
      </c>
      <c r="C72" t="s">
        <v>24</v>
      </c>
      <c r="D72" t="s">
        <v>18</v>
      </c>
    </row>
    <row r="73" spans="1:4" x14ac:dyDescent="0.2">
      <c r="A73">
        <v>145289</v>
      </c>
      <c r="B73" t="s">
        <v>17</v>
      </c>
      <c r="C73" t="s">
        <v>14</v>
      </c>
      <c r="D73" t="s">
        <v>11</v>
      </c>
    </row>
    <row r="74" spans="1:4" x14ac:dyDescent="0.2">
      <c r="A74">
        <v>173576</v>
      </c>
      <c r="B74" t="s">
        <v>17</v>
      </c>
      <c r="C74" t="s">
        <v>20</v>
      </c>
      <c r="D74" t="s">
        <v>11</v>
      </c>
    </row>
    <row r="75" spans="1:4" x14ac:dyDescent="0.2">
      <c r="A75">
        <v>175059</v>
      </c>
      <c r="B75" t="s">
        <v>10</v>
      </c>
      <c r="C75" t="s">
        <v>24</v>
      </c>
      <c r="D75" t="s">
        <v>11</v>
      </c>
    </row>
    <row r="76" spans="1:4" x14ac:dyDescent="0.2">
      <c r="A76">
        <v>199368</v>
      </c>
      <c r="B76" t="s">
        <v>22</v>
      </c>
      <c r="C76" t="s">
        <v>14</v>
      </c>
      <c r="D76" t="s">
        <v>18</v>
      </c>
    </row>
    <row r="77" spans="1:4" x14ac:dyDescent="0.2">
      <c r="A77">
        <v>162883</v>
      </c>
      <c r="B77" t="s">
        <v>22</v>
      </c>
      <c r="C77" t="s">
        <v>24</v>
      </c>
      <c r="D77" t="s">
        <v>11</v>
      </c>
    </row>
    <row r="78" spans="1:4" x14ac:dyDescent="0.2">
      <c r="A78">
        <v>135490</v>
      </c>
      <c r="B78" t="s">
        <v>22</v>
      </c>
      <c r="C78" t="s">
        <v>14</v>
      </c>
      <c r="D78" t="s">
        <v>11</v>
      </c>
    </row>
    <row r="79" spans="1:4" x14ac:dyDescent="0.2">
      <c r="A79">
        <v>125408</v>
      </c>
      <c r="B79" t="s">
        <v>17</v>
      </c>
      <c r="C79" t="s">
        <v>14</v>
      </c>
      <c r="D79" t="s">
        <v>18</v>
      </c>
    </row>
    <row r="80" spans="1:4" x14ac:dyDescent="0.2">
      <c r="A80">
        <v>134763</v>
      </c>
      <c r="B80" t="s">
        <v>22</v>
      </c>
      <c r="C80" t="s">
        <v>14</v>
      </c>
      <c r="D80" t="s">
        <v>18</v>
      </c>
    </row>
    <row r="81" spans="1:4" x14ac:dyDescent="0.2">
      <c r="A81">
        <v>143231</v>
      </c>
      <c r="B81" t="s">
        <v>10</v>
      </c>
      <c r="C81" t="s">
        <v>24</v>
      </c>
      <c r="D81" t="s">
        <v>11</v>
      </c>
    </row>
    <row r="82" spans="1:4" x14ac:dyDescent="0.2">
      <c r="A82">
        <v>125409</v>
      </c>
      <c r="B82" t="s">
        <v>17</v>
      </c>
      <c r="C82" t="s">
        <v>14</v>
      </c>
      <c r="D82" t="s">
        <v>11</v>
      </c>
    </row>
    <row r="83" spans="1:4" x14ac:dyDescent="0.2">
      <c r="A83">
        <v>183074</v>
      </c>
      <c r="B83" t="s">
        <v>10</v>
      </c>
      <c r="C83" t="s">
        <v>14</v>
      </c>
      <c r="D83" t="s">
        <v>11</v>
      </c>
    </row>
    <row r="84" spans="1:4" x14ac:dyDescent="0.2">
      <c r="A84">
        <v>147947</v>
      </c>
      <c r="B84" t="s">
        <v>10</v>
      </c>
      <c r="C84" t="s">
        <v>14</v>
      </c>
      <c r="D84" t="s">
        <v>18</v>
      </c>
    </row>
    <row r="85" spans="1:4" x14ac:dyDescent="0.2">
      <c r="A85">
        <v>174171</v>
      </c>
      <c r="B85" t="s">
        <v>22</v>
      </c>
      <c r="C85" t="s">
        <v>24</v>
      </c>
      <c r="D85" t="s">
        <v>18</v>
      </c>
    </row>
    <row r="86" spans="1:4" x14ac:dyDescent="0.2">
      <c r="A86">
        <v>183064</v>
      </c>
      <c r="B86" t="s">
        <v>22</v>
      </c>
      <c r="C86" t="s">
        <v>20</v>
      </c>
      <c r="D86" t="s">
        <v>11</v>
      </c>
    </row>
    <row r="87" spans="1:4" x14ac:dyDescent="0.2">
      <c r="A87">
        <v>177131</v>
      </c>
      <c r="B87" t="s">
        <v>10</v>
      </c>
      <c r="C87" t="s">
        <v>24</v>
      </c>
      <c r="D87" t="s">
        <v>18</v>
      </c>
    </row>
    <row r="88" spans="1:4" x14ac:dyDescent="0.2">
      <c r="A88">
        <v>128179</v>
      </c>
      <c r="B88" t="s">
        <v>17</v>
      </c>
      <c r="C88" t="s">
        <v>20</v>
      </c>
      <c r="D88" t="s">
        <v>11</v>
      </c>
    </row>
    <row r="89" spans="1:4" x14ac:dyDescent="0.2">
      <c r="A89">
        <v>152723</v>
      </c>
      <c r="B89" t="s">
        <v>10</v>
      </c>
      <c r="C89" t="s">
        <v>24</v>
      </c>
      <c r="D89" t="s">
        <v>18</v>
      </c>
    </row>
    <row r="90" spans="1:4" x14ac:dyDescent="0.2">
      <c r="A90">
        <v>123824</v>
      </c>
      <c r="B90" t="s">
        <v>10</v>
      </c>
      <c r="C90" t="s">
        <v>20</v>
      </c>
      <c r="D90" t="s">
        <v>11</v>
      </c>
    </row>
    <row r="91" spans="1:4" x14ac:dyDescent="0.2">
      <c r="A91">
        <v>166345</v>
      </c>
      <c r="B91" t="s">
        <v>10</v>
      </c>
      <c r="C91" t="s">
        <v>20</v>
      </c>
      <c r="D91" t="s">
        <v>18</v>
      </c>
    </row>
    <row r="92" spans="1:4" x14ac:dyDescent="0.2">
      <c r="A92">
        <v>199279</v>
      </c>
      <c r="B92" t="s">
        <v>10</v>
      </c>
      <c r="C92" t="s">
        <v>20</v>
      </c>
      <c r="D92" t="s">
        <v>11</v>
      </c>
    </row>
    <row r="93" spans="1:4" x14ac:dyDescent="0.2">
      <c r="A93">
        <v>167981</v>
      </c>
      <c r="B93" t="s">
        <v>17</v>
      </c>
      <c r="C93" t="s">
        <v>14</v>
      </c>
      <c r="D93" t="s">
        <v>11</v>
      </c>
    </row>
    <row r="94" spans="1:4" x14ac:dyDescent="0.2">
      <c r="A94">
        <v>146839</v>
      </c>
      <c r="B94" t="s">
        <v>10</v>
      </c>
      <c r="C94" t="s">
        <v>24</v>
      </c>
      <c r="D94" t="s">
        <v>11</v>
      </c>
    </row>
    <row r="95" spans="1:4" x14ac:dyDescent="0.2">
      <c r="A95">
        <v>187180</v>
      </c>
      <c r="B95" t="s">
        <v>22</v>
      </c>
      <c r="C95" t="s">
        <v>20</v>
      </c>
      <c r="D95" t="s">
        <v>18</v>
      </c>
    </row>
    <row r="96" spans="1:4" x14ac:dyDescent="0.2">
      <c r="A96">
        <v>167640</v>
      </c>
      <c r="B96" t="s">
        <v>17</v>
      </c>
      <c r="C96" t="s">
        <v>20</v>
      </c>
      <c r="D96" t="s">
        <v>18</v>
      </c>
    </row>
    <row r="97" spans="1:4" x14ac:dyDescent="0.2">
      <c r="A97">
        <v>165158</v>
      </c>
      <c r="B97" t="s">
        <v>22</v>
      </c>
      <c r="C97" t="s">
        <v>24</v>
      </c>
      <c r="D97" t="s">
        <v>11</v>
      </c>
    </row>
    <row r="98" spans="1:4" x14ac:dyDescent="0.2">
      <c r="A98">
        <v>111521</v>
      </c>
      <c r="B98" t="s">
        <v>22</v>
      </c>
      <c r="C98" t="s">
        <v>24</v>
      </c>
      <c r="D98" t="s">
        <v>18</v>
      </c>
    </row>
    <row r="99" spans="1:4" x14ac:dyDescent="0.2">
      <c r="A99">
        <v>120228</v>
      </c>
      <c r="B99" t="s">
        <v>17</v>
      </c>
      <c r="C99" t="s">
        <v>24</v>
      </c>
      <c r="D99" t="s">
        <v>11</v>
      </c>
    </row>
    <row r="100" spans="1:4" x14ac:dyDescent="0.2">
      <c r="A100">
        <v>133078</v>
      </c>
      <c r="B100" t="s">
        <v>10</v>
      </c>
      <c r="C100" t="s">
        <v>14</v>
      </c>
      <c r="D100" t="s">
        <v>18</v>
      </c>
    </row>
    <row r="101" spans="1:4" x14ac:dyDescent="0.2">
      <c r="A101">
        <v>137598</v>
      </c>
      <c r="B101" t="s">
        <v>10</v>
      </c>
      <c r="C101" t="s">
        <v>20</v>
      </c>
      <c r="D101" t="s">
        <v>18</v>
      </c>
    </row>
    <row r="102" spans="1:4" x14ac:dyDescent="0.2">
      <c r="A102">
        <v>138779</v>
      </c>
      <c r="B102" t="s">
        <v>22</v>
      </c>
      <c r="C102" t="s">
        <v>14</v>
      </c>
      <c r="D102" t="s">
        <v>18</v>
      </c>
    </row>
    <row r="103" spans="1:4" x14ac:dyDescent="0.2">
      <c r="A103">
        <v>198329</v>
      </c>
      <c r="B103" t="s">
        <v>22</v>
      </c>
      <c r="C103" t="s">
        <v>20</v>
      </c>
      <c r="D103" t="s">
        <v>18</v>
      </c>
    </row>
    <row r="104" spans="1:4" x14ac:dyDescent="0.2">
      <c r="A104">
        <v>110295</v>
      </c>
      <c r="B104" t="s">
        <v>17</v>
      </c>
      <c r="C104" t="s">
        <v>20</v>
      </c>
      <c r="D104" t="s">
        <v>11</v>
      </c>
    </row>
    <row r="105" spans="1:4" x14ac:dyDescent="0.2">
      <c r="A105">
        <v>196427</v>
      </c>
      <c r="B105" t="s">
        <v>10</v>
      </c>
      <c r="C105" t="s">
        <v>20</v>
      </c>
      <c r="D105" t="s">
        <v>11</v>
      </c>
    </row>
    <row r="106" spans="1:4" x14ac:dyDescent="0.2">
      <c r="A106">
        <v>110075</v>
      </c>
      <c r="B106" t="s">
        <v>22</v>
      </c>
      <c r="C106" t="s">
        <v>20</v>
      </c>
      <c r="D106" t="s">
        <v>18</v>
      </c>
    </row>
    <row r="107" spans="1:4" x14ac:dyDescent="0.2">
      <c r="A107">
        <v>132322</v>
      </c>
      <c r="B107" t="s">
        <v>22</v>
      </c>
      <c r="C107" t="s">
        <v>14</v>
      </c>
      <c r="D107" t="s">
        <v>11</v>
      </c>
    </row>
    <row r="108" spans="1:4" x14ac:dyDescent="0.2">
      <c r="A108">
        <v>199631</v>
      </c>
      <c r="B108" t="s">
        <v>22</v>
      </c>
      <c r="C108" t="s">
        <v>20</v>
      </c>
      <c r="D108" t="s">
        <v>11</v>
      </c>
    </row>
    <row r="109" spans="1:4" x14ac:dyDescent="0.2">
      <c r="A109">
        <v>182306</v>
      </c>
      <c r="B109" t="s">
        <v>22</v>
      </c>
      <c r="C109" t="s">
        <v>24</v>
      </c>
      <c r="D109" t="s">
        <v>11</v>
      </c>
    </row>
    <row r="110" spans="1:4" x14ac:dyDescent="0.2">
      <c r="A110">
        <v>194915</v>
      </c>
      <c r="B110" t="s">
        <v>10</v>
      </c>
      <c r="C110" t="s">
        <v>24</v>
      </c>
      <c r="D110" t="s">
        <v>11</v>
      </c>
    </row>
    <row r="111" spans="1:4" x14ac:dyDescent="0.2">
      <c r="A111">
        <v>131298</v>
      </c>
      <c r="B111" t="s">
        <v>17</v>
      </c>
      <c r="C111" t="s">
        <v>20</v>
      </c>
      <c r="D111" t="s">
        <v>11</v>
      </c>
    </row>
    <row r="112" spans="1:4" x14ac:dyDescent="0.2">
      <c r="A112">
        <v>168571</v>
      </c>
      <c r="B112" t="s">
        <v>10</v>
      </c>
      <c r="C112" t="s">
        <v>20</v>
      </c>
      <c r="D112" t="s">
        <v>11</v>
      </c>
    </row>
    <row r="113" spans="1:4" x14ac:dyDescent="0.2">
      <c r="A113">
        <v>154224</v>
      </c>
      <c r="B113" t="s">
        <v>17</v>
      </c>
      <c r="C113" t="s">
        <v>24</v>
      </c>
      <c r="D113" t="s">
        <v>11</v>
      </c>
    </row>
    <row r="114" spans="1:4" x14ac:dyDescent="0.2">
      <c r="A114">
        <v>171061</v>
      </c>
      <c r="B114" t="s">
        <v>10</v>
      </c>
      <c r="C114" t="s">
        <v>20</v>
      </c>
      <c r="D114" t="s">
        <v>18</v>
      </c>
    </row>
    <row r="115" spans="1:4" x14ac:dyDescent="0.2">
      <c r="A115">
        <v>119049</v>
      </c>
      <c r="B115" t="s">
        <v>10</v>
      </c>
      <c r="C115" t="s">
        <v>14</v>
      </c>
      <c r="D115" t="s">
        <v>18</v>
      </c>
    </row>
    <row r="116" spans="1:4" x14ac:dyDescent="0.2">
      <c r="A116">
        <v>158781</v>
      </c>
      <c r="B116" t="s">
        <v>17</v>
      </c>
      <c r="C116" t="s">
        <v>14</v>
      </c>
      <c r="D116" t="s">
        <v>18</v>
      </c>
    </row>
    <row r="117" spans="1:4" x14ac:dyDescent="0.2">
      <c r="A117">
        <v>151438</v>
      </c>
      <c r="B117" t="s">
        <v>10</v>
      </c>
      <c r="C117" t="s">
        <v>24</v>
      </c>
      <c r="D117" t="s">
        <v>18</v>
      </c>
    </row>
    <row r="118" spans="1:4" x14ac:dyDescent="0.2">
      <c r="A118">
        <v>152871</v>
      </c>
      <c r="B118" t="s">
        <v>17</v>
      </c>
      <c r="C118" t="s">
        <v>14</v>
      </c>
      <c r="D118" t="s">
        <v>18</v>
      </c>
    </row>
    <row r="119" spans="1:4" x14ac:dyDescent="0.2">
      <c r="A119">
        <v>126806</v>
      </c>
      <c r="B119" t="s">
        <v>17</v>
      </c>
      <c r="C119" t="s">
        <v>14</v>
      </c>
      <c r="D119" t="s">
        <v>18</v>
      </c>
    </row>
    <row r="120" spans="1:4" x14ac:dyDescent="0.2">
      <c r="A120">
        <v>134104</v>
      </c>
      <c r="B120" t="s">
        <v>17</v>
      </c>
      <c r="C120" t="s">
        <v>20</v>
      </c>
      <c r="D120" t="s">
        <v>18</v>
      </c>
    </row>
    <row r="121" spans="1:4" x14ac:dyDescent="0.2">
      <c r="A121">
        <v>120266</v>
      </c>
      <c r="B121" t="s">
        <v>22</v>
      </c>
      <c r="C121" t="s">
        <v>20</v>
      </c>
      <c r="D121" t="s">
        <v>11</v>
      </c>
    </row>
    <row r="122" spans="1:4" x14ac:dyDescent="0.2">
      <c r="A122">
        <v>173550</v>
      </c>
      <c r="B122" t="s">
        <v>17</v>
      </c>
      <c r="C122" t="s">
        <v>20</v>
      </c>
      <c r="D122" t="s">
        <v>18</v>
      </c>
    </row>
    <row r="123" spans="1:4" x14ac:dyDescent="0.2">
      <c r="A123">
        <v>175927</v>
      </c>
      <c r="B123" t="s">
        <v>17</v>
      </c>
      <c r="C123" t="s">
        <v>14</v>
      </c>
      <c r="D123" t="s">
        <v>18</v>
      </c>
    </row>
    <row r="124" spans="1:4" x14ac:dyDescent="0.2">
      <c r="A124">
        <v>154278</v>
      </c>
      <c r="B124" t="s">
        <v>17</v>
      </c>
      <c r="C124" t="s">
        <v>14</v>
      </c>
      <c r="D124" t="s">
        <v>18</v>
      </c>
    </row>
    <row r="125" spans="1:4" x14ac:dyDescent="0.2">
      <c r="A125">
        <v>183537</v>
      </c>
      <c r="B125" t="s">
        <v>22</v>
      </c>
      <c r="C125" t="s">
        <v>20</v>
      </c>
      <c r="D125" t="s">
        <v>18</v>
      </c>
    </row>
    <row r="126" spans="1:4" x14ac:dyDescent="0.2">
      <c r="A126">
        <v>150424</v>
      </c>
      <c r="B126" t="s">
        <v>22</v>
      </c>
      <c r="C126" t="s">
        <v>24</v>
      </c>
      <c r="D126" t="s">
        <v>18</v>
      </c>
    </row>
    <row r="127" spans="1:4" x14ac:dyDescent="0.2">
      <c r="A127">
        <v>183825</v>
      </c>
      <c r="B127" t="s">
        <v>10</v>
      </c>
      <c r="C127" t="s">
        <v>14</v>
      </c>
      <c r="D127" t="s">
        <v>18</v>
      </c>
    </row>
    <row r="128" spans="1:4" x14ac:dyDescent="0.2">
      <c r="A128">
        <v>144012</v>
      </c>
      <c r="B128" t="s">
        <v>22</v>
      </c>
      <c r="C128" t="s">
        <v>20</v>
      </c>
      <c r="D128" t="s">
        <v>11</v>
      </c>
    </row>
    <row r="129" spans="1:4" x14ac:dyDescent="0.2">
      <c r="A129">
        <v>147051</v>
      </c>
      <c r="B129" t="s">
        <v>22</v>
      </c>
      <c r="C129" t="s">
        <v>20</v>
      </c>
      <c r="D129" t="s">
        <v>11</v>
      </c>
    </row>
    <row r="130" spans="1:4" x14ac:dyDescent="0.2">
      <c r="A130">
        <v>185800</v>
      </c>
      <c r="B130" t="s">
        <v>17</v>
      </c>
      <c r="C130" t="s">
        <v>20</v>
      </c>
      <c r="D130" t="s">
        <v>18</v>
      </c>
    </row>
    <row r="131" spans="1:4" x14ac:dyDescent="0.2">
      <c r="A131">
        <v>197524</v>
      </c>
      <c r="B131" t="s">
        <v>10</v>
      </c>
      <c r="C131" t="s">
        <v>14</v>
      </c>
      <c r="D131" t="s">
        <v>18</v>
      </c>
    </row>
    <row r="132" spans="1:4" x14ac:dyDescent="0.2">
      <c r="A132">
        <v>148823</v>
      </c>
      <c r="B132" t="s">
        <v>10</v>
      </c>
      <c r="C132" t="s">
        <v>14</v>
      </c>
      <c r="D132" t="s">
        <v>18</v>
      </c>
    </row>
    <row r="133" spans="1:4" x14ac:dyDescent="0.2">
      <c r="A133">
        <v>114550</v>
      </c>
      <c r="B133" t="s">
        <v>17</v>
      </c>
      <c r="C133" t="s">
        <v>14</v>
      </c>
      <c r="D133" t="s">
        <v>11</v>
      </c>
    </row>
    <row r="134" spans="1:4" x14ac:dyDescent="0.2">
      <c r="A134">
        <v>125398</v>
      </c>
      <c r="B134" t="s">
        <v>10</v>
      </c>
      <c r="C134" t="s">
        <v>20</v>
      </c>
      <c r="D134" t="s">
        <v>18</v>
      </c>
    </row>
    <row r="135" spans="1:4" x14ac:dyDescent="0.2">
      <c r="A135">
        <v>123985</v>
      </c>
      <c r="B135" t="s">
        <v>17</v>
      </c>
      <c r="C135" t="s">
        <v>20</v>
      </c>
      <c r="D135" t="s">
        <v>11</v>
      </c>
    </row>
    <row r="136" spans="1:4" x14ac:dyDescent="0.2">
      <c r="A136">
        <v>186638</v>
      </c>
      <c r="B136" t="s">
        <v>17</v>
      </c>
      <c r="C136" t="s">
        <v>20</v>
      </c>
      <c r="D136" t="s">
        <v>11</v>
      </c>
    </row>
    <row r="137" spans="1:4" x14ac:dyDescent="0.2">
      <c r="A137">
        <v>167281</v>
      </c>
      <c r="B137" t="s">
        <v>17</v>
      </c>
      <c r="C137" t="s">
        <v>20</v>
      </c>
      <c r="D137" t="s">
        <v>18</v>
      </c>
    </row>
    <row r="138" spans="1:4" x14ac:dyDescent="0.2">
      <c r="A138">
        <v>118578</v>
      </c>
      <c r="B138" t="s">
        <v>17</v>
      </c>
      <c r="C138" t="s">
        <v>14</v>
      </c>
      <c r="D138" t="s">
        <v>18</v>
      </c>
    </row>
    <row r="139" spans="1:4" x14ac:dyDescent="0.2">
      <c r="A139">
        <v>174041</v>
      </c>
      <c r="B139" t="s">
        <v>17</v>
      </c>
      <c r="C139" t="s">
        <v>20</v>
      </c>
      <c r="D139" t="s">
        <v>11</v>
      </c>
    </row>
    <row r="140" spans="1:4" x14ac:dyDescent="0.2">
      <c r="A140">
        <v>127644</v>
      </c>
      <c r="B140" t="s">
        <v>22</v>
      </c>
      <c r="C140" t="s">
        <v>14</v>
      </c>
      <c r="D140" t="s">
        <v>18</v>
      </c>
    </row>
    <row r="141" spans="1:4" x14ac:dyDescent="0.2">
      <c r="A141">
        <v>132007</v>
      </c>
      <c r="B141" t="s">
        <v>10</v>
      </c>
      <c r="C141" t="s">
        <v>14</v>
      </c>
      <c r="D141" t="s">
        <v>18</v>
      </c>
    </row>
    <row r="142" spans="1:4" x14ac:dyDescent="0.2">
      <c r="A142">
        <v>147998</v>
      </c>
      <c r="B142" t="s">
        <v>10</v>
      </c>
      <c r="C142" t="s">
        <v>14</v>
      </c>
      <c r="D142" t="s">
        <v>11</v>
      </c>
    </row>
    <row r="143" spans="1:4" x14ac:dyDescent="0.2">
      <c r="A143">
        <v>176666</v>
      </c>
      <c r="B143" t="s">
        <v>10</v>
      </c>
      <c r="C143" t="s">
        <v>24</v>
      </c>
      <c r="D143" t="s">
        <v>11</v>
      </c>
    </row>
    <row r="144" spans="1:4" x14ac:dyDescent="0.2">
      <c r="A144">
        <v>193686</v>
      </c>
      <c r="B144" t="s">
        <v>10</v>
      </c>
      <c r="C144" t="s">
        <v>24</v>
      </c>
      <c r="D144" t="s">
        <v>11</v>
      </c>
    </row>
    <row r="145" spans="1:4" x14ac:dyDescent="0.2">
      <c r="A145">
        <v>163610</v>
      </c>
      <c r="B145" t="s">
        <v>22</v>
      </c>
      <c r="C145" t="s">
        <v>24</v>
      </c>
      <c r="D145" t="s">
        <v>11</v>
      </c>
    </row>
    <row r="146" spans="1:4" x14ac:dyDescent="0.2">
      <c r="A146">
        <v>170364</v>
      </c>
      <c r="B146" t="s">
        <v>10</v>
      </c>
      <c r="C146" t="s">
        <v>24</v>
      </c>
      <c r="D146" t="s">
        <v>11</v>
      </c>
    </row>
    <row r="147" spans="1:4" x14ac:dyDescent="0.2">
      <c r="A147">
        <v>167599</v>
      </c>
      <c r="B147" t="s">
        <v>10</v>
      </c>
      <c r="C147" t="s">
        <v>14</v>
      </c>
      <c r="D147" t="s">
        <v>11</v>
      </c>
    </row>
    <row r="148" spans="1:4" x14ac:dyDescent="0.2">
      <c r="A148">
        <v>166421</v>
      </c>
      <c r="B148" t="s">
        <v>17</v>
      </c>
      <c r="C148" t="s">
        <v>14</v>
      </c>
      <c r="D148" t="s">
        <v>11</v>
      </c>
    </row>
    <row r="149" spans="1:4" x14ac:dyDescent="0.2">
      <c r="A149">
        <v>129247</v>
      </c>
      <c r="B149" t="s">
        <v>22</v>
      </c>
      <c r="C149" t="s">
        <v>20</v>
      </c>
      <c r="D149" t="s">
        <v>11</v>
      </c>
    </row>
    <row r="150" spans="1:4" x14ac:dyDescent="0.2">
      <c r="A150">
        <v>127314</v>
      </c>
      <c r="B150" t="s">
        <v>17</v>
      </c>
      <c r="C150" t="s">
        <v>24</v>
      </c>
      <c r="D150" t="s">
        <v>18</v>
      </c>
    </row>
    <row r="151" spans="1:4" x14ac:dyDescent="0.2">
      <c r="A151">
        <v>111979</v>
      </c>
      <c r="B151" t="s">
        <v>22</v>
      </c>
      <c r="C151" t="s">
        <v>24</v>
      </c>
      <c r="D151" t="s">
        <v>11</v>
      </c>
    </row>
    <row r="152" spans="1:4" x14ac:dyDescent="0.2">
      <c r="A152">
        <v>120354</v>
      </c>
      <c r="B152" t="s">
        <v>10</v>
      </c>
      <c r="C152" t="s">
        <v>24</v>
      </c>
      <c r="D152" t="s">
        <v>11</v>
      </c>
    </row>
    <row r="153" spans="1:4" x14ac:dyDescent="0.2">
      <c r="A153">
        <v>144848</v>
      </c>
      <c r="B153" t="s">
        <v>22</v>
      </c>
      <c r="C153" t="s">
        <v>14</v>
      </c>
      <c r="D153" t="s">
        <v>11</v>
      </c>
    </row>
    <row r="154" spans="1:4" x14ac:dyDescent="0.2">
      <c r="A154">
        <v>111957</v>
      </c>
      <c r="B154" t="s">
        <v>10</v>
      </c>
      <c r="C154" t="s">
        <v>24</v>
      </c>
      <c r="D154" t="s">
        <v>11</v>
      </c>
    </row>
    <row r="155" spans="1:4" x14ac:dyDescent="0.2">
      <c r="A155">
        <v>160763</v>
      </c>
      <c r="B155" t="s">
        <v>22</v>
      </c>
      <c r="C155" t="s">
        <v>20</v>
      </c>
      <c r="D155" t="s">
        <v>18</v>
      </c>
    </row>
    <row r="156" spans="1:4" x14ac:dyDescent="0.2">
      <c r="A156">
        <v>168270</v>
      </c>
      <c r="B156" t="s">
        <v>17</v>
      </c>
      <c r="C156" t="s">
        <v>14</v>
      </c>
      <c r="D156" t="s">
        <v>18</v>
      </c>
    </row>
    <row r="157" spans="1:4" x14ac:dyDescent="0.2">
      <c r="A157">
        <v>195082</v>
      </c>
      <c r="B157" t="s">
        <v>22</v>
      </c>
      <c r="C157" t="s">
        <v>20</v>
      </c>
      <c r="D157" t="s">
        <v>11</v>
      </c>
    </row>
    <row r="158" spans="1:4" x14ac:dyDescent="0.2">
      <c r="A158">
        <v>110329</v>
      </c>
      <c r="B158" t="s">
        <v>22</v>
      </c>
      <c r="C158" t="s">
        <v>14</v>
      </c>
      <c r="D158" t="s">
        <v>18</v>
      </c>
    </row>
    <row r="159" spans="1:4" x14ac:dyDescent="0.2">
      <c r="A159">
        <v>147449</v>
      </c>
      <c r="B159" t="s">
        <v>17</v>
      </c>
      <c r="C159" t="s">
        <v>20</v>
      </c>
      <c r="D159" t="s">
        <v>11</v>
      </c>
    </row>
    <row r="160" spans="1:4" x14ac:dyDescent="0.2">
      <c r="A160">
        <v>193332</v>
      </c>
      <c r="B160" t="s">
        <v>10</v>
      </c>
      <c r="C160" t="s">
        <v>20</v>
      </c>
      <c r="D160" t="s">
        <v>11</v>
      </c>
    </row>
    <row r="161" spans="1:4" x14ac:dyDescent="0.2">
      <c r="A161">
        <v>146804</v>
      </c>
      <c r="B161" t="s">
        <v>10</v>
      </c>
      <c r="C161" t="s">
        <v>24</v>
      </c>
      <c r="D161" t="s">
        <v>11</v>
      </c>
    </row>
    <row r="162" spans="1:4" x14ac:dyDescent="0.2">
      <c r="A162">
        <v>188909</v>
      </c>
      <c r="B162" t="s">
        <v>10</v>
      </c>
      <c r="C162" t="s">
        <v>24</v>
      </c>
      <c r="D162" t="s">
        <v>18</v>
      </c>
    </row>
    <row r="163" spans="1:4" x14ac:dyDescent="0.2">
      <c r="A163">
        <v>165910</v>
      </c>
      <c r="B163" t="s">
        <v>17</v>
      </c>
      <c r="C163" t="s">
        <v>14</v>
      </c>
      <c r="D163" t="s">
        <v>11</v>
      </c>
    </row>
    <row r="164" spans="1:4" x14ac:dyDescent="0.2">
      <c r="A164">
        <v>136738</v>
      </c>
      <c r="B164" t="s">
        <v>22</v>
      </c>
      <c r="C164" t="s">
        <v>20</v>
      </c>
      <c r="D164" t="s">
        <v>18</v>
      </c>
    </row>
    <row r="165" spans="1:4" x14ac:dyDescent="0.2">
      <c r="A165">
        <v>144497</v>
      </c>
      <c r="B165" t="s">
        <v>17</v>
      </c>
      <c r="C165" t="s">
        <v>24</v>
      </c>
      <c r="D165" t="s">
        <v>18</v>
      </c>
    </row>
    <row r="166" spans="1:4" x14ac:dyDescent="0.2">
      <c r="A166">
        <v>135036</v>
      </c>
      <c r="B166" t="s">
        <v>17</v>
      </c>
      <c r="C166" t="s">
        <v>14</v>
      </c>
      <c r="D166" t="s">
        <v>11</v>
      </c>
    </row>
    <row r="167" spans="1:4" x14ac:dyDescent="0.2">
      <c r="A167">
        <v>166331</v>
      </c>
      <c r="B167" t="s">
        <v>10</v>
      </c>
      <c r="C167" t="s">
        <v>20</v>
      </c>
      <c r="D167" t="s">
        <v>18</v>
      </c>
    </row>
    <row r="168" spans="1:4" x14ac:dyDescent="0.2">
      <c r="A168">
        <v>139789</v>
      </c>
      <c r="B168" t="s">
        <v>10</v>
      </c>
      <c r="C168" t="s">
        <v>24</v>
      </c>
      <c r="D168" t="s">
        <v>18</v>
      </c>
    </row>
    <row r="169" spans="1:4" x14ac:dyDescent="0.2">
      <c r="A169">
        <v>118569</v>
      </c>
      <c r="B169" t="s">
        <v>10</v>
      </c>
      <c r="C169" t="s">
        <v>14</v>
      </c>
      <c r="D169" t="s">
        <v>18</v>
      </c>
    </row>
    <row r="170" spans="1:4" x14ac:dyDescent="0.2">
      <c r="A170">
        <v>155848</v>
      </c>
      <c r="B170" t="s">
        <v>17</v>
      </c>
      <c r="C170" t="s">
        <v>20</v>
      </c>
      <c r="D170" t="s">
        <v>11</v>
      </c>
    </row>
    <row r="171" spans="1:4" x14ac:dyDescent="0.2">
      <c r="A171">
        <v>152563</v>
      </c>
      <c r="B171" t="s">
        <v>22</v>
      </c>
      <c r="C171" t="s">
        <v>20</v>
      </c>
      <c r="D171" t="s">
        <v>18</v>
      </c>
    </row>
    <row r="172" spans="1:4" x14ac:dyDescent="0.2">
      <c r="A172">
        <v>115153</v>
      </c>
      <c r="B172" t="s">
        <v>10</v>
      </c>
      <c r="C172" t="s">
        <v>20</v>
      </c>
      <c r="D172" t="s">
        <v>11</v>
      </c>
    </row>
    <row r="173" spans="1:4" x14ac:dyDescent="0.2">
      <c r="A173">
        <v>125938</v>
      </c>
      <c r="B173" t="s">
        <v>10</v>
      </c>
      <c r="C173" t="s">
        <v>14</v>
      </c>
      <c r="D173" t="s">
        <v>18</v>
      </c>
    </row>
    <row r="174" spans="1:4" x14ac:dyDescent="0.2">
      <c r="A174">
        <v>122809</v>
      </c>
      <c r="B174" t="s">
        <v>17</v>
      </c>
      <c r="C174" t="s">
        <v>14</v>
      </c>
      <c r="D174" t="s">
        <v>18</v>
      </c>
    </row>
    <row r="175" spans="1:4" x14ac:dyDescent="0.2">
      <c r="A175">
        <v>181502</v>
      </c>
      <c r="B175" t="s">
        <v>22</v>
      </c>
      <c r="C175" t="s">
        <v>20</v>
      </c>
      <c r="D175" t="s">
        <v>11</v>
      </c>
    </row>
    <row r="176" spans="1:4" x14ac:dyDescent="0.2">
      <c r="A176">
        <v>182779</v>
      </c>
      <c r="B176" t="s">
        <v>17</v>
      </c>
      <c r="C176" t="s">
        <v>24</v>
      </c>
      <c r="D176" t="s">
        <v>18</v>
      </c>
    </row>
    <row r="177" spans="1:4" x14ac:dyDescent="0.2">
      <c r="A177">
        <v>155674</v>
      </c>
      <c r="B177" t="s">
        <v>22</v>
      </c>
      <c r="C177" t="s">
        <v>14</v>
      </c>
      <c r="D177" t="s">
        <v>11</v>
      </c>
    </row>
    <row r="178" spans="1:4" x14ac:dyDescent="0.2">
      <c r="A178">
        <v>182866</v>
      </c>
      <c r="B178" t="s">
        <v>10</v>
      </c>
      <c r="C178" t="s">
        <v>14</v>
      </c>
      <c r="D178" t="s">
        <v>18</v>
      </c>
    </row>
    <row r="179" spans="1:4" x14ac:dyDescent="0.2">
      <c r="A179">
        <v>148230</v>
      </c>
      <c r="B179" t="s">
        <v>22</v>
      </c>
      <c r="C179" t="s">
        <v>14</v>
      </c>
      <c r="D179" t="s">
        <v>11</v>
      </c>
    </row>
    <row r="180" spans="1:4" x14ac:dyDescent="0.2">
      <c r="A180">
        <v>126979</v>
      </c>
      <c r="B180" t="s">
        <v>22</v>
      </c>
      <c r="C180" t="s">
        <v>14</v>
      </c>
      <c r="D180" t="s">
        <v>11</v>
      </c>
    </row>
    <row r="181" spans="1:4" x14ac:dyDescent="0.2">
      <c r="A181">
        <v>135521</v>
      </c>
      <c r="B181" t="s">
        <v>17</v>
      </c>
      <c r="C181" t="s">
        <v>20</v>
      </c>
      <c r="D181" t="s">
        <v>18</v>
      </c>
    </row>
    <row r="182" spans="1:4" x14ac:dyDescent="0.2">
      <c r="A182">
        <v>185809</v>
      </c>
      <c r="B182" t="s">
        <v>17</v>
      </c>
      <c r="C182" t="s">
        <v>20</v>
      </c>
      <c r="D182" t="s">
        <v>11</v>
      </c>
    </row>
    <row r="183" spans="1:4" x14ac:dyDescent="0.2">
      <c r="A183">
        <v>171520</v>
      </c>
      <c r="B183" t="s">
        <v>17</v>
      </c>
      <c r="C183" t="s">
        <v>20</v>
      </c>
      <c r="D183" t="s">
        <v>18</v>
      </c>
    </row>
    <row r="184" spans="1:4" x14ac:dyDescent="0.2">
      <c r="A184">
        <v>122926</v>
      </c>
      <c r="B184" t="s">
        <v>17</v>
      </c>
      <c r="C184" t="s">
        <v>24</v>
      </c>
      <c r="D184" t="s">
        <v>11</v>
      </c>
    </row>
    <row r="185" spans="1:4" x14ac:dyDescent="0.2">
      <c r="A185">
        <v>150953</v>
      </c>
      <c r="B185" t="s">
        <v>22</v>
      </c>
      <c r="C185" t="s">
        <v>24</v>
      </c>
      <c r="D185" t="s">
        <v>18</v>
      </c>
    </row>
    <row r="186" spans="1:4" x14ac:dyDescent="0.2">
      <c r="A186">
        <v>115873</v>
      </c>
      <c r="B186" t="s">
        <v>17</v>
      </c>
      <c r="C186" t="s">
        <v>20</v>
      </c>
      <c r="D186" t="s">
        <v>18</v>
      </c>
    </row>
    <row r="187" spans="1:4" x14ac:dyDescent="0.2">
      <c r="A187">
        <v>115581</v>
      </c>
      <c r="B187" t="s">
        <v>10</v>
      </c>
      <c r="C187" t="s">
        <v>14</v>
      </c>
      <c r="D187" t="s">
        <v>18</v>
      </c>
    </row>
    <row r="188" spans="1:4" x14ac:dyDescent="0.2">
      <c r="A188">
        <v>183634</v>
      </c>
      <c r="B188" t="s">
        <v>22</v>
      </c>
      <c r="C188" t="s">
        <v>14</v>
      </c>
      <c r="D188" t="s">
        <v>18</v>
      </c>
    </row>
    <row r="189" spans="1:4" x14ac:dyDescent="0.2">
      <c r="A189">
        <v>122484</v>
      </c>
      <c r="B189" t="s">
        <v>10</v>
      </c>
      <c r="C189" t="s">
        <v>24</v>
      </c>
      <c r="D189" t="s">
        <v>18</v>
      </c>
    </row>
    <row r="190" spans="1:4" x14ac:dyDescent="0.2">
      <c r="A190">
        <v>183574</v>
      </c>
      <c r="B190" t="s">
        <v>10</v>
      </c>
      <c r="C190" t="s">
        <v>20</v>
      </c>
      <c r="D190" t="s">
        <v>18</v>
      </c>
    </row>
    <row r="191" spans="1:4" x14ac:dyDescent="0.2">
      <c r="A191">
        <v>185307</v>
      </c>
      <c r="B191" t="s">
        <v>22</v>
      </c>
      <c r="C191" t="s">
        <v>14</v>
      </c>
      <c r="D191" t="s">
        <v>18</v>
      </c>
    </row>
    <row r="192" spans="1:4" x14ac:dyDescent="0.2">
      <c r="A192">
        <v>118719</v>
      </c>
      <c r="B192" t="s">
        <v>17</v>
      </c>
      <c r="C192" t="s">
        <v>24</v>
      </c>
      <c r="D192" t="s">
        <v>18</v>
      </c>
    </row>
    <row r="193" spans="1:4" x14ac:dyDescent="0.2">
      <c r="A193">
        <v>134788</v>
      </c>
      <c r="B193" t="s">
        <v>22</v>
      </c>
      <c r="C193" t="s">
        <v>24</v>
      </c>
      <c r="D193" t="s">
        <v>11</v>
      </c>
    </row>
    <row r="194" spans="1:4" x14ac:dyDescent="0.2">
      <c r="A194">
        <v>140142</v>
      </c>
      <c r="B194" t="s">
        <v>22</v>
      </c>
      <c r="C194" t="s">
        <v>24</v>
      </c>
      <c r="D194" t="s">
        <v>11</v>
      </c>
    </row>
    <row r="195" spans="1:4" x14ac:dyDescent="0.2">
      <c r="A195">
        <v>153997</v>
      </c>
      <c r="B195" t="s">
        <v>17</v>
      </c>
      <c r="C195" t="s">
        <v>20</v>
      </c>
      <c r="D195" t="s">
        <v>18</v>
      </c>
    </row>
    <row r="196" spans="1:4" x14ac:dyDescent="0.2">
      <c r="A196">
        <v>123230</v>
      </c>
      <c r="B196" t="s">
        <v>10</v>
      </c>
      <c r="C196" t="s">
        <v>14</v>
      </c>
      <c r="D196" t="s">
        <v>18</v>
      </c>
    </row>
    <row r="197" spans="1:4" x14ac:dyDescent="0.2">
      <c r="A197">
        <v>154676</v>
      </c>
      <c r="B197" t="s">
        <v>10</v>
      </c>
      <c r="C197" t="s">
        <v>20</v>
      </c>
      <c r="D197" t="s">
        <v>11</v>
      </c>
    </row>
    <row r="198" spans="1:4" x14ac:dyDescent="0.2">
      <c r="A198">
        <v>152985</v>
      </c>
      <c r="B198" t="s">
        <v>10</v>
      </c>
      <c r="C198" t="s">
        <v>14</v>
      </c>
      <c r="D198" t="s">
        <v>18</v>
      </c>
    </row>
    <row r="199" spans="1:4" x14ac:dyDescent="0.2">
      <c r="A199">
        <v>175584</v>
      </c>
      <c r="B199" t="s">
        <v>22</v>
      </c>
      <c r="C199" t="s">
        <v>14</v>
      </c>
      <c r="D199" t="s">
        <v>11</v>
      </c>
    </row>
    <row r="200" spans="1:4" x14ac:dyDescent="0.2">
      <c r="A200">
        <v>147491</v>
      </c>
      <c r="B200" t="s">
        <v>17</v>
      </c>
      <c r="C200" t="s">
        <v>14</v>
      </c>
      <c r="D200" t="s">
        <v>11</v>
      </c>
    </row>
    <row r="201" spans="1:4" x14ac:dyDescent="0.2">
      <c r="A201">
        <v>198283</v>
      </c>
      <c r="B201" t="s">
        <v>17</v>
      </c>
      <c r="C201" t="s">
        <v>24</v>
      </c>
      <c r="D201" t="s">
        <v>18</v>
      </c>
    </row>
    <row r="202" spans="1:4" x14ac:dyDescent="0.2">
      <c r="A202">
        <v>141547</v>
      </c>
      <c r="B202" t="s">
        <v>17</v>
      </c>
      <c r="C202" t="s">
        <v>24</v>
      </c>
      <c r="D202" t="s">
        <v>11</v>
      </c>
    </row>
    <row r="203" spans="1:4" x14ac:dyDescent="0.2">
      <c r="A203">
        <v>156342</v>
      </c>
      <c r="B203" t="s">
        <v>22</v>
      </c>
      <c r="C203" t="s">
        <v>24</v>
      </c>
      <c r="D203" t="s">
        <v>18</v>
      </c>
    </row>
    <row r="204" spans="1:4" x14ac:dyDescent="0.2">
      <c r="A204">
        <v>186083</v>
      </c>
      <c r="B204" t="s">
        <v>17</v>
      </c>
      <c r="C204" t="s">
        <v>24</v>
      </c>
      <c r="D204" t="s">
        <v>18</v>
      </c>
    </row>
    <row r="205" spans="1:4" x14ac:dyDescent="0.2">
      <c r="A205">
        <v>171776</v>
      </c>
      <c r="B205" t="s">
        <v>10</v>
      </c>
      <c r="C205" t="s">
        <v>24</v>
      </c>
      <c r="D205" t="s">
        <v>11</v>
      </c>
    </row>
    <row r="206" spans="1:4" x14ac:dyDescent="0.2">
      <c r="A206">
        <v>134429</v>
      </c>
      <c r="B206" t="s">
        <v>10</v>
      </c>
      <c r="C206" t="s">
        <v>24</v>
      </c>
      <c r="D206" t="s">
        <v>11</v>
      </c>
    </row>
    <row r="207" spans="1:4" x14ac:dyDescent="0.2">
      <c r="A207">
        <v>172816</v>
      </c>
      <c r="B207" t="s">
        <v>10</v>
      </c>
      <c r="C207" t="s">
        <v>24</v>
      </c>
      <c r="D207" t="s">
        <v>18</v>
      </c>
    </row>
    <row r="208" spans="1:4" x14ac:dyDescent="0.2">
      <c r="A208">
        <v>136272</v>
      </c>
      <c r="B208" t="s">
        <v>17</v>
      </c>
      <c r="C208" t="s">
        <v>14</v>
      </c>
      <c r="D208" t="s">
        <v>18</v>
      </c>
    </row>
    <row r="209" spans="1:4" x14ac:dyDescent="0.2">
      <c r="A209">
        <v>193227</v>
      </c>
      <c r="B209" t="s">
        <v>17</v>
      </c>
      <c r="C209" t="s">
        <v>20</v>
      </c>
      <c r="D209" t="s">
        <v>18</v>
      </c>
    </row>
    <row r="210" spans="1:4" x14ac:dyDescent="0.2">
      <c r="A210">
        <v>165786</v>
      </c>
      <c r="B210" t="s">
        <v>17</v>
      </c>
      <c r="C210" t="s">
        <v>20</v>
      </c>
      <c r="D210" t="s">
        <v>18</v>
      </c>
    </row>
    <row r="211" spans="1:4" x14ac:dyDescent="0.2">
      <c r="A211">
        <v>174708</v>
      </c>
      <c r="B211" t="s">
        <v>22</v>
      </c>
      <c r="C211" t="s">
        <v>24</v>
      </c>
      <c r="D211" t="s">
        <v>18</v>
      </c>
    </row>
    <row r="212" spans="1:4" x14ac:dyDescent="0.2">
      <c r="A212">
        <v>142257</v>
      </c>
      <c r="B212" t="s">
        <v>10</v>
      </c>
      <c r="C212" t="s">
        <v>14</v>
      </c>
      <c r="D212" t="s">
        <v>18</v>
      </c>
    </row>
    <row r="213" spans="1:4" x14ac:dyDescent="0.2">
      <c r="A213">
        <v>126146</v>
      </c>
      <c r="B213" t="s">
        <v>10</v>
      </c>
      <c r="C213" t="s">
        <v>20</v>
      </c>
      <c r="D213" t="s">
        <v>11</v>
      </c>
    </row>
    <row r="214" spans="1:4" x14ac:dyDescent="0.2">
      <c r="A214">
        <v>129134</v>
      </c>
      <c r="B214" t="s">
        <v>10</v>
      </c>
      <c r="C214" t="s">
        <v>24</v>
      </c>
      <c r="D214" t="s">
        <v>18</v>
      </c>
    </row>
    <row r="215" spans="1:4" x14ac:dyDescent="0.2">
      <c r="A215">
        <v>129898</v>
      </c>
      <c r="B215" t="s">
        <v>17</v>
      </c>
      <c r="C215" t="s">
        <v>20</v>
      </c>
      <c r="D215" t="s">
        <v>11</v>
      </c>
    </row>
    <row r="216" spans="1:4" x14ac:dyDescent="0.2">
      <c r="A216">
        <v>189692</v>
      </c>
      <c r="B216" t="s">
        <v>17</v>
      </c>
      <c r="C216" t="s">
        <v>24</v>
      </c>
      <c r="D216" t="s">
        <v>11</v>
      </c>
    </row>
    <row r="217" spans="1:4" x14ac:dyDescent="0.2">
      <c r="A217">
        <v>154846</v>
      </c>
      <c r="B217" t="s">
        <v>17</v>
      </c>
      <c r="C217" t="s">
        <v>20</v>
      </c>
      <c r="D217" t="s">
        <v>11</v>
      </c>
    </row>
    <row r="218" spans="1:4" x14ac:dyDescent="0.2">
      <c r="A218">
        <v>122307</v>
      </c>
      <c r="B218" t="s">
        <v>17</v>
      </c>
      <c r="C218" t="s">
        <v>14</v>
      </c>
      <c r="D218" t="s">
        <v>11</v>
      </c>
    </row>
    <row r="219" spans="1:4" x14ac:dyDescent="0.2">
      <c r="A219">
        <v>182099</v>
      </c>
      <c r="B219" t="s">
        <v>10</v>
      </c>
      <c r="C219" t="s">
        <v>24</v>
      </c>
      <c r="D219" t="s">
        <v>11</v>
      </c>
    </row>
    <row r="220" spans="1:4" x14ac:dyDescent="0.2">
      <c r="A220">
        <v>159816</v>
      </c>
      <c r="B220" t="s">
        <v>22</v>
      </c>
      <c r="C220" t="s">
        <v>20</v>
      </c>
      <c r="D220" t="s">
        <v>18</v>
      </c>
    </row>
    <row r="221" spans="1:4" x14ac:dyDescent="0.2">
      <c r="A221">
        <v>165326</v>
      </c>
      <c r="B221" t="s">
        <v>10</v>
      </c>
      <c r="C221" t="s">
        <v>14</v>
      </c>
      <c r="D221" t="s">
        <v>11</v>
      </c>
    </row>
    <row r="222" spans="1:4" x14ac:dyDescent="0.2">
      <c r="A222">
        <v>185154</v>
      </c>
      <c r="B222" t="s">
        <v>10</v>
      </c>
      <c r="C222" t="s">
        <v>24</v>
      </c>
      <c r="D222" t="s">
        <v>11</v>
      </c>
    </row>
    <row r="223" spans="1:4" x14ac:dyDescent="0.2">
      <c r="A223">
        <v>141330</v>
      </c>
      <c r="B223" t="s">
        <v>10</v>
      </c>
      <c r="C223" t="s">
        <v>14</v>
      </c>
      <c r="D223" t="s">
        <v>18</v>
      </c>
    </row>
    <row r="224" spans="1:4" x14ac:dyDescent="0.2">
      <c r="A224">
        <v>158958</v>
      </c>
      <c r="B224" t="s">
        <v>17</v>
      </c>
      <c r="C224" t="s">
        <v>14</v>
      </c>
      <c r="D224" t="s">
        <v>11</v>
      </c>
    </row>
    <row r="225" spans="1:4" x14ac:dyDescent="0.2">
      <c r="A225">
        <v>155010</v>
      </c>
      <c r="B225" t="s">
        <v>10</v>
      </c>
      <c r="C225" t="s">
        <v>20</v>
      </c>
      <c r="D225" t="s">
        <v>18</v>
      </c>
    </row>
    <row r="226" spans="1:4" x14ac:dyDescent="0.2">
      <c r="A226">
        <v>135857</v>
      </c>
      <c r="B226" t="s">
        <v>10</v>
      </c>
      <c r="C226" t="s">
        <v>20</v>
      </c>
      <c r="D226" t="s">
        <v>18</v>
      </c>
    </row>
    <row r="227" spans="1:4" x14ac:dyDescent="0.2">
      <c r="A227">
        <v>147690</v>
      </c>
      <c r="B227" t="s">
        <v>10</v>
      </c>
      <c r="C227" t="s">
        <v>24</v>
      </c>
      <c r="D227" t="s">
        <v>11</v>
      </c>
    </row>
    <row r="228" spans="1:4" x14ac:dyDescent="0.2">
      <c r="A228">
        <v>130321</v>
      </c>
      <c r="B228" t="s">
        <v>17</v>
      </c>
      <c r="C228" t="s">
        <v>14</v>
      </c>
      <c r="D228" t="s">
        <v>11</v>
      </c>
    </row>
    <row r="229" spans="1:4" x14ac:dyDescent="0.2">
      <c r="A229">
        <v>196752</v>
      </c>
      <c r="B229" t="s">
        <v>17</v>
      </c>
      <c r="C229" t="s">
        <v>14</v>
      </c>
      <c r="D229" t="s">
        <v>11</v>
      </c>
    </row>
    <row r="230" spans="1:4" x14ac:dyDescent="0.2">
      <c r="A230">
        <v>181011</v>
      </c>
      <c r="B230" t="s">
        <v>10</v>
      </c>
      <c r="C230" t="s">
        <v>24</v>
      </c>
      <c r="D230" t="s">
        <v>18</v>
      </c>
    </row>
    <row r="231" spans="1:4" x14ac:dyDescent="0.2">
      <c r="A231">
        <v>139967</v>
      </c>
      <c r="B231" t="s">
        <v>17</v>
      </c>
      <c r="C231" t="s">
        <v>20</v>
      </c>
      <c r="D231" t="s">
        <v>11</v>
      </c>
    </row>
    <row r="232" spans="1:4" x14ac:dyDescent="0.2">
      <c r="A232">
        <v>162699</v>
      </c>
      <c r="B232" t="s">
        <v>17</v>
      </c>
      <c r="C232" t="s">
        <v>20</v>
      </c>
      <c r="D232" t="s">
        <v>18</v>
      </c>
    </row>
    <row r="233" spans="1:4" x14ac:dyDescent="0.2">
      <c r="A233">
        <v>119044</v>
      </c>
      <c r="B233" t="s">
        <v>10</v>
      </c>
      <c r="C233" t="s">
        <v>24</v>
      </c>
      <c r="D233" t="s">
        <v>18</v>
      </c>
    </row>
    <row r="234" spans="1:4" x14ac:dyDescent="0.2">
      <c r="A234">
        <v>121348</v>
      </c>
      <c r="B234" t="s">
        <v>17</v>
      </c>
      <c r="C234" t="s">
        <v>20</v>
      </c>
      <c r="D234" t="s">
        <v>18</v>
      </c>
    </row>
    <row r="235" spans="1:4" x14ac:dyDescent="0.2">
      <c r="A235">
        <v>163982</v>
      </c>
      <c r="B235" t="s">
        <v>22</v>
      </c>
      <c r="C235" t="s">
        <v>14</v>
      </c>
      <c r="D235" t="s">
        <v>11</v>
      </c>
    </row>
    <row r="236" spans="1:4" x14ac:dyDescent="0.2">
      <c r="A236">
        <v>185774</v>
      </c>
      <c r="B236" t="s">
        <v>17</v>
      </c>
      <c r="C236" t="s">
        <v>14</v>
      </c>
      <c r="D236" t="s">
        <v>18</v>
      </c>
    </row>
    <row r="237" spans="1:4" x14ac:dyDescent="0.2">
      <c r="A237">
        <v>144651</v>
      </c>
      <c r="B237" t="s">
        <v>10</v>
      </c>
      <c r="C237" t="s">
        <v>14</v>
      </c>
      <c r="D237" t="s">
        <v>11</v>
      </c>
    </row>
    <row r="238" spans="1:4" x14ac:dyDescent="0.2">
      <c r="A238">
        <v>195103</v>
      </c>
      <c r="B238" t="s">
        <v>10</v>
      </c>
      <c r="C238" t="s">
        <v>24</v>
      </c>
      <c r="D238" t="s">
        <v>11</v>
      </c>
    </row>
    <row r="239" spans="1:4" x14ac:dyDescent="0.2">
      <c r="A239">
        <v>123047</v>
      </c>
      <c r="B239" t="s">
        <v>10</v>
      </c>
      <c r="C239" t="s">
        <v>24</v>
      </c>
      <c r="D239" t="s">
        <v>18</v>
      </c>
    </row>
    <row r="240" spans="1:4" x14ac:dyDescent="0.2">
      <c r="A240">
        <v>123077</v>
      </c>
      <c r="B240" t="s">
        <v>22</v>
      </c>
      <c r="C240" t="s">
        <v>20</v>
      </c>
      <c r="D240" t="s">
        <v>11</v>
      </c>
    </row>
    <row r="241" spans="1:4" x14ac:dyDescent="0.2">
      <c r="A241">
        <v>171860</v>
      </c>
      <c r="B241" t="s">
        <v>10</v>
      </c>
      <c r="C241" t="s">
        <v>20</v>
      </c>
      <c r="D241" t="s">
        <v>11</v>
      </c>
    </row>
    <row r="242" spans="1:4" x14ac:dyDescent="0.2">
      <c r="A242">
        <v>149487</v>
      </c>
      <c r="B242" t="s">
        <v>10</v>
      </c>
      <c r="C242" t="s">
        <v>14</v>
      </c>
      <c r="D242" t="s">
        <v>18</v>
      </c>
    </row>
    <row r="243" spans="1:4" x14ac:dyDescent="0.2">
      <c r="A243">
        <v>168516</v>
      </c>
      <c r="B243" t="s">
        <v>22</v>
      </c>
      <c r="C243" t="s">
        <v>14</v>
      </c>
      <c r="D243" t="s">
        <v>11</v>
      </c>
    </row>
    <row r="244" spans="1:4" x14ac:dyDescent="0.2">
      <c r="A244">
        <v>177771</v>
      </c>
      <c r="B244" t="s">
        <v>17</v>
      </c>
      <c r="C244" t="s">
        <v>20</v>
      </c>
      <c r="D244" t="s">
        <v>18</v>
      </c>
    </row>
    <row r="245" spans="1:4" x14ac:dyDescent="0.2">
      <c r="A245">
        <v>172015</v>
      </c>
      <c r="B245" t="s">
        <v>17</v>
      </c>
      <c r="C245" t="s">
        <v>20</v>
      </c>
      <c r="D245" t="s">
        <v>18</v>
      </c>
    </row>
    <row r="246" spans="1:4" x14ac:dyDescent="0.2">
      <c r="A246">
        <v>118985</v>
      </c>
      <c r="B246" t="s">
        <v>10</v>
      </c>
      <c r="C246" t="s">
        <v>14</v>
      </c>
      <c r="D246" t="s">
        <v>18</v>
      </c>
    </row>
    <row r="247" spans="1:4" x14ac:dyDescent="0.2">
      <c r="A247">
        <v>112194</v>
      </c>
      <c r="B247" t="s">
        <v>10</v>
      </c>
      <c r="C247" t="s">
        <v>24</v>
      </c>
      <c r="D247" t="s">
        <v>18</v>
      </c>
    </row>
    <row r="248" spans="1:4" x14ac:dyDescent="0.2">
      <c r="A248">
        <v>113435</v>
      </c>
      <c r="B248" t="s">
        <v>10</v>
      </c>
      <c r="C248" t="s">
        <v>24</v>
      </c>
      <c r="D248" t="s">
        <v>18</v>
      </c>
    </row>
    <row r="249" spans="1:4" x14ac:dyDescent="0.2">
      <c r="A249">
        <v>159182</v>
      </c>
      <c r="B249" t="s">
        <v>22</v>
      </c>
      <c r="C249" t="s">
        <v>20</v>
      </c>
      <c r="D249" t="s">
        <v>11</v>
      </c>
    </row>
    <row r="250" spans="1:4" x14ac:dyDescent="0.2">
      <c r="A250">
        <v>199233</v>
      </c>
      <c r="B250" t="s">
        <v>10</v>
      </c>
      <c r="C250" t="s">
        <v>14</v>
      </c>
      <c r="D250" t="s">
        <v>11</v>
      </c>
    </row>
    <row r="251" spans="1:4" x14ac:dyDescent="0.2">
      <c r="A251">
        <v>137044</v>
      </c>
      <c r="B251" t="s">
        <v>10</v>
      </c>
      <c r="C251" t="s">
        <v>20</v>
      </c>
      <c r="D251" t="s">
        <v>18</v>
      </c>
    </row>
    <row r="252" spans="1:4" x14ac:dyDescent="0.2">
      <c r="A252">
        <v>154736</v>
      </c>
      <c r="B252" t="s">
        <v>22</v>
      </c>
      <c r="C252" t="s">
        <v>24</v>
      </c>
      <c r="D252" t="s">
        <v>18</v>
      </c>
    </row>
    <row r="253" spans="1:4" x14ac:dyDescent="0.2">
      <c r="A253">
        <v>141434</v>
      </c>
      <c r="B253" t="s">
        <v>22</v>
      </c>
      <c r="C253" t="s">
        <v>14</v>
      </c>
      <c r="D253" t="s">
        <v>18</v>
      </c>
    </row>
    <row r="254" spans="1:4" x14ac:dyDescent="0.2">
      <c r="A254">
        <v>155659</v>
      </c>
      <c r="B254" t="s">
        <v>10</v>
      </c>
      <c r="C254" t="s">
        <v>24</v>
      </c>
      <c r="D254" t="s">
        <v>18</v>
      </c>
    </row>
    <row r="255" spans="1:4" x14ac:dyDescent="0.2">
      <c r="A255">
        <v>168643</v>
      </c>
      <c r="B255" t="s">
        <v>17</v>
      </c>
      <c r="C255" t="s">
        <v>24</v>
      </c>
      <c r="D255" t="s">
        <v>11</v>
      </c>
    </row>
    <row r="256" spans="1:4" x14ac:dyDescent="0.2">
      <c r="A256">
        <v>175357</v>
      </c>
      <c r="B256" t="s">
        <v>17</v>
      </c>
      <c r="C256" t="s">
        <v>14</v>
      </c>
      <c r="D256" t="s">
        <v>18</v>
      </c>
    </row>
    <row r="257" spans="1:4" x14ac:dyDescent="0.2">
      <c r="A257">
        <v>137530</v>
      </c>
      <c r="B257" t="s">
        <v>22</v>
      </c>
      <c r="C257" t="s">
        <v>24</v>
      </c>
      <c r="D257" t="s">
        <v>11</v>
      </c>
    </row>
    <row r="258" spans="1:4" x14ac:dyDescent="0.2">
      <c r="A258">
        <v>153482</v>
      </c>
      <c r="B258" t="s">
        <v>10</v>
      </c>
      <c r="C258" t="s">
        <v>20</v>
      </c>
      <c r="D258" t="s">
        <v>11</v>
      </c>
    </row>
    <row r="259" spans="1:4" x14ac:dyDescent="0.2">
      <c r="A259">
        <v>112593</v>
      </c>
      <c r="B259" t="s">
        <v>10</v>
      </c>
      <c r="C259" t="s">
        <v>24</v>
      </c>
      <c r="D259" t="s">
        <v>18</v>
      </c>
    </row>
    <row r="260" spans="1:4" x14ac:dyDescent="0.2">
      <c r="A260">
        <v>110241</v>
      </c>
      <c r="B260" t="s">
        <v>17</v>
      </c>
      <c r="C260" t="s">
        <v>20</v>
      </c>
      <c r="D260" t="s">
        <v>11</v>
      </c>
    </row>
    <row r="261" spans="1:4" x14ac:dyDescent="0.2">
      <c r="A261">
        <v>144970</v>
      </c>
      <c r="B261" t="s">
        <v>22</v>
      </c>
      <c r="C261" t="s">
        <v>24</v>
      </c>
      <c r="D261" t="s">
        <v>18</v>
      </c>
    </row>
    <row r="262" spans="1:4" x14ac:dyDescent="0.2">
      <c r="A262">
        <v>114822</v>
      </c>
      <c r="B262" t="s">
        <v>22</v>
      </c>
      <c r="C262" t="s">
        <v>20</v>
      </c>
      <c r="D262" t="s">
        <v>11</v>
      </c>
    </row>
    <row r="263" spans="1:4" x14ac:dyDescent="0.2">
      <c r="A263">
        <v>153452</v>
      </c>
      <c r="B263" t="s">
        <v>22</v>
      </c>
      <c r="C263" t="s">
        <v>20</v>
      </c>
      <c r="D263" t="s">
        <v>18</v>
      </c>
    </row>
    <row r="264" spans="1:4" x14ac:dyDescent="0.2">
      <c r="A264">
        <v>144264</v>
      </c>
      <c r="B264" t="s">
        <v>17</v>
      </c>
      <c r="C264" t="s">
        <v>20</v>
      </c>
      <c r="D264" t="s">
        <v>18</v>
      </c>
    </row>
    <row r="265" spans="1:4" x14ac:dyDescent="0.2">
      <c r="A265">
        <v>128749</v>
      </c>
      <c r="B265" t="s">
        <v>22</v>
      </c>
      <c r="C265" t="s">
        <v>24</v>
      </c>
      <c r="D265" t="s">
        <v>11</v>
      </c>
    </row>
    <row r="266" spans="1:4" x14ac:dyDescent="0.2">
      <c r="A266">
        <v>147955</v>
      </c>
      <c r="B266" t="s">
        <v>17</v>
      </c>
      <c r="C266" t="s">
        <v>24</v>
      </c>
      <c r="D266" t="s">
        <v>18</v>
      </c>
    </row>
    <row r="267" spans="1:4" x14ac:dyDescent="0.2">
      <c r="A267">
        <v>142210</v>
      </c>
      <c r="B267" t="s">
        <v>22</v>
      </c>
      <c r="C267" t="s">
        <v>14</v>
      </c>
      <c r="D267" t="s">
        <v>11</v>
      </c>
    </row>
    <row r="268" spans="1:4" x14ac:dyDescent="0.2">
      <c r="A268">
        <v>110696</v>
      </c>
      <c r="B268" t="s">
        <v>10</v>
      </c>
      <c r="C268" t="s">
        <v>14</v>
      </c>
      <c r="D268" t="s">
        <v>11</v>
      </c>
    </row>
    <row r="269" spans="1:4" x14ac:dyDescent="0.2">
      <c r="A269">
        <v>111826</v>
      </c>
      <c r="B269" t="s">
        <v>22</v>
      </c>
      <c r="C269" t="s">
        <v>24</v>
      </c>
      <c r="D269" t="s">
        <v>11</v>
      </c>
    </row>
    <row r="270" spans="1:4" x14ac:dyDescent="0.2">
      <c r="A270">
        <v>118116</v>
      </c>
      <c r="B270" t="s">
        <v>17</v>
      </c>
      <c r="C270" t="s">
        <v>14</v>
      </c>
      <c r="D270" t="s">
        <v>11</v>
      </c>
    </row>
    <row r="271" spans="1:4" x14ac:dyDescent="0.2">
      <c r="A271">
        <v>152727</v>
      </c>
      <c r="B271" t="s">
        <v>22</v>
      </c>
      <c r="C271" t="s">
        <v>14</v>
      </c>
      <c r="D271" t="s">
        <v>18</v>
      </c>
    </row>
    <row r="272" spans="1:4" x14ac:dyDescent="0.2">
      <c r="A272">
        <v>198291</v>
      </c>
      <c r="B272" t="s">
        <v>22</v>
      </c>
      <c r="C272" t="s">
        <v>24</v>
      </c>
      <c r="D272" t="s">
        <v>11</v>
      </c>
    </row>
    <row r="273" spans="1:4" x14ac:dyDescent="0.2">
      <c r="A273">
        <v>136227</v>
      </c>
      <c r="B273" t="s">
        <v>17</v>
      </c>
      <c r="C273" t="s">
        <v>14</v>
      </c>
      <c r="D273" t="s">
        <v>18</v>
      </c>
    </row>
    <row r="274" spans="1:4" x14ac:dyDescent="0.2">
      <c r="A274">
        <v>144031</v>
      </c>
      <c r="B274" t="s">
        <v>17</v>
      </c>
      <c r="C274" t="s">
        <v>20</v>
      </c>
      <c r="D274" t="s">
        <v>18</v>
      </c>
    </row>
    <row r="275" spans="1:4" x14ac:dyDescent="0.2">
      <c r="A275">
        <v>198924</v>
      </c>
      <c r="B275" t="s">
        <v>17</v>
      </c>
      <c r="C275" t="s">
        <v>14</v>
      </c>
      <c r="D275" t="s">
        <v>18</v>
      </c>
    </row>
    <row r="276" spans="1:4" x14ac:dyDescent="0.2">
      <c r="A276">
        <v>187922</v>
      </c>
      <c r="B276" t="s">
        <v>22</v>
      </c>
      <c r="C276" t="s">
        <v>14</v>
      </c>
      <c r="D276" t="s">
        <v>18</v>
      </c>
    </row>
    <row r="277" spans="1:4" x14ac:dyDescent="0.2">
      <c r="A277">
        <v>168448</v>
      </c>
      <c r="B277" t="s">
        <v>17</v>
      </c>
      <c r="C277" t="s">
        <v>24</v>
      </c>
      <c r="D277" t="s">
        <v>18</v>
      </c>
    </row>
    <row r="278" spans="1:4" x14ac:dyDescent="0.2">
      <c r="A278">
        <v>192111</v>
      </c>
      <c r="B278" t="s">
        <v>10</v>
      </c>
      <c r="C278" t="s">
        <v>20</v>
      </c>
      <c r="D278" t="s">
        <v>11</v>
      </c>
    </row>
    <row r="279" spans="1:4" x14ac:dyDescent="0.2">
      <c r="A279">
        <v>185466</v>
      </c>
      <c r="B279" t="s">
        <v>10</v>
      </c>
      <c r="C279" t="s">
        <v>20</v>
      </c>
      <c r="D279" t="s">
        <v>11</v>
      </c>
    </row>
    <row r="280" spans="1:4" x14ac:dyDescent="0.2">
      <c r="A280">
        <v>174277</v>
      </c>
      <c r="B280" t="s">
        <v>17</v>
      </c>
      <c r="C280" t="s">
        <v>24</v>
      </c>
      <c r="D280" t="s">
        <v>18</v>
      </c>
    </row>
    <row r="281" spans="1:4" x14ac:dyDescent="0.2">
      <c r="A281">
        <v>158519</v>
      </c>
      <c r="B281" t="s">
        <v>10</v>
      </c>
      <c r="C281" t="s">
        <v>20</v>
      </c>
      <c r="D281" t="s">
        <v>11</v>
      </c>
    </row>
    <row r="282" spans="1:4" x14ac:dyDescent="0.2">
      <c r="A282">
        <v>178624</v>
      </c>
      <c r="B282" t="s">
        <v>22</v>
      </c>
      <c r="C282" t="s">
        <v>24</v>
      </c>
      <c r="D282" t="s">
        <v>11</v>
      </c>
    </row>
    <row r="283" spans="1:4" x14ac:dyDescent="0.2">
      <c r="A283">
        <v>123728</v>
      </c>
      <c r="B283" t="s">
        <v>10</v>
      </c>
      <c r="C283" t="s">
        <v>20</v>
      </c>
      <c r="D283" t="s">
        <v>11</v>
      </c>
    </row>
    <row r="284" spans="1:4" x14ac:dyDescent="0.2">
      <c r="A284">
        <v>197954</v>
      </c>
      <c r="B284" t="s">
        <v>10</v>
      </c>
      <c r="C284" t="s">
        <v>24</v>
      </c>
      <c r="D284" t="s">
        <v>11</v>
      </c>
    </row>
    <row r="285" spans="1:4" x14ac:dyDescent="0.2">
      <c r="A285">
        <v>133328</v>
      </c>
      <c r="B285" t="s">
        <v>22</v>
      </c>
      <c r="C285" t="s">
        <v>24</v>
      </c>
      <c r="D285" t="s">
        <v>18</v>
      </c>
    </row>
    <row r="286" spans="1:4" x14ac:dyDescent="0.2">
      <c r="A286">
        <v>145345</v>
      </c>
      <c r="B286" t="s">
        <v>17</v>
      </c>
      <c r="C286" t="s">
        <v>14</v>
      </c>
      <c r="D286" t="s">
        <v>11</v>
      </c>
    </row>
    <row r="287" spans="1:4" x14ac:dyDescent="0.2">
      <c r="A287">
        <v>116054</v>
      </c>
      <c r="B287" t="s">
        <v>22</v>
      </c>
      <c r="C287" t="s">
        <v>20</v>
      </c>
      <c r="D287" t="s">
        <v>18</v>
      </c>
    </row>
    <row r="288" spans="1:4" x14ac:dyDescent="0.2">
      <c r="A288">
        <v>173141</v>
      </c>
      <c r="B288" t="s">
        <v>22</v>
      </c>
      <c r="C288" t="s">
        <v>20</v>
      </c>
      <c r="D288" t="s">
        <v>18</v>
      </c>
    </row>
    <row r="289" spans="1:4" x14ac:dyDescent="0.2">
      <c r="A289">
        <v>178180</v>
      </c>
      <c r="B289" t="s">
        <v>10</v>
      </c>
      <c r="C289" t="s">
        <v>20</v>
      </c>
      <c r="D289" t="s">
        <v>11</v>
      </c>
    </row>
    <row r="290" spans="1:4" x14ac:dyDescent="0.2">
      <c r="A290">
        <v>129418</v>
      </c>
      <c r="B290" t="s">
        <v>17</v>
      </c>
      <c r="C290" t="s">
        <v>14</v>
      </c>
      <c r="D290" t="s">
        <v>18</v>
      </c>
    </row>
    <row r="291" spans="1:4" x14ac:dyDescent="0.2">
      <c r="A291">
        <v>188708</v>
      </c>
      <c r="B291" t="s">
        <v>22</v>
      </c>
      <c r="C291" t="s">
        <v>24</v>
      </c>
      <c r="D291" t="s">
        <v>18</v>
      </c>
    </row>
    <row r="292" spans="1:4" x14ac:dyDescent="0.2">
      <c r="A292">
        <v>132833</v>
      </c>
      <c r="B292" t="s">
        <v>10</v>
      </c>
      <c r="C292" t="s">
        <v>20</v>
      </c>
      <c r="D292" t="s">
        <v>11</v>
      </c>
    </row>
    <row r="293" spans="1:4" x14ac:dyDescent="0.2">
      <c r="A293">
        <v>146914</v>
      </c>
      <c r="B293" t="s">
        <v>22</v>
      </c>
      <c r="C293" t="s">
        <v>20</v>
      </c>
      <c r="D293" t="s">
        <v>11</v>
      </c>
    </row>
    <row r="294" spans="1:4" x14ac:dyDescent="0.2">
      <c r="A294">
        <v>113624</v>
      </c>
      <c r="B294" t="s">
        <v>22</v>
      </c>
      <c r="C294" t="s">
        <v>24</v>
      </c>
      <c r="D294" t="s">
        <v>11</v>
      </c>
    </row>
    <row r="295" spans="1:4" x14ac:dyDescent="0.2">
      <c r="A295">
        <v>180250</v>
      </c>
      <c r="B295" t="s">
        <v>22</v>
      </c>
      <c r="C295" t="s">
        <v>24</v>
      </c>
      <c r="D295" t="s">
        <v>18</v>
      </c>
    </row>
    <row r="296" spans="1:4" x14ac:dyDescent="0.2">
      <c r="A296">
        <v>137287</v>
      </c>
      <c r="B296" t="s">
        <v>10</v>
      </c>
      <c r="C296" t="s">
        <v>24</v>
      </c>
      <c r="D296" t="s">
        <v>18</v>
      </c>
    </row>
    <row r="297" spans="1:4" x14ac:dyDescent="0.2">
      <c r="A297">
        <v>150836</v>
      </c>
      <c r="B297" t="s">
        <v>17</v>
      </c>
      <c r="C297" t="s">
        <v>24</v>
      </c>
      <c r="D297" t="s">
        <v>18</v>
      </c>
    </row>
    <row r="298" spans="1:4" x14ac:dyDescent="0.2">
      <c r="A298">
        <v>151474</v>
      </c>
      <c r="B298" t="s">
        <v>17</v>
      </c>
      <c r="C298" t="s">
        <v>14</v>
      </c>
      <c r="D298" t="s">
        <v>18</v>
      </c>
    </row>
    <row r="299" spans="1:4" x14ac:dyDescent="0.2">
      <c r="A299">
        <v>119803</v>
      </c>
      <c r="B299" t="s">
        <v>17</v>
      </c>
      <c r="C299" t="s">
        <v>24</v>
      </c>
      <c r="D299" t="s">
        <v>18</v>
      </c>
    </row>
    <row r="300" spans="1:4" x14ac:dyDescent="0.2">
      <c r="A300">
        <v>115986</v>
      </c>
      <c r="B300" t="s">
        <v>22</v>
      </c>
      <c r="C300" t="s">
        <v>20</v>
      </c>
      <c r="D300" t="s">
        <v>18</v>
      </c>
    </row>
    <row r="301" spans="1:4" x14ac:dyDescent="0.2">
      <c r="A301">
        <v>181896</v>
      </c>
      <c r="B301" t="s">
        <v>22</v>
      </c>
      <c r="C301" t="s">
        <v>24</v>
      </c>
      <c r="D301" t="s">
        <v>18</v>
      </c>
    </row>
    <row r="302" spans="1:4" x14ac:dyDescent="0.2">
      <c r="A302">
        <v>115036</v>
      </c>
      <c r="B302" t="s">
        <v>17</v>
      </c>
      <c r="C302" t="s">
        <v>24</v>
      </c>
      <c r="D302" t="s">
        <v>11</v>
      </c>
    </row>
    <row r="303" spans="1:4" x14ac:dyDescent="0.2">
      <c r="A303">
        <v>179683</v>
      </c>
      <c r="B303" t="s">
        <v>17</v>
      </c>
      <c r="C303" t="s">
        <v>14</v>
      </c>
      <c r="D303" t="s">
        <v>18</v>
      </c>
    </row>
    <row r="304" spans="1:4" x14ac:dyDescent="0.2">
      <c r="A304">
        <v>151421</v>
      </c>
      <c r="B304" t="s">
        <v>22</v>
      </c>
      <c r="C304" t="s">
        <v>24</v>
      </c>
      <c r="D304" t="s">
        <v>18</v>
      </c>
    </row>
    <row r="305" spans="1:4" x14ac:dyDescent="0.2">
      <c r="A305">
        <v>169867</v>
      </c>
      <c r="B305" t="s">
        <v>17</v>
      </c>
      <c r="C305" t="s">
        <v>20</v>
      </c>
      <c r="D305" t="s">
        <v>11</v>
      </c>
    </row>
    <row r="306" spans="1:4" x14ac:dyDescent="0.2">
      <c r="A306">
        <v>191946</v>
      </c>
      <c r="B306" t="s">
        <v>10</v>
      </c>
      <c r="C306" t="s">
        <v>20</v>
      </c>
      <c r="D306" t="s">
        <v>18</v>
      </c>
    </row>
    <row r="307" spans="1:4" x14ac:dyDescent="0.2">
      <c r="A307">
        <v>165630</v>
      </c>
      <c r="B307" t="s">
        <v>22</v>
      </c>
      <c r="C307" t="s">
        <v>24</v>
      </c>
      <c r="D307" t="s">
        <v>11</v>
      </c>
    </row>
    <row r="308" spans="1:4" x14ac:dyDescent="0.2">
      <c r="A308">
        <v>173122</v>
      </c>
      <c r="B308" t="s">
        <v>22</v>
      </c>
      <c r="C308" t="s">
        <v>20</v>
      </c>
      <c r="D308" t="s">
        <v>18</v>
      </c>
    </row>
    <row r="309" spans="1:4" x14ac:dyDescent="0.2">
      <c r="A309">
        <v>137617</v>
      </c>
      <c r="B309" t="s">
        <v>17</v>
      </c>
      <c r="C309" t="s">
        <v>20</v>
      </c>
      <c r="D309" t="s">
        <v>18</v>
      </c>
    </row>
    <row r="310" spans="1:4" x14ac:dyDescent="0.2">
      <c r="A310">
        <v>181415</v>
      </c>
      <c r="B310" t="s">
        <v>10</v>
      </c>
      <c r="C310" t="s">
        <v>24</v>
      </c>
      <c r="D310" t="s">
        <v>18</v>
      </c>
    </row>
    <row r="311" spans="1:4" x14ac:dyDescent="0.2">
      <c r="A311">
        <v>141652</v>
      </c>
      <c r="B311" t="s">
        <v>17</v>
      </c>
      <c r="C311" t="s">
        <v>24</v>
      </c>
      <c r="D311" t="s">
        <v>18</v>
      </c>
    </row>
    <row r="312" spans="1:4" x14ac:dyDescent="0.2">
      <c r="A312">
        <v>161479</v>
      </c>
      <c r="B312" t="s">
        <v>17</v>
      </c>
      <c r="C312" t="s">
        <v>24</v>
      </c>
      <c r="D312" t="s">
        <v>11</v>
      </c>
    </row>
    <row r="313" spans="1:4" x14ac:dyDescent="0.2">
      <c r="A313">
        <v>152924</v>
      </c>
      <c r="B313" t="s">
        <v>17</v>
      </c>
      <c r="C313" t="s">
        <v>14</v>
      </c>
      <c r="D313" t="s">
        <v>11</v>
      </c>
    </row>
    <row r="314" spans="1:4" x14ac:dyDescent="0.2">
      <c r="A314">
        <v>176510</v>
      </c>
      <c r="B314" t="s">
        <v>17</v>
      </c>
      <c r="C314" t="s">
        <v>24</v>
      </c>
      <c r="D314" t="s">
        <v>11</v>
      </c>
    </row>
    <row r="315" spans="1:4" x14ac:dyDescent="0.2">
      <c r="A315">
        <v>156390</v>
      </c>
      <c r="B315" t="s">
        <v>17</v>
      </c>
      <c r="C315" t="s">
        <v>24</v>
      </c>
      <c r="D315" t="s">
        <v>11</v>
      </c>
    </row>
    <row r="316" spans="1:4" x14ac:dyDescent="0.2">
      <c r="A316">
        <v>177033</v>
      </c>
      <c r="B316" t="s">
        <v>10</v>
      </c>
      <c r="C316" t="s">
        <v>14</v>
      </c>
      <c r="D316" t="s">
        <v>11</v>
      </c>
    </row>
    <row r="317" spans="1:4" x14ac:dyDescent="0.2">
      <c r="A317">
        <v>133753</v>
      </c>
      <c r="B317" t="s">
        <v>22</v>
      </c>
      <c r="C317" t="s">
        <v>20</v>
      </c>
      <c r="D317" t="s">
        <v>18</v>
      </c>
    </row>
    <row r="318" spans="1:4" x14ac:dyDescent="0.2">
      <c r="A318">
        <v>165841</v>
      </c>
      <c r="B318" t="s">
        <v>10</v>
      </c>
      <c r="C318" t="s">
        <v>24</v>
      </c>
      <c r="D318" t="s">
        <v>18</v>
      </c>
    </row>
    <row r="319" spans="1:4" x14ac:dyDescent="0.2">
      <c r="A319">
        <v>183061</v>
      </c>
      <c r="B319" t="s">
        <v>17</v>
      </c>
      <c r="C319" t="s">
        <v>14</v>
      </c>
      <c r="D319" t="s">
        <v>11</v>
      </c>
    </row>
    <row r="320" spans="1:4" x14ac:dyDescent="0.2">
      <c r="A320">
        <v>125175</v>
      </c>
      <c r="B320" t="s">
        <v>22</v>
      </c>
      <c r="C320" t="s">
        <v>20</v>
      </c>
      <c r="D320" t="s">
        <v>11</v>
      </c>
    </row>
    <row r="321" spans="1:4" x14ac:dyDescent="0.2">
      <c r="A321">
        <v>115464</v>
      </c>
      <c r="B321" t="s">
        <v>10</v>
      </c>
      <c r="C321" t="s">
        <v>24</v>
      </c>
      <c r="D321" t="s">
        <v>11</v>
      </c>
    </row>
    <row r="322" spans="1:4" x14ac:dyDescent="0.2">
      <c r="A322">
        <v>117231</v>
      </c>
      <c r="B322" t="s">
        <v>17</v>
      </c>
      <c r="C322" t="s">
        <v>24</v>
      </c>
      <c r="D322" t="s">
        <v>11</v>
      </c>
    </row>
    <row r="323" spans="1:4" x14ac:dyDescent="0.2">
      <c r="A323">
        <v>154948</v>
      </c>
      <c r="B323" t="s">
        <v>17</v>
      </c>
      <c r="C323" t="s">
        <v>24</v>
      </c>
      <c r="D323" t="s">
        <v>18</v>
      </c>
    </row>
    <row r="324" spans="1:4" x14ac:dyDescent="0.2">
      <c r="A324">
        <v>197375</v>
      </c>
      <c r="B324" t="s">
        <v>10</v>
      </c>
      <c r="C324" t="s">
        <v>20</v>
      </c>
      <c r="D324" t="s">
        <v>11</v>
      </c>
    </row>
    <row r="325" spans="1:4" x14ac:dyDescent="0.2">
      <c r="A325">
        <v>191131</v>
      </c>
      <c r="B325" t="s">
        <v>22</v>
      </c>
      <c r="C325" t="s">
        <v>24</v>
      </c>
      <c r="D325" t="s">
        <v>18</v>
      </c>
    </row>
    <row r="326" spans="1:4" x14ac:dyDescent="0.2">
      <c r="A326">
        <v>131682</v>
      </c>
      <c r="B326" t="s">
        <v>10</v>
      </c>
      <c r="C326" t="s">
        <v>24</v>
      </c>
      <c r="D326" t="s">
        <v>18</v>
      </c>
    </row>
    <row r="327" spans="1:4" x14ac:dyDescent="0.2">
      <c r="A327">
        <v>196276</v>
      </c>
      <c r="B327" t="s">
        <v>17</v>
      </c>
      <c r="C327" t="s">
        <v>20</v>
      </c>
      <c r="D327" t="s">
        <v>11</v>
      </c>
    </row>
    <row r="328" spans="1:4" x14ac:dyDescent="0.2">
      <c r="A328">
        <v>190412</v>
      </c>
      <c r="B328" t="s">
        <v>10</v>
      </c>
      <c r="C328" t="s">
        <v>20</v>
      </c>
      <c r="D328" t="s">
        <v>18</v>
      </c>
    </row>
    <row r="329" spans="1:4" x14ac:dyDescent="0.2">
      <c r="A329">
        <v>149903</v>
      </c>
      <c r="B329" t="s">
        <v>17</v>
      </c>
      <c r="C329" t="s">
        <v>14</v>
      </c>
      <c r="D329" t="s">
        <v>18</v>
      </c>
    </row>
    <row r="330" spans="1:4" x14ac:dyDescent="0.2">
      <c r="A330">
        <v>189131</v>
      </c>
      <c r="B330" t="s">
        <v>10</v>
      </c>
      <c r="C330" t="s">
        <v>24</v>
      </c>
      <c r="D330" t="s">
        <v>11</v>
      </c>
    </row>
    <row r="331" spans="1:4" x14ac:dyDescent="0.2">
      <c r="A331">
        <v>148327</v>
      </c>
      <c r="B331" t="s">
        <v>22</v>
      </c>
      <c r="C331" t="s">
        <v>20</v>
      </c>
      <c r="D331" t="s">
        <v>18</v>
      </c>
    </row>
    <row r="332" spans="1:4" x14ac:dyDescent="0.2">
      <c r="A332">
        <v>189088</v>
      </c>
      <c r="B332" t="s">
        <v>10</v>
      </c>
      <c r="C332" t="s">
        <v>20</v>
      </c>
      <c r="D332" t="s">
        <v>18</v>
      </c>
    </row>
    <row r="333" spans="1:4" x14ac:dyDescent="0.2">
      <c r="A333">
        <v>143305</v>
      </c>
      <c r="B333" t="s">
        <v>10</v>
      </c>
      <c r="C333" t="s">
        <v>24</v>
      </c>
      <c r="D333" t="s">
        <v>18</v>
      </c>
    </row>
    <row r="334" spans="1:4" x14ac:dyDescent="0.2">
      <c r="A334">
        <v>180943</v>
      </c>
      <c r="B334" t="s">
        <v>22</v>
      </c>
      <c r="C334" t="s">
        <v>14</v>
      </c>
      <c r="D334" t="s">
        <v>18</v>
      </c>
    </row>
    <row r="335" spans="1:4" x14ac:dyDescent="0.2">
      <c r="A335">
        <v>152059</v>
      </c>
      <c r="B335" t="s">
        <v>22</v>
      </c>
      <c r="C335" t="s">
        <v>14</v>
      </c>
      <c r="D335" t="s">
        <v>11</v>
      </c>
    </row>
    <row r="336" spans="1:4" x14ac:dyDescent="0.2">
      <c r="A336">
        <v>133691</v>
      </c>
      <c r="B336" t="s">
        <v>10</v>
      </c>
      <c r="C336" t="s">
        <v>20</v>
      </c>
      <c r="D336" t="s">
        <v>11</v>
      </c>
    </row>
    <row r="337" spans="1:4" x14ac:dyDescent="0.2">
      <c r="A337">
        <v>161644</v>
      </c>
      <c r="B337" t="s">
        <v>17</v>
      </c>
      <c r="C337" t="s">
        <v>24</v>
      </c>
      <c r="D337" t="s">
        <v>18</v>
      </c>
    </row>
    <row r="338" spans="1:4" x14ac:dyDescent="0.2">
      <c r="A338">
        <v>132643</v>
      </c>
      <c r="B338" t="s">
        <v>10</v>
      </c>
      <c r="C338" t="s">
        <v>24</v>
      </c>
      <c r="D338" t="s">
        <v>18</v>
      </c>
    </row>
    <row r="339" spans="1:4" x14ac:dyDescent="0.2">
      <c r="A339">
        <v>162317</v>
      </c>
      <c r="B339" t="s">
        <v>17</v>
      </c>
      <c r="C339" t="s">
        <v>24</v>
      </c>
      <c r="D339" t="s">
        <v>18</v>
      </c>
    </row>
    <row r="340" spans="1:4" x14ac:dyDescent="0.2">
      <c r="A340">
        <v>128592</v>
      </c>
      <c r="B340" t="s">
        <v>22</v>
      </c>
      <c r="C340" t="s">
        <v>24</v>
      </c>
      <c r="D340" t="s">
        <v>11</v>
      </c>
    </row>
    <row r="341" spans="1:4" x14ac:dyDescent="0.2">
      <c r="A341">
        <v>192892</v>
      </c>
      <c r="B341" t="s">
        <v>22</v>
      </c>
      <c r="C341" t="s">
        <v>24</v>
      </c>
      <c r="D341" t="s">
        <v>18</v>
      </c>
    </row>
    <row r="342" spans="1:4" x14ac:dyDescent="0.2">
      <c r="A342">
        <v>197147</v>
      </c>
      <c r="B342" t="s">
        <v>22</v>
      </c>
      <c r="C342" t="s">
        <v>24</v>
      </c>
      <c r="D342" t="s">
        <v>11</v>
      </c>
    </row>
    <row r="343" spans="1:4" x14ac:dyDescent="0.2">
      <c r="A343">
        <v>130871</v>
      </c>
      <c r="B343" t="s">
        <v>22</v>
      </c>
      <c r="C343" t="s">
        <v>24</v>
      </c>
      <c r="D343" t="s">
        <v>18</v>
      </c>
    </row>
    <row r="344" spans="1:4" x14ac:dyDescent="0.2">
      <c r="A344">
        <v>184314</v>
      </c>
      <c r="B344" t="s">
        <v>10</v>
      </c>
      <c r="C344" t="s">
        <v>14</v>
      </c>
      <c r="D344" t="s">
        <v>11</v>
      </c>
    </row>
    <row r="345" spans="1:4" x14ac:dyDescent="0.2">
      <c r="A345">
        <v>131922</v>
      </c>
      <c r="B345" t="s">
        <v>22</v>
      </c>
      <c r="C345" t="s">
        <v>20</v>
      </c>
      <c r="D345" t="s">
        <v>18</v>
      </c>
    </row>
    <row r="346" spans="1:4" x14ac:dyDescent="0.2">
      <c r="A346">
        <v>130546</v>
      </c>
      <c r="B346" t="s">
        <v>17</v>
      </c>
      <c r="C346" t="s">
        <v>24</v>
      </c>
      <c r="D346" t="s">
        <v>18</v>
      </c>
    </row>
    <row r="347" spans="1:4" x14ac:dyDescent="0.2">
      <c r="A347">
        <v>167541</v>
      </c>
      <c r="B347" t="s">
        <v>17</v>
      </c>
      <c r="C347" t="s">
        <v>14</v>
      </c>
      <c r="D347" t="s">
        <v>18</v>
      </c>
    </row>
    <row r="348" spans="1:4" x14ac:dyDescent="0.2">
      <c r="A348">
        <v>165128</v>
      </c>
      <c r="B348" t="s">
        <v>22</v>
      </c>
      <c r="C348" t="s">
        <v>24</v>
      </c>
      <c r="D348" t="s">
        <v>11</v>
      </c>
    </row>
    <row r="349" spans="1:4" x14ac:dyDescent="0.2">
      <c r="A349">
        <v>126255</v>
      </c>
      <c r="B349" t="s">
        <v>22</v>
      </c>
      <c r="C349" t="s">
        <v>20</v>
      </c>
      <c r="D349" t="s">
        <v>18</v>
      </c>
    </row>
    <row r="350" spans="1:4" x14ac:dyDescent="0.2">
      <c r="A350">
        <v>176976</v>
      </c>
      <c r="B350" t="s">
        <v>17</v>
      </c>
      <c r="C350" t="s">
        <v>14</v>
      </c>
      <c r="D350" t="s">
        <v>18</v>
      </c>
    </row>
    <row r="351" spans="1:4" x14ac:dyDescent="0.2">
      <c r="A351">
        <v>185599</v>
      </c>
      <c r="B351" t="s">
        <v>10</v>
      </c>
      <c r="C351" t="s">
        <v>24</v>
      </c>
      <c r="D351" t="s">
        <v>11</v>
      </c>
    </row>
    <row r="352" spans="1:4" x14ac:dyDescent="0.2">
      <c r="A352">
        <v>167273</v>
      </c>
      <c r="B352" t="s">
        <v>17</v>
      </c>
      <c r="C352" t="s">
        <v>24</v>
      </c>
      <c r="D352" t="s">
        <v>11</v>
      </c>
    </row>
    <row r="353" spans="1:4" x14ac:dyDescent="0.2">
      <c r="A353">
        <v>189296</v>
      </c>
      <c r="B353" t="s">
        <v>17</v>
      </c>
      <c r="C353" t="s">
        <v>14</v>
      </c>
      <c r="D353" t="s">
        <v>11</v>
      </c>
    </row>
    <row r="354" spans="1:4" x14ac:dyDescent="0.2">
      <c r="A354">
        <v>125082</v>
      </c>
      <c r="B354" t="s">
        <v>17</v>
      </c>
      <c r="C354" t="s">
        <v>20</v>
      </c>
      <c r="D354" t="s">
        <v>11</v>
      </c>
    </row>
    <row r="355" spans="1:4" x14ac:dyDescent="0.2">
      <c r="A355">
        <v>116920</v>
      </c>
      <c r="B355" t="s">
        <v>10</v>
      </c>
      <c r="C355" t="s">
        <v>14</v>
      </c>
      <c r="D355" t="s">
        <v>11</v>
      </c>
    </row>
    <row r="356" spans="1:4" x14ac:dyDescent="0.2">
      <c r="A356">
        <v>111320</v>
      </c>
      <c r="B356" t="s">
        <v>17</v>
      </c>
      <c r="C356" t="s">
        <v>14</v>
      </c>
      <c r="D356" t="s">
        <v>18</v>
      </c>
    </row>
    <row r="357" spans="1:4" x14ac:dyDescent="0.2">
      <c r="A357">
        <v>172247</v>
      </c>
      <c r="B357" t="s">
        <v>17</v>
      </c>
      <c r="C357" t="s">
        <v>14</v>
      </c>
      <c r="D357" t="s">
        <v>11</v>
      </c>
    </row>
    <row r="358" spans="1:4" x14ac:dyDescent="0.2">
      <c r="A358">
        <v>143462</v>
      </c>
      <c r="B358" t="s">
        <v>17</v>
      </c>
      <c r="C358" t="s">
        <v>24</v>
      </c>
      <c r="D358" t="s">
        <v>11</v>
      </c>
    </row>
    <row r="359" spans="1:4" x14ac:dyDescent="0.2">
      <c r="A359">
        <v>125637</v>
      </c>
      <c r="B359" t="s">
        <v>22</v>
      </c>
      <c r="C359" t="s">
        <v>14</v>
      </c>
      <c r="D359" t="s">
        <v>18</v>
      </c>
    </row>
    <row r="360" spans="1:4" x14ac:dyDescent="0.2">
      <c r="A360">
        <v>115827</v>
      </c>
      <c r="B360" t="s">
        <v>17</v>
      </c>
      <c r="C360" t="s">
        <v>14</v>
      </c>
      <c r="D360" t="s">
        <v>18</v>
      </c>
    </row>
    <row r="361" spans="1:4" x14ac:dyDescent="0.2">
      <c r="A361">
        <v>183225</v>
      </c>
      <c r="B361" t="s">
        <v>17</v>
      </c>
      <c r="C361" t="s">
        <v>24</v>
      </c>
      <c r="D361" t="s">
        <v>11</v>
      </c>
    </row>
    <row r="362" spans="1:4" x14ac:dyDescent="0.2">
      <c r="A362">
        <v>133283</v>
      </c>
      <c r="B362" t="s">
        <v>10</v>
      </c>
      <c r="C362" t="s">
        <v>20</v>
      </c>
      <c r="D362" t="s">
        <v>11</v>
      </c>
    </row>
    <row r="363" spans="1:4" x14ac:dyDescent="0.2">
      <c r="A363">
        <v>164389</v>
      </c>
      <c r="B363" t="s">
        <v>22</v>
      </c>
      <c r="C363" t="s">
        <v>20</v>
      </c>
      <c r="D363" t="s">
        <v>18</v>
      </c>
    </row>
    <row r="364" spans="1:4" x14ac:dyDescent="0.2">
      <c r="A364">
        <v>163108</v>
      </c>
      <c r="B364" t="s">
        <v>10</v>
      </c>
      <c r="C364" t="s">
        <v>14</v>
      </c>
      <c r="D364" t="s">
        <v>18</v>
      </c>
    </row>
    <row r="365" spans="1:4" x14ac:dyDescent="0.2">
      <c r="A365">
        <v>160121</v>
      </c>
      <c r="B365" t="s">
        <v>10</v>
      </c>
      <c r="C365" t="s">
        <v>24</v>
      </c>
      <c r="D365" t="s">
        <v>18</v>
      </c>
    </row>
    <row r="366" spans="1:4" x14ac:dyDescent="0.2">
      <c r="A366">
        <v>141116</v>
      </c>
      <c r="B366" t="s">
        <v>22</v>
      </c>
      <c r="C366" t="s">
        <v>14</v>
      </c>
      <c r="D366" t="s">
        <v>18</v>
      </c>
    </row>
    <row r="367" spans="1:4" x14ac:dyDescent="0.2">
      <c r="A367">
        <v>157901</v>
      </c>
      <c r="B367" t="s">
        <v>17</v>
      </c>
      <c r="C367" t="s">
        <v>14</v>
      </c>
      <c r="D367" t="s">
        <v>11</v>
      </c>
    </row>
    <row r="368" spans="1:4" x14ac:dyDescent="0.2">
      <c r="A368">
        <v>165017</v>
      </c>
      <c r="B368" t="s">
        <v>10</v>
      </c>
      <c r="C368" t="s">
        <v>24</v>
      </c>
      <c r="D368" t="s">
        <v>18</v>
      </c>
    </row>
    <row r="369" spans="1:4" x14ac:dyDescent="0.2">
      <c r="A369">
        <v>165689</v>
      </c>
      <c r="B369" t="s">
        <v>17</v>
      </c>
      <c r="C369" t="s">
        <v>24</v>
      </c>
      <c r="D369" t="s">
        <v>11</v>
      </c>
    </row>
    <row r="370" spans="1:4" x14ac:dyDescent="0.2">
      <c r="A370">
        <v>172370</v>
      </c>
      <c r="B370" t="s">
        <v>17</v>
      </c>
      <c r="C370" t="s">
        <v>24</v>
      </c>
      <c r="D370" t="s">
        <v>11</v>
      </c>
    </row>
    <row r="371" spans="1:4" x14ac:dyDescent="0.2">
      <c r="A371">
        <v>149539</v>
      </c>
      <c r="B371" t="s">
        <v>17</v>
      </c>
      <c r="C371" t="s">
        <v>20</v>
      </c>
      <c r="D371" t="s">
        <v>11</v>
      </c>
    </row>
    <row r="372" spans="1:4" x14ac:dyDescent="0.2">
      <c r="A372">
        <v>149127</v>
      </c>
      <c r="B372" t="s">
        <v>22</v>
      </c>
      <c r="C372" t="s">
        <v>24</v>
      </c>
      <c r="D372" t="s">
        <v>11</v>
      </c>
    </row>
    <row r="373" spans="1:4" x14ac:dyDescent="0.2">
      <c r="A373">
        <v>199887</v>
      </c>
      <c r="B373" t="s">
        <v>22</v>
      </c>
      <c r="C373" t="s">
        <v>24</v>
      </c>
      <c r="D373" t="s">
        <v>18</v>
      </c>
    </row>
    <row r="374" spans="1:4" x14ac:dyDescent="0.2">
      <c r="A374">
        <v>166103</v>
      </c>
      <c r="B374" t="s">
        <v>17</v>
      </c>
      <c r="C374" t="s">
        <v>14</v>
      </c>
      <c r="D374" t="s">
        <v>18</v>
      </c>
    </row>
    <row r="375" spans="1:4" x14ac:dyDescent="0.2">
      <c r="A375">
        <v>144850</v>
      </c>
      <c r="B375" t="s">
        <v>22</v>
      </c>
      <c r="C375" t="s">
        <v>24</v>
      </c>
      <c r="D375" t="s">
        <v>11</v>
      </c>
    </row>
    <row r="376" spans="1:4" x14ac:dyDescent="0.2">
      <c r="A376">
        <v>139746</v>
      </c>
      <c r="B376" t="s">
        <v>10</v>
      </c>
      <c r="C376" t="s">
        <v>24</v>
      </c>
      <c r="D376" t="s">
        <v>18</v>
      </c>
    </row>
    <row r="377" spans="1:4" x14ac:dyDescent="0.2">
      <c r="A377">
        <v>177685</v>
      </c>
      <c r="B377" t="s">
        <v>10</v>
      </c>
      <c r="C377" t="s">
        <v>24</v>
      </c>
      <c r="D377" t="s">
        <v>11</v>
      </c>
    </row>
    <row r="378" spans="1:4" x14ac:dyDescent="0.2">
      <c r="A378">
        <v>166728</v>
      </c>
      <c r="B378" t="s">
        <v>10</v>
      </c>
      <c r="C378" t="s">
        <v>20</v>
      </c>
      <c r="D378" t="s">
        <v>11</v>
      </c>
    </row>
    <row r="379" spans="1:4" x14ac:dyDescent="0.2">
      <c r="A379">
        <v>116065</v>
      </c>
      <c r="B379" t="s">
        <v>22</v>
      </c>
      <c r="C379" t="s">
        <v>24</v>
      </c>
      <c r="D379" t="s">
        <v>18</v>
      </c>
    </row>
    <row r="380" spans="1:4" x14ac:dyDescent="0.2">
      <c r="A380">
        <v>110033</v>
      </c>
      <c r="B380" t="s">
        <v>22</v>
      </c>
      <c r="C380" t="s">
        <v>20</v>
      </c>
      <c r="D380" t="s">
        <v>18</v>
      </c>
    </row>
    <row r="381" spans="1:4" x14ac:dyDescent="0.2">
      <c r="A381">
        <v>164617</v>
      </c>
      <c r="B381" t="s">
        <v>22</v>
      </c>
      <c r="C381" t="s">
        <v>20</v>
      </c>
      <c r="D381" t="s">
        <v>11</v>
      </c>
    </row>
    <row r="382" spans="1:4" x14ac:dyDescent="0.2">
      <c r="A382">
        <v>112314</v>
      </c>
      <c r="B382" t="s">
        <v>10</v>
      </c>
      <c r="C382" t="s">
        <v>20</v>
      </c>
      <c r="D382" t="s">
        <v>11</v>
      </c>
    </row>
    <row r="383" spans="1:4" x14ac:dyDescent="0.2">
      <c r="A383">
        <v>130671</v>
      </c>
      <c r="B383" t="s">
        <v>17</v>
      </c>
      <c r="C383" t="s">
        <v>20</v>
      </c>
      <c r="D383" t="s">
        <v>11</v>
      </c>
    </row>
    <row r="384" spans="1:4" x14ac:dyDescent="0.2">
      <c r="A384">
        <v>176094</v>
      </c>
      <c r="B384" t="s">
        <v>17</v>
      </c>
      <c r="C384" t="s">
        <v>20</v>
      </c>
      <c r="D384" t="s">
        <v>11</v>
      </c>
    </row>
    <row r="385" spans="1:4" x14ac:dyDescent="0.2">
      <c r="A385">
        <v>133227</v>
      </c>
      <c r="B385" t="s">
        <v>22</v>
      </c>
      <c r="C385" t="s">
        <v>24</v>
      </c>
      <c r="D385" t="s">
        <v>18</v>
      </c>
    </row>
    <row r="386" spans="1:4" x14ac:dyDescent="0.2">
      <c r="A386">
        <v>170530</v>
      </c>
      <c r="B386" t="s">
        <v>10</v>
      </c>
      <c r="C386" t="s">
        <v>24</v>
      </c>
      <c r="D386" t="s">
        <v>18</v>
      </c>
    </row>
    <row r="387" spans="1:4" x14ac:dyDescent="0.2">
      <c r="A387">
        <v>195782</v>
      </c>
      <c r="B387" t="s">
        <v>22</v>
      </c>
      <c r="C387" t="s">
        <v>14</v>
      </c>
      <c r="D387" t="s">
        <v>11</v>
      </c>
    </row>
    <row r="388" spans="1:4" x14ac:dyDescent="0.2">
      <c r="A388">
        <v>113054</v>
      </c>
      <c r="B388" t="s">
        <v>17</v>
      </c>
      <c r="C388" t="s">
        <v>24</v>
      </c>
      <c r="D388" t="s">
        <v>11</v>
      </c>
    </row>
    <row r="389" spans="1:4" x14ac:dyDescent="0.2">
      <c r="A389">
        <v>198313</v>
      </c>
      <c r="B389" t="s">
        <v>10</v>
      </c>
      <c r="C389" t="s">
        <v>24</v>
      </c>
      <c r="D389" t="s">
        <v>18</v>
      </c>
    </row>
    <row r="390" spans="1:4" x14ac:dyDescent="0.2">
      <c r="A390">
        <v>158628</v>
      </c>
      <c r="B390" t="s">
        <v>17</v>
      </c>
      <c r="C390" t="s">
        <v>14</v>
      </c>
      <c r="D390" t="s">
        <v>18</v>
      </c>
    </row>
    <row r="391" spans="1:4" x14ac:dyDescent="0.2">
      <c r="A391">
        <v>154165</v>
      </c>
      <c r="B391" t="s">
        <v>10</v>
      </c>
      <c r="C391" t="s">
        <v>20</v>
      </c>
      <c r="D391" t="s">
        <v>18</v>
      </c>
    </row>
    <row r="392" spans="1:4" x14ac:dyDescent="0.2">
      <c r="A392">
        <v>122473</v>
      </c>
      <c r="B392" t="s">
        <v>10</v>
      </c>
      <c r="C392" t="s">
        <v>14</v>
      </c>
      <c r="D392" t="s">
        <v>18</v>
      </c>
    </row>
    <row r="393" spans="1:4" x14ac:dyDescent="0.2">
      <c r="A393">
        <v>150408</v>
      </c>
      <c r="B393" t="s">
        <v>17</v>
      </c>
      <c r="C393" t="s">
        <v>24</v>
      </c>
      <c r="D393" t="s">
        <v>18</v>
      </c>
    </row>
    <row r="394" spans="1:4" x14ac:dyDescent="0.2">
      <c r="A394">
        <v>178253</v>
      </c>
      <c r="B394" t="s">
        <v>10</v>
      </c>
      <c r="C394" t="s">
        <v>14</v>
      </c>
      <c r="D394" t="s">
        <v>18</v>
      </c>
    </row>
    <row r="395" spans="1:4" x14ac:dyDescent="0.2">
      <c r="A395">
        <v>182211</v>
      </c>
      <c r="B395" t="s">
        <v>17</v>
      </c>
      <c r="C395" t="s">
        <v>14</v>
      </c>
      <c r="D395" t="s">
        <v>18</v>
      </c>
    </row>
    <row r="396" spans="1:4" x14ac:dyDescent="0.2">
      <c r="A396">
        <v>157396</v>
      </c>
      <c r="B396" t="s">
        <v>22</v>
      </c>
      <c r="C396" t="s">
        <v>14</v>
      </c>
      <c r="D396" t="s">
        <v>11</v>
      </c>
    </row>
    <row r="397" spans="1:4" x14ac:dyDescent="0.2">
      <c r="A397">
        <v>152736</v>
      </c>
      <c r="B397" t="s">
        <v>10</v>
      </c>
      <c r="C397" t="s">
        <v>20</v>
      </c>
      <c r="D397" t="s">
        <v>11</v>
      </c>
    </row>
    <row r="398" spans="1:4" x14ac:dyDescent="0.2">
      <c r="A398">
        <v>168051</v>
      </c>
      <c r="B398" t="s">
        <v>10</v>
      </c>
      <c r="C398" t="s">
        <v>20</v>
      </c>
      <c r="D398" t="s">
        <v>18</v>
      </c>
    </row>
    <row r="399" spans="1:4" x14ac:dyDescent="0.2">
      <c r="A399">
        <v>119648</v>
      </c>
      <c r="B399" t="s">
        <v>10</v>
      </c>
      <c r="C399" t="s">
        <v>14</v>
      </c>
      <c r="D399" t="s">
        <v>11</v>
      </c>
    </row>
    <row r="400" spans="1:4" x14ac:dyDescent="0.2">
      <c r="A400">
        <v>130206</v>
      </c>
      <c r="B400" t="s">
        <v>10</v>
      </c>
      <c r="C400" t="s">
        <v>20</v>
      </c>
      <c r="D400" t="s">
        <v>11</v>
      </c>
    </row>
    <row r="401" spans="1:4" x14ac:dyDescent="0.2">
      <c r="A401">
        <v>153501</v>
      </c>
      <c r="B401" t="s">
        <v>10</v>
      </c>
      <c r="C401" t="s">
        <v>14</v>
      </c>
      <c r="D401" t="s">
        <v>18</v>
      </c>
    </row>
    <row r="402" spans="1:4" x14ac:dyDescent="0.2">
      <c r="A402">
        <v>196059</v>
      </c>
      <c r="B402" t="s">
        <v>10</v>
      </c>
      <c r="C402" t="s">
        <v>14</v>
      </c>
      <c r="D402" t="s">
        <v>11</v>
      </c>
    </row>
    <row r="403" spans="1:4" x14ac:dyDescent="0.2">
      <c r="A403">
        <v>153655</v>
      </c>
      <c r="B403" t="s">
        <v>10</v>
      </c>
      <c r="C403" t="s">
        <v>14</v>
      </c>
      <c r="D403" t="s">
        <v>11</v>
      </c>
    </row>
    <row r="404" spans="1:4" x14ac:dyDescent="0.2">
      <c r="A404">
        <v>191803</v>
      </c>
      <c r="B404" t="s">
        <v>22</v>
      </c>
      <c r="C404" t="s">
        <v>20</v>
      </c>
      <c r="D404" t="s">
        <v>18</v>
      </c>
    </row>
    <row r="405" spans="1:4" x14ac:dyDescent="0.2">
      <c r="A405">
        <v>145992</v>
      </c>
      <c r="B405" t="s">
        <v>22</v>
      </c>
      <c r="C405" t="s">
        <v>20</v>
      </c>
      <c r="D405" t="s">
        <v>11</v>
      </c>
    </row>
    <row r="406" spans="1:4" x14ac:dyDescent="0.2">
      <c r="A406">
        <v>118967</v>
      </c>
      <c r="B406" t="s">
        <v>17</v>
      </c>
      <c r="C406" t="s">
        <v>20</v>
      </c>
      <c r="D406" t="s">
        <v>11</v>
      </c>
    </row>
    <row r="407" spans="1:4" x14ac:dyDescent="0.2">
      <c r="A407">
        <v>125062</v>
      </c>
      <c r="B407" t="s">
        <v>17</v>
      </c>
      <c r="C407" t="s">
        <v>24</v>
      </c>
      <c r="D407" t="s">
        <v>11</v>
      </c>
    </row>
    <row r="408" spans="1:4" x14ac:dyDescent="0.2">
      <c r="A408">
        <v>165448</v>
      </c>
      <c r="B408" t="s">
        <v>17</v>
      </c>
      <c r="C408" t="s">
        <v>14</v>
      </c>
      <c r="D408" t="s">
        <v>18</v>
      </c>
    </row>
    <row r="409" spans="1:4" x14ac:dyDescent="0.2">
      <c r="A409">
        <v>160827</v>
      </c>
      <c r="B409" t="s">
        <v>17</v>
      </c>
      <c r="C409" t="s">
        <v>20</v>
      </c>
      <c r="D409" t="s">
        <v>18</v>
      </c>
    </row>
    <row r="410" spans="1:4" x14ac:dyDescent="0.2">
      <c r="A410">
        <v>125378</v>
      </c>
      <c r="B410" t="s">
        <v>10</v>
      </c>
      <c r="C410" t="s">
        <v>20</v>
      </c>
      <c r="D410" t="s">
        <v>11</v>
      </c>
    </row>
    <row r="411" spans="1:4" x14ac:dyDescent="0.2">
      <c r="A411">
        <v>185547</v>
      </c>
      <c r="B411" t="s">
        <v>10</v>
      </c>
      <c r="C411" t="s">
        <v>24</v>
      </c>
      <c r="D411" t="s">
        <v>18</v>
      </c>
    </row>
    <row r="412" spans="1:4" x14ac:dyDescent="0.2">
      <c r="A412">
        <v>191475</v>
      </c>
      <c r="B412" t="s">
        <v>10</v>
      </c>
      <c r="C412" t="s">
        <v>14</v>
      </c>
      <c r="D412" t="s">
        <v>11</v>
      </c>
    </row>
    <row r="413" spans="1:4" x14ac:dyDescent="0.2">
      <c r="A413">
        <v>193605</v>
      </c>
      <c r="B413" t="s">
        <v>22</v>
      </c>
      <c r="C413" t="s">
        <v>20</v>
      </c>
      <c r="D413" t="s">
        <v>18</v>
      </c>
    </row>
    <row r="414" spans="1:4" x14ac:dyDescent="0.2">
      <c r="A414">
        <v>193179</v>
      </c>
      <c r="B414" t="s">
        <v>22</v>
      </c>
      <c r="C414" t="s">
        <v>20</v>
      </c>
      <c r="D414" t="s">
        <v>18</v>
      </c>
    </row>
    <row r="415" spans="1:4" x14ac:dyDescent="0.2">
      <c r="A415">
        <v>131808</v>
      </c>
      <c r="B415" t="s">
        <v>22</v>
      </c>
      <c r="C415" t="s">
        <v>20</v>
      </c>
      <c r="D415" t="s">
        <v>11</v>
      </c>
    </row>
    <row r="416" spans="1:4" x14ac:dyDescent="0.2">
      <c r="A416">
        <v>134615</v>
      </c>
      <c r="B416" t="s">
        <v>17</v>
      </c>
      <c r="C416" t="s">
        <v>20</v>
      </c>
      <c r="D416" t="s">
        <v>18</v>
      </c>
    </row>
    <row r="417" spans="1:4" x14ac:dyDescent="0.2">
      <c r="A417">
        <v>142414</v>
      </c>
      <c r="B417" t="s">
        <v>10</v>
      </c>
      <c r="C417" t="s">
        <v>14</v>
      </c>
      <c r="D417" t="s">
        <v>11</v>
      </c>
    </row>
    <row r="418" spans="1:4" x14ac:dyDescent="0.2">
      <c r="A418">
        <v>152245</v>
      </c>
      <c r="B418" t="s">
        <v>10</v>
      </c>
      <c r="C418" t="s">
        <v>14</v>
      </c>
      <c r="D418" t="s">
        <v>11</v>
      </c>
    </row>
    <row r="419" spans="1:4" x14ac:dyDescent="0.2">
      <c r="A419">
        <v>186093</v>
      </c>
      <c r="B419" t="s">
        <v>17</v>
      </c>
      <c r="C419" t="s">
        <v>14</v>
      </c>
      <c r="D419" t="s">
        <v>18</v>
      </c>
    </row>
    <row r="420" spans="1:4" x14ac:dyDescent="0.2">
      <c r="A420">
        <v>123603</v>
      </c>
      <c r="B420" t="s">
        <v>10</v>
      </c>
      <c r="C420" t="s">
        <v>20</v>
      </c>
      <c r="D420" t="s">
        <v>11</v>
      </c>
    </row>
    <row r="421" spans="1:4" x14ac:dyDescent="0.2">
      <c r="A421">
        <v>178518</v>
      </c>
      <c r="B421" t="s">
        <v>22</v>
      </c>
      <c r="C421" t="s">
        <v>14</v>
      </c>
      <c r="D421" t="s">
        <v>11</v>
      </c>
    </row>
    <row r="422" spans="1:4" x14ac:dyDescent="0.2">
      <c r="A422">
        <v>185924</v>
      </c>
      <c r="B422" t="s">
        <v>22</v>
      </c>
      <c r="C422" t="s">
        <v>20</v>
      </c>
      <c r="D422" t="s">
        <v>11</v>
      </c>
    </row>
    <row r="423" spans="1:4" x14ac:dyDescent="0.2">
      <c r="A423">
        <v>161426</v>
      </c>
      <c r="B423" t="s">
        <v>17</v>
      </c>
      <c r="C423" t="s">
        <v>24</v>
      </c>
      <c r="D423" t="s">
        <v>11</v>
      </c>
    </row>
    <row r="424" spans="1:4" x14ac:dyDescent="0.2">
      <c r="A424">
        <v>179528</v>
      </c>
      <c r="B424" t="s">
        <v>17</v>
      </c>
      <c r="C424" t="s">
        <v>14</v>
      </c>
      <c r="D424" t="s">
        <v>11</v>
      </c>
    </row>
    <row r="425" spans="1:4" x14ac:dyDescent="0.2">
      <c r="A425">
        <v>152881</v>
      </c>
      <c r="B425" t="s">
        <v>22</v>
      </c>
      <c r="C425" t="s">
        <v>20</v>
      </c>
      <c r="D425" t="s">
        <v>11</v>
      </c>
    </row>
    <row r="426" spans="1:4" x14ac:dyDescent="0.2">
      <c r="A426">
        <v>158853</v>
      </c>
      <c r="B426" t="s">
        <v>10</v>
      </c>
      <c r="C426" t="s">
        <v>24</v>
      </c>
      <c r="D426" t="s">
        <v>11</v>
      </c>
    </row>
    <row r="427" spans="1:4" x14ac:dyDescent="0.2">
      <c r="A427">
        <v>186138</v>
      </c>
      <c r="B427" t="s">
        <v>10</v>
      </c>
      <c r="C427" t="s">
        <v>20</v>
      </c>
      <c r="D427" t="s">
        <v>18</v>
      </c>
    </row>
    <row r="428" spans="1:4" x14ac:dyDescent="0.2">
      <c r="A428">
        <v>183223</v>
      </c>
      <c r="B428" t="s">
        <v>10</v>
      </c>
      <c r="C428" t="s">
        <v>24</v>
      </c>
      <c r="D428" t="s">
        <v>18</v>
      </c>
    </row>
    <row r="429" spans="1:4" x14ac:dyDescent="0.2">
      <c r="A429">
        <v>113169</v>
      </c>
      <c r="B429" t="s">
        <v>10</v>
      </c>
      <c r="C429" t="s">
        <v>14</v>
      </c>
      <c r="D429" t="s">
        <v>11</v>
      </c>
    </row>
    <row r="430" spans="1:4" x14ac:dyDescent="0.2">
      <c r="A430">
        <v>138256</v>
      </c>
      <c r="B430" t="s">
        <v>22</v>
      </c>
      <c r="C430" t="s">
        <v>24</v>
      </c>
      <c r="D430" t="s">
        <v>11</v>
      </c>
    </row>
    <row r="431" spans="1:4" x14ac:dyDescent="0.2">
      <c r="A431">
        <v>115815</v>
      </c>
      <c r="B431" t="s">
        <v>17</v>
      </c>
      <c r="C431" t="s">
        <v>24</v>
      </c>
      <c r="D431" t="s">
        <v>18</v>
      </c>
    </row>
    <row r="432" spans="1:4" x14ac:dyDescent="0.2">
      <c r="A432">
        <v>162665</v>
      </c>
      <c r="B432" t="s">
        <v>10</v>
      </c>
      <c r="C432" t="s">
        <v>20</v>
      </c>
      <c r="D432" t="s">
        <v>18</v>
      </c>
    </row>
    <row r="433" spans="1:4" x14ac:dyDescent="0.2">
      <c r="A433">
        <v>135610</v>
      </c>
      <c r="B433" t="s">
        <v>17</v>
      </c>
      <c r="C433" t="s">
        <v>20</v>
      </c>
      <c r="D433" t="s">
        <v>18</v>
      </c>
    </row>
    <row r="434" spans="1:4" x14ac:dyDescent="0.2">
      <c r="A434">
        <v>164361</v>
      </c>
      <c r="B434" t="s">
        <v>10</v>
      </c>
      <c r="C434" t="s">
        <v>14</v>
      </c>
      <c r="D434" t="s">
        <v>18</v>
      </c>
    </row>
    <row r="435" spans="1:4" x14ac:dyDescent="0.2">
      <c r="A435">
        <v>112551</v>
      </c>
      <c r="B435" t="s">
        <v>22</v>
      </c>
      <c r="C435" t="s">
        <v>14</v>
      </c>
      <c r="D435" t="s">
        <v>11</v>
      </c>
    </row>
    <row r="436" spans="1:4" x14ac:dyDescent="0.2">
      <c r="A436">
        <v>184922</v>
      </c>
      <c r="B436" t="s">
        <v>10</v>
      </c>
      <c r="C436" t="s">
        <v>20</v>
      </c>
      <c r="D436" t="s">
        <v>18</v>
      </c>
    </row>
    <row r="437" spans="1:4" x14ac:dyDescent="0.2">
      <c r="A437">
        <v>159197</v>
      </c>
      <c r="B437" t="s">
        <v>22</v>
      </c>
      <c r="C437" t="s">
        <v>24</v>
      </c>
      <c r="D437" t="s">
        <v>18</v>
      </c>
    </row>
    <row r="438" spans="1:4" x14ac:dyDescent="0.2">
      <c r="A438">
        <v>162972</v>
      </c>
      <c r="B438" t="s">
        <v>22</v>
      </c>
      <c r="C438" t="s">
        <v>24</v>
      </c>
      <c r="D438" t="s">
        <v>18</v>
      </c>
    </row>
    <row r="439" spans="1:4" x14ac:dyDescent="0.2">
      <c r="A439">
        <v>194018</v>
      </c>
      <c r="B439" t="s">
        <v>22</v>
      </c>
      <c r="C439" t="s">
        <v>20</v>
      </c>
      <c r="D439" t="s">
        <v>11</v>
      </c>
    </row>
    <row r="440" spans="1:4" x14ac:dyDescent="0.2">
      <c r="A440">
        <v>128043</v>
      </c>
      <c r="B440" t="s">
        <v>10</v>
      </c>
      <c r="C440" t="s">
        <v>14</v>
      </c>
      <c r="D440" t="s">
        <v>11</v>
      </c>
    </row>
    <row r="441" spans="1:4" x14ac:dyDescent="0.2">
      <c r="A441">
        <v>194508</v>
      </c>
      <c r="B441" t="s">
        <v>22</v>
      </c>
      <c r="C441" t="s">
        <v>14</v>
      </c>
      <c r="D441" t="s">
        <v>18</v>
      </c>
    </row>
    <row r="442" spans="1:4" x14ac:dyDescent="0.2">
      <c r="A442">
        <v>125010</v>
      </c>
      <c r="B442" t="s">
        <v>22</v>
      </c>
      <c r="C442" t="s">
        <v>14</v>
      </c>
      <c r="D442" t="s">
        <v>11</v>
      </c>
    </row>
    <row r="443" spans="1:4" x14ac:dyDescent="0.2">
      <c r="A443">
        <v>157494</v>
      </c>
      <c r="B443" t="s">
        <v>10</v>
      </c>
      <c r="C443" t="s">
        <v>20</v>
      </c>
      <c r="D443" t="s">
        <v>18</v>
      </c>
    </row>
    <row r="444" spans="1:4" x14ac:dyDescent="0.2">
      <c r="A444">
        <v>195774</v>
      </c>
      <c r="B444" t="s">
        <v>17</v>
      </c>
      <c r="C444" t="s">
        <v>14</v>
      </c>
      <c r="D444" t="s">
        <v>11</v>
      </c>
    </row>
    <row r="445" spans="1:4" x14ac:dyDescent="0.2">
      <c r="A445">
        <v>133617</v>
      </c>
      <c r="B445" t="s">
        <v>17</v>
      </c>
      <c r="C445" t="s">
        <v>14</v>
      </c>
      <c r="D445" t="s">
        <v>18</v>
      </c>
    </row>
    <row r="446" spans="1:4" x14ac:dyDescent="0.2">
      <c r="A446">
        <v>176459</v>
      </c>
      <c r="B446" t="s">
        <v>22</v>
      </c>
      <c r="C446" t="s">
        <v>20</v>
      </c>
      <c r="D446" t="s">
        <v>11</v>
      </c>
    </row>
    <row r="447" spans="1:4" x14ac:dyDescent="0.2">
      <c r="A447">
        <v>138820</v>
      </c>
      <c r="B447" t="s">
        <v>10</v>
      </c>
      <c r="C447" t="s">
        <v>14</v>
      </c>
      <c r="D447" t="s">
        <v>18</v>
      </c>
    </row>
    <row r="448" spans="1:4" x14ac:dyDescent="0.2">
      <c r="A448">
        <v>152123</v>
      </c>
      <c r="B448" t="s">
        <v>22</v>
      </c>
      <c r="C448" t="s">
        <v>14</v>
      </c>
      <c r="D448" t="s">
        <v>11</v>
      </c>
    </row>
    <row r="449" spans="1:4" x14ac:dyDescent="0.2">
      <c r="A449">
        <v>165842</v>
      </c>
      <c r="B449" t="s">
        <v>22</v>
      </c>
      <c r="C449" t="s">
        <v>14</v>
      </c>
      <c r="D449" t="s">
        <v>18</v>
      </c>
    </row>
    <row r="450" spans="1:4" x14ac:dyDescent="0.2">
      <c r="A450">
        <v>160474</v>
      </c>
      <c r="B450" t="s">
        <v>22</v>
      </c>
      <c r="C450" t="s">
        <v>20</v>
      </c>
      <c r="D450" t="s">
        <v>18</v>
      </c>
    </row>
    <row r="451" spans="1:4" x14ac:dyDescent="0.2">
      <c r="A451">
        <v>198462</v>
      </c>
      <c r="B451" t="s">
        <v>17</v>
      </c>
      <c r="C451" t="s">
        <v>20</v>
      </c>
      <c r="D451" t="s">
        <v>11</v>
      </c>
    </row>
    <row r="452" spans="1:4" x14ac:dyDescent="0.2">
      <c r="A452">
        <v>194843</v>
      </c>
      <c r="B452" t="s">
        <v>10</v>
      </c>
      <c r="C452" t="s">
        <v>14</v>
      </c>
      <c r="D452" t="s">
        <v>11</v>
      </c>
    </row>
    <row r="453" spans="1:4" x14ac:dyDescent="0.2">
      <c r="A453">
        <v>150604</v>
      </c>
      <c r="B453" t="s">
        <v>10</v>
      </c>
      <c r="C453" t="s">
        <v>24</v>
      </c>
      <c r="D453" t="s">
        <v>18</v>
      </c>
    </row>
    <row r="454" spans="1:4" x14ac:dyDescent="0.2">
      <c r="A454">
        <v>190418</v>
      </c>
      <c r="B454" t="s">
        <v>17</v>
      </c>
      <c r="C454" t="s">
        <v>20</v>
      </c>
      <c r="D454" t="s">
        <v>11</v>
      </c>
    </row>
    <row r="455" spans="1:4" x14ac:dyDescent="0.2">
      <c r="A455">
        <v>133094</v>
      </c>
      <c r="B455" t="s">
        <v>22</v>
      </c>
      <c r="C455" t="s">
        <v>24</v>
      </c>
      <c r="D455" t="s">
        <v>18</v>
      </c>
    </row>
    <row r="456" spans="1:4" x14ac:dyDescent="0.2">
      <c r="A456">
        <v>189074</v>
      </c>
      <c r="B456" t="s">
        <v>17</v>
      </c>
      <c r="C456" t="s">
        <v>24</v>
      </c>
      <c r="D456" t="s">
        <v>18</v>
      </c>
    </row>
    <row r="457" spans="1:4" x14ac:dyDescent="0.2">
      <c r="A457">
        <v>152783</v>
      </c>
      <c r="B457" t="s">
        <v>22</v>
      </c>
      <c r="C457" t="s">
        <v>20</v>
      </c>
      <c r="D457" t="s">
        <v>18</v>
      </c>
    </row>
    <row r="458" spans="1:4" x14ac:dyDescent="0.2">
      <c r="A458">
        <v>152215</v>
      </c>
      <c r="B458" t="s">
        <v>22</v>
      </c>
      <c r="C458" t="s">
        <v>20</v>
      </c>
      <c r="D458" t="s">
        <v>11</v>
      </c>
    </row>
    <row r="459" spans="1:4" x14ac:dyDescent="0.2">
      <c r="A459">
        <v>174676</v>
      </c>
      <c r="B459" t="s">
        <v>10</v>
      </c>
      <c r="C459" t="s">
        <v>14</v>
      </c>
      <c r="D459" t="s">
        <v>18</v>
      </c>
    </row>
    <row r="460" spans="1:4" x14ac:dyDescent="0.2">
      <c r="A460">
        <v>147821</v>
      </c>
      <c r="B460" t="s">
        <v>22</v>
      </c>
      <c r="C460" t="s">
        <v>14</v>
      </c>
      <c r="D460" t="s">
        <v>11</v>
      </c>
    </row>
    <row r="461" spans="1:4" x14ac:dyDescent="0.2">
      <c r="A461">
        <v>113180</v>
      </c>
      <c r="B461" t="s">
        <v>10</v>
      </c>
      <c r="C461" t="s">
        <v>20</v>
      </c>
      <c r="D461" t="s">
        <v>11</v>
      </c>
    </row>
    <row r="462" spans="1:4" x14ac:dyDescent="0.2">
      <c r="A462">
        <v>147684</v>
      </c>
      <c r="B462" t="s">
        <v>10</v>
      </c>
      <c r="C462" t="s">
        <v>14</v>
      </c>
      <c r="D462" t="s">
        <v>11</v>
      </c>
    </row>
    <row r="463" spans="1:4" x14ac:dyDescent="0.2">
      <c r="A463">
        <v>110276</v>
      </c>
      <c r="B463" t="s">
        <v>10</v>
      </c>
      <c r="C463" t="s">
        <v>24</v>
      </c>
      <c r="D463" t="s">
        <v>18</v>
      </c>
    </row>
    <row r="464" spans="1:4" x14ac:dyDescent="0.2">
      <c r="A464">
        <v>119373</v>
      </c>
      <c r="B464" t="s">
        <v>10</v>
      </c>
      <c r="C464" t="s">
        <v>20</v>
      </c>
      <c r="D464" t="s">
        <v>11</v>
      </c>
    </row>
    <row r="465" spans="1:4" x14ac:dyDescent="0.2">
      <c r="A465">
        <v>130090</v>
      </c>
      <c r="B465" t="s">
        <v>10</v>
      </c>
      <c r="C465" t="s">
        <v>20</v>
      </c>
      <c r="D465" t="s">
        <v>11</v>
      </c>
    </row>
    <row r="466" spans="1:4" x14ac:dyDescent="0.2">
      <c r="A466">
        <v>168451</v>
      </c>
      <c r="B466" t="s">
        <v>22</v>
      </c>
      <c r="C466" t="s">
        <v>20</v>
      </c>
      <c r="D466" t="s">
        <v>11</v>
      </c>
    </row>
    <row r="467" spans="1:4" x14ac:dyDescent="0.2">
      <c r="A467">
        <v>196907</v>
      </c>
      <c r="B467" t="s">
        <v>10</v>
      </c>
      <c r="C467" t="s">
        <v>14</v>
      </c>
      <c r="D467" t="s">
        <v>18</v>
      </c>
    </row>
    <row r="468" spans="1:4" x14ac:dyDescent="0.2">
      <c r="A468">
        <v>153708</v>
      </c>
      <c r="B468" t="s">
        <v>10</v>
      </c>
      <c r="C468" t="s">
        <v>14</v>
      </c>
      <c r="D468" t="s">
        <v>11</v>
      </c>
    </row>
    <row r="469" spans="1:4" x14ac:dyDescent="0.2">
      <c r="A469">
        <v>116949</v>
      </c>
      <c r="B469" t="s">
        <v>17</v>
      </c>
      <c r="C469" t="s">
        <v>24</v>
      </c>
      <c r="D469" t="s">
        <v>11</v>
      </c>
    </row>
    <row r="470" spans="1:4" x14ac:dyDescent="0.2">
      <c r="A470">
        <v>128184</v>
      </c>
      <c r="B470" t="s">
        <v>10</v>
      </c>
      <c r="C470" t="s">
        <v>24</v>
      </c>
      <c r="D470" t="s">
        <v>11</v>
      </c>
    </row>
    <row r="471" spans="1:4" x14ac:dyDescent="0.2">
      <c r="A471">
        <v>190312</v>
      </c>
      <c r="B471" t="s">
        <v>17</v>
      </c>
      <c r="C471" t="s">
        <v>20</v>
      </c>
      <c r="D471" t="s">
        <v>18</v>
      </c>
    </row>
    <row r="472" spans="1:4" x14ac:dyDescent="0.2">
      <c r="A472">
        <v>195839</v>
      </c>
      <c r="B472" t="s">
        <v>10</v>
      </c>
      <c r="C472" t="s">
        <v>24</v>
      </c>
      <c r="D472" t="s">
        <v>18</v>
      </c>
    </row>
    <row r="473" spans="1:4" x14ac:dyDescent="0.2">
      <c r="A473">
        <v>197080</v>
      </c>
      <c r="B473" t="s">
        <v>22</v>
      </c>
      <c r="C473" t="s">
        <v>14</v>
      </c>
      <c r="D473" t="s">
        <v>18</v>
      </c>
    </row>
    <row r="474" spans="1:4" x14ac:dyDescent="0.2">
      <c r="A474">
        <v>126882</v>
      </c>
      <c r="B474" t="s">
        <v>10</v>
      </c>
      <c r="C474" t="s">
        <v>14</v>
      </c>
      <c r="D474" t="s">
        <v>18</v>
      </c>
    </row>
    <row r="475" spans="1:4" x14ac:dyDescent="0.2">
      <c r="A475">
        <v>121683</v>
      </c>
      <c r="B475" t="s">
        <v>17</v>
      </c>
      <c r="C475" t="s">
        <v>14</v>
      </c>
      <c r="D475" t="s">
        <v>18</v>
      </c>
    </row>
    <row r="476" spans="1:4" x14ac:dyDescent="0.2">
      <c r="A476">
        <v>114466</v>
      </c>
      <c r="B476" t="s">
        <v>10</v>
      </c>
      <c r="C476" t="s">
        <v>14</v>
      </c>
      <c r="D476" t="s">
        <v>18</v>
      </c>
    </row>
    <row r="477" spans="1:4" x14ac:dyDescent="0.2">
      <c r="A477">
        <v>133423</v>
      </c>
      <c r="B477" t="s">
        <v>22</v>
      </c>
      <c r="C477" t="s">
        <v>24</v>
      </c>
      <c r="D477" t="s">
        <v>11</v>
      </c>
    </row>
    <row r="478" spans="1:4" x14ac:dyDescent="0.2">
      <c r="A478">
        <v>129345</v>
      </c>
      <c r="B478" t="s">
        <v>10</v>
      </c>
      <c r="C478" t="s">
        <v>20</v>
      </c>
      <c r="D478" t="s">
        <v>11</v>
      </c>
    </row>
    <row r="479" spans="1:4" x14ac:dyDescent="0.2">
      <c r="A479">
        <v>182298</v>
      </c>
      <c r="B479" t="s">
        <v>10</v>
      </c>
      <c r="C479" t="s">
        <v>14</v>
      </c>
      <c r="D479" t="s">
        <v>11</v>
      </c>
    </row>
    <row r="480" spans="1:4" x14ac:dyDescent="0.2">
      <c r="A480">
        <v>115099</v>
      </c>
      <c r="B480" t="s">
        <v>17</v>
      </c>
      <c r="C480" t="s">
        <v>24</v>
      </c>
      <c r="D480" t="s">
        <v>11</v>
      </c>
    </row>
    <row r="481" spans="1:4" x14ac:dyDescent="0.2">
      <c r="A481">
        <v>123677</v>
      </c>
      <c r="B481" t="s">
        <v>17</v>
      </c>
      <c r="C481" t="s">
        <v>14</v>
      </c>
      <c r="D481" t="s">
        <v>18</v>
      </c>
    </row>
    <row r="482" spans="1:4" x14ac:dyDescent="0.2">
      <c r="A482">
        <v>156228</v>
      </c>
      <c r="B482" t="s">
        <v>22</v>
      </c>
      <c r="C482" t="s">
        <v>24</v>
      </c>
      <c r="D482" t="s">
        <v>18</v>
      </c>
    </row>
    <row r="483" spans="1:4" x14ac:dyDescent="0.2">
      <c r="A483">
        <v>130446</v>
      </c>
      <c r="B483" t="s">
        <v>17</v>
      </c>
      <c r="C483" t="s">
        <v>24</v>
      </c>
      <c r="D483" t="s">
        <v>18</v>
      </c>
    </row>
    <row r="484" spans="1:4" x14ac:dyDescent="0.2">
      <c r="A484">
        <v>139743</v>
      </c>
      <c r="B484" t="s">
        <v>22</v>
      </c>
      <c r="C484" t="s">
        <v>24</v>
      </c>
      <c r="D484" t="s">
        <v>18</v>
      </c>
    </row>
    <row r="485" spans="1:4" x14ac:dyDescent="0.2">
      <c r="A485">
        <v>137462</v>
      </c>
      <c r="B485" t="s">
        <v>22</v>
      </c>
      <c r="C485" t="s">
        <v>20</v>
      </c>
      <c r="D485" t="s">
        <v>18</v>
      </c>
    </row>
    <row r="486" spans="1:4" x14ac:dyDescent="0.2">
      <c r="A486">
        <v>180388</v>
      </c>
      <c r="B486" t="s">
        <v>10</v>
      </c>
      <c r="C486" t="s">
        <v>24</v>
      </c>
      <c r="D486" t="s">
        <v>11</v>
      </c>
    </row>
    <row r="487" spans="1:4" x14ac:dyDescent="0.2">
      <c r="A487">
        <v>193975</v>
      </c>
      <c r="B487" t="s">
        <v>22</v>
      </c>
      <c r="C487" t="s">
        <v>14</v>
      </c>
      <c r="D487" t="s">
        <v>18</v>
      </c>
    </row>
    <row r="488" spans="1:4" x14ac:dyDescent="0.2">
      <c r="A488">
        <v>126497</v>
      </c>
      <c r="B488" t="s">
        <v>17</v>
      </c>
      <c r="C488" t="s">
        <v>20</v>
      </c>
      <c r="D488" t="s">
        <v>11</v>
      </c>
    </row>
    <row r="489" spans="1:4" x14ac:dyDescent="0.2">
      <c r="A489">
        <v>165072</v>
      </c>
      <c r="B489" t="s">
        <v>17</v>
      </c>
      <c r="C489" t="s">
        <v>24</v>
      </c>
      <c r="D489" t="s">
        <v>18</v>
      </c>
    </row>
    <row r="490" spans="1:4" x14ac:dyDescent="0.2">
      <c r="A490">
        <v>146446</v>
      </c>
      <c r="B490" t="s">
        <v>22</v>
      </c>
      <c r="C490" t="s">
        <v>20</v>
      </c>
      <c r="D490" t="s">
        <v>11</v>
      </c>
    </row>
    <row r="491" spans="1:4" x14ac:dyDescent="0.2">
      <c r="A491">
        <v>174450</v>
      </c>
      <c r="B491" t="s">
        <v>22</v>
      </c>
      <c r="C491" t="s">
        <v>20</v>
      </c>
      <c r="D491" t="s">
        <v>18</v>
      </c>
    </row>
    <row r="492" spans="1:4" x14ac:dyDescent="0.2">
      <c r="A492">
        <v>130931</v>
      </c>
      <c r="B492" t="s">
        <v>10</v>
      </c>
      <c r="C492" t="s">
        <v>20</v>
      </c>
      <c r="D492" t="s">
        <v>11</v>
      </c>
    </row>
    <row r="493" spans="1:4" x14ac:dyDescent="0.2">
      <c r="A493">
        <v>196440</v>
      </c>
      <c r="B493" t="s">
        <v>22</v>
      </c>
      <c r="C493" t="s">
        <v>14</v>
      </c>
      <c r="D493" t="s">
        <v>11</v>
      </c>
    </row>
    <row r="494" spans="1:4" x14ac:dyDescent="0.2">
      <c r="A494">
        <v>113511</v>
      </c>
      <c r="B494" t="s">
        <v>17</v>
      </c>
      <c r="C494" t="s">
        <v>14</v>
      </c>
      <c r="D494" t="s">
        <v>18</v>
      </c>
    </row>
    <row r="495" spans="1:4" x14ac:dyDescent="0.2">
      <c r="A495">
        <v>163155</v>
      </c>
      <c r="B495" t="s">
        <v>10</v>
      </c>
      <c r="C495" t="s">
        <v>20</v>
      </c>
      <c r="D495" t="s">
        <v>11</v>
      </c>
    </row>
    <row r="496" spans="1:4" x14ac:dyDescent="0.2">
      <c r="A496">
        <v>143152</v>
      </c>
      <c r="B496" t="s">
        <v>22</v>
      </c>
      <c r="C496" t="s">
        <v>20</v>
      </c>
      <c r="D496" t="s">
        <v>11</v>
      </c>
    </row>
    <row r="497" spans="1:4" x14ac:dyDescent="0.2">
      <c r="A497">
        <v>178198</v>
      </c>
      <c r="B497" t="s">
        <v>22</v>
      </c>
      <c r="C497" t="s">
        <v>24</v>
      </c>
      <c r="D497" t="s">
        <v>11</v>
      </c>
    </row>
    <row r="498" spans="1:4" x14ac:dyDescent="0.2">
      <c r="A498">
        <v>173253</v>
      </c>
      <c r="B498" t="s">
        <v>22</v>
      </c>
      <c r="C498" t="s">
        <v>20</v>
      </c>
      <c r="D498" t="s">
        <v>11</v>
      </c>
    </row>
    <row r="499" spans="1:4" x14ac:dyDescent="0.2">
      <c r="A499">
        <v>131726</v>
      </c>
      <c r="B499" t="s">
        <v>17</v>
      </c>
      <c r="C499" t="s">
        <v>14</v>
      </c>
      <c r="D499" t="s">
        <v>11</v>
      </c>
    </row>
    <row r="500" spans="1:4" x14ac:dyDescent="0.2">
      <c r="A500">
        <v>153970</v>
      </c>
      <c r="B500" t="s">
        <v>10</v>
      </c>
      <c r="C500" t="s">
        <v>24</v>
      </c>
      <c r="D500" t="s">
        <v>18</v>
      </c>
    </row>
    <row r="501" spans="1:4" x14ac:dyDescent="0.2">
      <c r="A501">
        <v>150686</v>
      </c>
      <c r="B501" t="s">
        <v>22</v>
      </c>
      <c r="C501" t="s">
        <v>24</v>
      </c>
      <c r="D501" t="s">
        <v>18</v>
      </c>
    </row>
    <row r="502" spans="1:4" x14ac:dyDescent="0.2">
      <c r="A502">
        <v>175349</v>
      </c>
      <c r="B502" t="s">
        <v>17</v>
      </c>
      <c r="C502" t="s">
        <v>20</v>
      </c>
      <c r="D502" t="s">
        <v>11</v>
      </c>
    </row>
    <row r="503" spans="1:4" x14ac:dyDescent="0.2">
      <c r="A503">
        <v>127292</v>
      </c>
      <c r="B503" t="s">
        <v>10</v>
      </c>
      <c r="C503" t="s">
        <v>20</v>
      </c>
      <c r="D503" t="s">
        <v>11</v>
      </c>
    </row>
    <row r="504" spans="1:4" x14ac:dyDescent="0.2">
      <c r="A504">
        <v>152568</v>
      </c>
      <c r="B504" t="s">
        <v>10</v>
      </c>
      <c r="C504" t="s">
        <v>14</v>
      </c>
      <c r="D504" t="s">
        <v>18</v>
      </c>
    </row>
    <row r="505" spans="1:4" x14ac:dyDescent="0.2">
      <c r="A505">
        <v>135414</v>
      </c>
      <c r="B505" t="s">
        <v>17</v>
      </c>
      <c r="C505" t="s">
        <v>20</v>
      </c>
      <c r="D505" t="s">
        <v>18</v>
      </c>
    </row>
    <row r="506" spans="1:4" x14ac:dyDescent="0.2">
      <c r="A506">
        <v>110319</v>
      </c>
      <c r="B506" t="s">
        <v>22</v>
      </c>
      <c r="C506" t="s">
        <v>24</v>
      </c>
      <c r="D506" t="s">
        <v>11</v>
      </c>
    </row>
    <row r="507" spans="1:4" x14ac:dyDescent="0.2">
      <c r="A507">
        <v>174321</v>
      </c>
      <c r="B507" t="s">
        <v>17</v>
      </c>
      <c r="C507" t="s">
        <v>20</v>
      </c>
      <c r="D507" t="s">
        <v>11</v>
      </c>
    </row>
    <row r="508" spans="1:4" x14ac:dyDescent="0.2">
      <c r="A508">
        <v>143069</v>
      </c>
      <c r="B508" t="s">
        <v>17</v>
      </c>
      <c r="C508" t="s">
        <v>20</v>
      </c>
      <c r="D508" t="s">
        <v>18</v>
      </c>
    </row>
    <row r="509" spans="1:4" x14ac:dyDescent="0.2">
      <c r="A509">
        <v>155092</v>
      </c>
      <c r="B509" t="s">
        <v>17</v>
      </c>
      <c r="C509" t="s">
        <v>14</v>
      </c>
      <c r="D509" t="s">
        <v>18</v>
      </c>
    </row>
    <row r="510" spans="1:4" x14ac:dyDescent="0.2">
      <c r="A510">
        <v>114253</v>
      </c>
      <c r="B510" t="s">
        <v>22</v>
      </c>
      <c r="C510" t="s">
        <v>20</v>
      </c>
      <c r="D510" t="s">
        <v>11</v>
      </c>
    </row>
    <row r="511" spans="1:4" x14ac:dyDescent="0.2">
      <c r="A511">
        <v>177321</v>
      </c>
      <c r="B511" t="s">
        <v>17</v>
      </c>
      <c r="C511" t="s">
        <v>14</v>
      </c>
      <c r="D511" t="s">
        <v>18</v>
      </c>
    </row>
    <row r="512" spans="1:4" x14ac:dyDescent="0.2">
      <c r="A512">
        <v>130550</v>
      </c>
      <c r="B512" t="s">
        <v>10</v>
      </c>
      <c r="C512" t="s">
        <v>24</v>
      </c>
      <c r="D512" t="s">
        <v>11</v>
      </c>
    </row>
    <row r="513" spans="1:4" x14ac:dyDescent="0.2">
      <c r="A513">
        <v>152773</v>
      </c>
      <c r="B513" t="s">
        <v>22</v>
      </c>
      <c r="C513" t="s">
        <v>14</v>
      </c>
      <c r="D513" t="s">
        <v>18</v>
      </c>
    </row>
    <row r="514" spans="1:4" x14ac:dyDescent="0.2">
      <c r="A514">
        <v>175790</v>
      </c>
      <c r="B514" t="s">
        <v>10</v>
      </c>
      <c r="C514" t="s">
        <v>24</v>
      </c>
      <c r="D514" t="s">
        <v>18</v>
      </c>
    </row>
    <row r="515" spans="1:4" x14ac:dyDescent="0.2">
      <c r="A515">
        <v>126957</v>
      </c>
      <c r="B515" t="s">
        <v>22</v>
      </c>
      <c r="C515" t="s">
        <v>14</v>
      </c>
      <c r="D515" t="s">
        <v>18</v>
      </c>
    </row>
    <row r="516" spans="1:4" x14ac:dyDescent="0.2">
      <c r="A516">
        <v>178874</v>
      </c>
      <c r="B516" t="s">
        <v>10</v>
      </c>
      <c r="C516" t="s">
        <v>14</v>
      </c>
      <c r="D516" t="s">
        <v>18</v>
      </c>
    </row>
    <row r="517" spans="1:4" x14ac:dyDescent="0.2">
      <c r="A517">
        <v>195207</v>
      </c>
      <c r="B517" t="s">
        <v>22</v>
      </c>
      <c r="C517" t="s">
        <v>20</v>
      </c>
      <c r="D517" t="s">
        <v>11</v>
      </c>
    </row>
    <row r="518" spans="1:4" x14ac:dyDescent="0.2">
      <c r="A518">
        <v>157384</v>
      </c>
      <c r="B518" t="s">
        <v>17</v>
      </c>
      <c r="C518" t="s">
        <v>14</v>
      </c>
      <c r="D518" t="s">
        <v>11</v>
      </c>
    </row>
    <row r="519" spans="1:4" x14ac:dyDescent="0.2">
      <c r="A519">
        <v>110980</v>
      </c>
      <c r="B519" t="s">
        <v>10</v>
      </c>
      <c r="C519" t="s">
        <v>20</v>
      </c>
      <c r="D519" t="s">
        <v>18</v>
      </c>
    </row>
    <row r="520" spans="1:4" x14ac:dyDescent="0.2">
      <c r="A520">
        <v>144539</v>
      </c>
      <c r="B520" t="s">
        <v>22</v>
      </c>
      <c r="C520" t="s">
        <v>24</v>
      </c>
      <c r="D520" t="s">
        <v>18</v>
      </c>
    </row>
    <row r="521" spans="1:4" x14ac:dyDescent="0.2">
      <c r="A521">
        <v>156638</v>
      </c>
      <c r="B521" t="s">
        <v>22</v>
      </c>
      <c r="C521" t="s">
        <v>24</v>
      </c>
      <c r="D521" t="s">
        <v>18</v>
      </c>
    </row>
    <row r="522" spans="1:4" x14ac:dyDescent="0.2">
      <c r="A522">
        <v>135717</v>
      </c>
      <c r="B522" t="s">
        <v>10</v>
      </c>
      <c r="C522" t="s">
        <v>14</v>
      </c>
      <c r="D522" t="s">
        <v>11</v>
      </c>
    </row>
    <row r="523" spans="1:4" x14ac:dyDescent="0.2">
      <c r="A523">
        <v>152395</v>
      </c>
      <c r="B523" t="s">
        <v>17</v>
      </c>
      <c r="C523" t="s">
        <v>20</v>
      </c>
      <c r="D523" t="s">
        <v>11</v>
      </c>
    </row>
    <row r="524" spans="1:4" x14ac:dyDescent="0.2">
      <c r="A524">
        <v>160346</v>
      </c>
      <c r="B524" t="s">
        <v>10</v>
      </c>
      <c r="C524" t="s">
        <v>20</v>
      </c>
      <c r="D524" t="s">
        <v>18</v>
      </c>
    </row>
    <row r="525" spans="1:4" x14ac:dyDescent="0.2">
      <c r="A525">
        <v>142963</v>
      </c>
      <c r="B525" t="s">
        <v>17</v>
      </c>
      <c r="C525" t="s">
        <v>14</v>
      </c>
      <c r="D525" t="s">
        <v>18</v>
      </c>
    </row>
    <row r="526" spans="1:4" x14ac:dyDescent="0.2">
      <c r="A526">
        <v>155793</v>
      </c>
      <c r="B526" t="s">
        <v>17</v>
      </c>
      <c r="C526" t="s">
        <v>20</v>
      </c>
      <c r="D526" t="s">
        <v>18</v>
      </c>
    </row>
    <row r="527" spans="1:4" x14ac:dyDescent="0.2">
      <c r="A527">
        <v>124413</v>
      </c>
      <c r="B527" t="s">
        <v>22</v>
      </c>
      <c r="C527" t="s">
        <v>24</v>
      </c>
      <c r="D527" t="s">
        <v>18</v>
      </c>
    </row>
    <row r="528" spans="1:4" x14ac:dyDescent="0.2">
      <c r="A528">
        <v>160541</v>
      </c>
      <c r="B528" t="s">
        <v>17</v>
      </c>
      <c r="C528" t="s">
        <v>20</v>
      </c>
      <c r="D528" t="s">
        <v>11</v>
      </c>
    </row>
    <row r="529" spans="1:4" x14ac:dyDescent="0.2">
      <c r="A529">
        <v>114964</v>
      </c>
      <c r="B529" t="s">
        <v>22</v>
      </c>
      <c r="C529" t="s">
        <v>20</v>
      </c>
      <c r="D529" t="s">
        <v>11</v>
      </c>
    </row>
    <row r="530" spans="1:4" x14ac:dyDescent="0.2">
      <c r="A530">
        <v>199673</v>
      </c>
      <c r="B530" t="s">
        <v>17</v>
      </c>
      <c r="C530" t="s">
        <v>24</v>
      </c>
      <c r="D530" t="s">
        <v>18</v>
      </c>
    </row>
    <row r="531" spans="1:4" x14ac:dyDescent="0.2">
      <c r="A531">
        <v>141355</v>
      </c>
      <c r="B531" t="s">
        <v>17</v>
      </c>
      <c r="C531" t="s">
        <v>14</v>
      </c>
      <c r="D531" t="s">
        <v>11</v>
      </c>
    </row>
    <row r="532" spans="1:4" x14ac:dyDescent="0.2">
      <c r="A532">
        <v>144362</v>
      </c>
      <c r="B532" t="s">
        <v>10</v>
      </c>
      <c r="C532" t="s">
        <v>14</v>
      </c>
      <c r="D532" t="s">
        <v>18</v>
      </c>
    </row>
    <row r="533" spans="1:4" x14ac:dyDescent="0.2">
      <c r="A533">
        <v>144721</v>
      </c>
      <c r="B533" t="s">
        <v>22</v>
      </c>
      <c r="C533" t="s">
        <v>20</v>
      </c>
      <c r="D533" t="s">
        <v>11</v>
      </c>
    </row>
    <row r="534" spans="1:4" x14ac:dyDescent="0.2">
      <c r="A534">
        <v>139337</v>
      </c>
      <c r="B534" t="s">
        <v>17</v>
      </c>
      <c r="C534" t="s">
        <v>14</v>
      </c>
      <c r="D534" t="s">
        <v>11</v>
      </c>
    </row>
    <row r="535" spans="1:4" x14ac:dyDescent="0.2">
      <c r="A535">
        <v>167218</v>
      </c>
      <c r="B535" t="s">
        <v>17</v>
      </c>
      <c r="C535" t="s">
        <v>14</v>
      </c>
      <c r="D535" t="s">
        <v>11</v>
      </c>
    </row>
    <row r="536" spans="1:4" x14ac:dyDescent="0.2">
      <c r="A536">
        <v>119583</v>
      </c>
      <c r="B536" t="s">
        <v>22</v>
      </c>
      <c r="C536" t="s">
        <v>20</v>
      </c>
      <c r="D536" t="s">
        <v>18</v>
      </c>
    </row>
    <row r="537" spans="1:4" x14ac:dyDescent="0.2">
      <c r="A537">
        <v>195223</v>
      </c>
      <c r="B537" t="s">
        <v>22</v>
      </c>
      <c r="C537" t="s">
        <v>14</v>
      </c>
      <c r="D537" t="s">
        <v>18</v>
      </c>
    </row>
    <row r="538" spans="1:4" x14ac:dyDescent="0.2">
      <c r="A538">
        <v>175927</v>
      </c>
      <c r="B538" t="s">
        <v>17</v>
      </c>
      <c r="C538" t="s">
        <v>14</v>
      </c>
      <c r="D538" t="s">
        <v>11</v>
      </c>
    </row>
    <row r="539" spans="1:4" x14ac:dyDescent="0.2">
      <c r="A539">
        <v>130120</v>
      </c>
      <c r="B539" t="s">
        <v>17</v>
      </c>
      <c r="C539" t="s">
        <v>20</v>
      </c>
      <c r="D539" t="s">
        <v>11</v>
      </c>
    </row>
    <row r="540" spans="1:4" x14ac:dyDescent="0.2">
      <c r="A540">
        <v>141261</v>
      </c>
      <c r="B540" t="s">
        <v>22</v>
      </c>
      <c r="C540" t="s">
        <v>14</v>
      </c>
      <c r="D540" t="s">
        <v>11</v>
      </c>
    </row>
    <row r="541" spans="1:4" x14ac:dyDescent="0.2">
      <c r="A541">
        <v>186584</v>
      </c>
      <c r="B541" t="s">
        <v>10</v>
      </c>
      <c r="C541" t="s">
        <v>20</v>
      </c>
      <c r="D541" t="s">
        <v>11</v>
      </c>
    </row>
    <row r="542" spans="1:4" x14ac:dyDescent="0.2">
      <c r="A542">
        <v>120793</v>
      </c>
      <c r="B542" t="s">
        <v>22</v>
      </c>
      <c r="C542" t="s">
        <v>20</v>
      </c>
      <c r="D542" t="s">
        <v>18</v>
      </c>
    </row>
    <row r="543" spans="1:4" x14ac:dyDescent="0.2">
      <c r="A543">
        <v>155385</v>
      </c>
      <c r="B543" t="s">
        <v>17</v>
      </c>
      <c r="C543" t="s">
        <v>20</v>
      </c>
      <c r="D543" t="s">
        <v>11</v>
      </c>
    </row>
    <row r="544" spans="1:4" x14ac:dyDescent="0.2">
      <c r="A544">
        <v>151124</v>
      </c>
      <c r="B544" t="s">
        <v>17</v>
      </c>
      <c r="C544" t="s">
        <v>14</v>
      </c>
      <c r="D544" t="s">
        <v>11</v>
      </c>
    </row>
    <row r="545" spans="1:4" x14ac:dyDescent="0.2">
      <c r="A545">
        <v>179168</v>
      </c>
      <c r="B545" t="s">
        <v>22</v>
      </c>
      <c r="C545" t="s">
        <v>20</v>
      </c>
      <c r="D545" t="s">
        <v>18</v>
      </c>
    </row>
    <row r="546" spans="1:4" x14ac:dyDescent="0.2">
      <c r="A546">
        <v>162419</v>
      </c>
      <c r="B546" t="s">
        <v>10</v>
      </c>
      <c r="C546" t="s">
        <v>20</v>
      </c>
      <c r="D546" t="s">
        <v>18</v>
      </c>
    </row>
    <row r="547" spans="1:4" x14ac:dyDescent="0.2">
      <c r="A547">
        <v>113067</v>
      </c>
      <c r="B547" t="s">
        <v>22</v>
      </c>
      <c r="C547" t="s">
        <v>14</v>
      </c>
      <c r="D547" t="s">
        <v>11</v>
      </c>
    </row>
    <row r="548" spans="1:4" x14ac:dyDescent="0.2">
      <c r="A548">
        <v>178104</v>
      </c>
      <c r="B548" t="s">
        <v>10</v>
      </c>
      <c r="C548" t="s">
        <v>20</v>
      </c>
      <c r="D548" t="s">
        <v>18</v>
      </c>
    </row>
    <row r="549" spans="1:4" x14ac:dyDescent="0.2">
      <c r="A549">
        <v>138903</v>
      </c>
      <c r="B549" t="s">
        <v>10</v>
      </c>
      <c r="C549" t="s">
        <v>14</v>
      </c>
      <c r="D549" t="s">
        <v>11</v>
      </c>
    </row>
    <row r="550" spans="1:4" x14ac:dyDescent="0.2">
      <c r="A550">
        <v>116993</v>
      </c>
      <c r="B550" t="s">
        <v>22</v>
      </c>
      <c r="C550" t="s">
        <v>14</v>
      </c>
      <c r="D550" t="s">
        <v>11</v>
      </c>
    </row>
    <row r="551" spans="1:4" x14ac:dyDescent="0.2">
      <c r="A551">
        <v>111935</v>
      </c>
      <c r="B551" t="s">
        <v>10</v>
      </c>
      <c r="C551" t="s">
        <v>14</v>
      </c>
      <c r="D551" t="s">
        <v>11</v>
      </c>
    </row>
    <row r="552" spans="1:4" x14ac:dyDescent="0.2">
      <c r="A552">
        <v>115210</v>
      </c>
      <c r="B552" t="s">
        <v>22</v>
      </c>
      <c r="C552" t="s">
        <v>20</v>
      </c>
      <c r="D552" t="s">
        <v>18</v>
      </c>
    </row>
    <row r="553" spans="1:4" x14ac:dyDescent="0.2">
      <c r="A553">
        <v>173296</v>
      </c>
      <c r="B553" t="s">
        <v>17</v>
      </c>
      <c r="C553" t="s">
        <v>14</v>
      </c>
      <c r="D553" t="s">
        <v>18</v>
      </c>
    </row>
    <row r="554" spans="1:4" x14ac:dyDescent="0.2">
      <c r="A554">
        <v>110709</v>
      </c>
      <c r="B554" t="s">
        <v>10</v>
      </c>
      <c r="C554" t="s">
        <v>24</v>
      </c>
      <c r="D554" t="s">
        <v>18</v>
      </c>
    </row>
    <row r="555" spans="1:4" x14ac:dyDescent="0.2">
      <c r="A555">
        <v>134034</v>
      </c>
      <c r="B555" t="s">
        <v>22</v>
      </c>
      <c r="C555" t="s">
        <v>14</v>
      </c>
      <c r="D555" t="s">
        <v>18</v>
      </c>
    </row>
    <row r="556" spans="1:4" x14ac:dyDescent="0.2">
      <c r="A556">
        <v>165430</v>
      </c>
      <c r="B556" t="s">
        <v>10</v>
      </c>
      <c r="C556" t="s">
        <v>24</v>
      </c>
      <c r="D556" t="s">
        <v>11</v>
      </c>
    </row>
    <row r="557" spans="1:4" x14ac:dyDescent="0.2">
      <c r="A557">
        <v>192396</v>
      </c>
      <c r="B557" t="s">
        <v>22</v>
      </c>
      <c r="C557" t="s">
        <v>24</v>
      </c>
      <c r="D557" t="s">
        <v>18</v>
      </c>
    </row>
    <row r="558" spans="1:4" x14ac:dyDescent="0.2">
      <c r="A558">
        <v>115581</v>
      </c>
      <c r="B558" t="s">
        <v>10</v>
      </c>
      <c r="C558" t="s">
        <v>20</v>
      </c>
      <c r="D558" t="s">
        <v>18</v>
      </c>
    </row>
    <row r="559" spans="1:4" x14ac:dyDescent="0.2">
      <c r="A559">
        <v>149662</v>
      </c>
      <c r="B559" t="s">
        <v>17</v>
      </c>
      <c r="C559" t="s">
        <v>20</v>
      </c>
      <c r="D559" t="s">
        <v>11</v>
      </c>
    </row>
    <row r="560" spans="1:4" x14ac:dyDescent="0.2">
      <c r="A560">
        <v>169368</v>
      </c>
      <c r="B560" t="s">
        <v>22</v>
      </c>
      <c r="C560" t="s">
        <v>24</v>
      </c>
      <c r="D560" t="s">
        <v>11</v>
      </c>
    </row>
    <row r="561" spans="1:4" x14ac:dyDescent="0.2">
      <c r="A561">
        <v>173174</v>
      </c>
      <c r="B561" t="s">
        <v>17</v>
      </c>
      <c r="C561" t="s">
        <v>14</v>
      </c>
      <c r="D561" t="s">
        <v>11</v>
      </c>
    </row>
    <row r="562" spans="1:4" x14ac:dyDescent="0.2">
      <c r="A562">
        <v>153411</v>
      </c>
      <c r="B562" t="s">
        <v>22</v>
      </c>
      <c r="C562" t="s">
        <v>14</v>
      </c>
      <c r="D562" t="s">
        <v>18</v>
      </c>
    </row>
    <row r="563" spans="1:4" x14ac:dyDescent="0.2">
      <c r="A563">
        <v>135465</v>
      </c>
      <c r="B563" t="s">
        <v>10</v>
      </c>
      <c r="C563" t="s">
        <v>24</v>
      </c>
      <c r="D563" t="s">
        <v>11</v>
      </c>
    </row>
    <row r="564" spans="1:4" x14ac:dyDescent="0.2">
      <c r="A564">
        <v>151005</v>
      </c>
      <c r="B564" t="s">
        <v>17</v>
      </c>
      <c r="C564" t="s">
        <v>24</v>
      </c>
      <c r="D564" t="s">
        <v>11</v>
      </c>
    </row>
    <row r="565" spans="1:4" x14ac:dyDescent="0.2">
      <c r="A565">
        <v>172517</v>
      </c>
      <c r="B565" t="s">
        <v>10</v>
      </c>
      <c r="C565" t="s">
        <v>20</v>
      </c>
      <c r="D565" t="s">
        <v>18</v>
      </c>
    </row>
    <row r="566" spans="1:4" x14ac:dyDescent="0.2">
      <c r="A566">
        <v>113368</v>
      </c>
      <c r="B566" t="s">
        <v>17</v>
      </c>
      <c r="C566" t="s">
        <v>14</v>
      </c>
      <c r="D566" t="s">
        <v>18</v>
      </c>
    </row>
    <row r="567" spans="1:4" x14ac:dyDescent="0.2">
      <c r="A567">
        <v>112801</v>
      </c>
      <c r="B567" t="s">
        <v>22</v>
      </c>
      <c r="C567" t="s">
        <v>24</v>
      </c>
      <c r="D567" t="s">
        <v>18</v>
      </c>
    </row>
    <row r="568" spans="1:4" x14ac:dyDescent="0.2">
      <c r="A568">
        <v>163286</v>
      </c>
      <c r="B568" t="s">
        <v>10</v>
      </c>
      <c r="C568" t="s">
        <v>24</v>
      </c>
      <c r="D568" t="s">
        <v>11</v>
      </c>
    </row>
    <row r="569" spans="1:4" x14ac:dyDescent="0.2">
      <c r="A569">
        <v>175963</v>
      </c>
      <c r="B569" t="s">
        <v>17</v>
      </c>
      <c r="C569" t="s">
        <v>14</v>
      </c>
      <c r="D569" t="s">
        <v>18</v>
      </c>
    </row>
    <row r="570" spans="1:4" x14ac:dyDescent="0.2">
      <c r="A570">
        <v>119258</v>
      </c>
      <c r="B570" t="s">
        <v>17</v>
      </c>
      <c r="C570" t="s">
        <v>14</v>
      </c>
      <c r="D570" t="s">
        <v>11</v>
      </c>
    </row>
    <row r="571" spans="1:4" x14ac:dyDescent="0.2">
      <c r="A571">
        <v>131817</v>
      </c>
      <c r="B571" t="s">
        <v>17</v>
      </c>
      <c r="C571" t="s">
        <v>20</v>
      </c>
      <c r="D571" t="s">
        <v>18</v>
      </c>
    </row>
    <row r="572" spans="1:4" x14ac:dyDescent="0.2">
      <c r="A572">
        <v>193731</v>
      </c>
      <c r="B572" t="s">
        <v>10</v>
      </c>
      <c r="C572" t="s">
        <v>14</v>
      </c>
      <c r="D572" t="s">
        <v>11</v>
      </c>
    </row>
    <row r="573" spans="1:4" x14ac:dyDescent="0.2">
      <c r="A573">
        <v>175087</v>
      </c>
      <c r="B573" t="s">
        <v>17</v>
      </c>
      <c r="C573" t="s">
        <v>24</v>
      </c>
      <c r="D573" t="s">
        <v>11</v>
      </c>
    </row>
    <row r="574" spans="1:4" x14ac:dyDescent="0.2">
      <c r="A574">
        <v>129041</v>
      </c>
      <c r="B574" t="s">
        <v>17</v>
      </c>
      <c r="C574" t="s">
        <v>24</v>
      </c>
      <c r="D574" t="s">
        <v>11</v>
      </c>
    </row>
    <row r="575" spans="1:4" x14ac:dyDescent="0.2">
      <c r="A575">
        <v>194723</v>
      </c>
      <c r="B575" t="s">
        <v>17</v>
      </c>
      <c r="C575" t="s">
        <v>14</v>
      </c>
      <c r="D575" t="s">
        <v>18</v>
      </c>
    </row>
    <row r="576" spans="1:4" x14ac:dyDescent="0.2">
      <c r="A576">
        <v>178350</v>
      </c>
      <c r="B576" t="s">
        <v>17</v>
      </c>
      <c r="C576" t="s">
        <v>24</v>
      </c>
      <c r="D576" t="s">
        <v>18</v>
      </c>
    </row>
    <row r="577" spans="1:4" x14ac:dyDescent="0.2">
      <c r="A577">
        <v>137798</v>
      </c>
      <c r="B577" t="s">
        <v>22</v>
      </c>
      <c r="C577" t="s">
        <v>14</v>
      </c>
      <c r="D577" t="s">
        <v>11</v>
      </c>
    </row>
    <row r="578" spans="1:4" x14ac:dyDescent="0.2">
      <c r="A578">
        <v>158893</v>
      </c>
      <c r="B578" t="s">
        <v>22</v>
      </c>
      <c r="C578" t="s">
        <v>14</v>
      </c>
      <c r="D578" t="s">
        <v>18</v>
      </c>
    </row>
    <row r="579" spans="1:4" x14ac:dyDescent="0.2">
      <c r="A579">
        <v>149201</v>
      </c>
      <c r="B579" t="s">
        <v>10</v>
      </c>
      <c r="C579" t="s">
        <v>20</v>
      </c>
      <c r="D579" t="s">
        <v>18</v>
      </c>
    </row>
    <row r="580" spans="1:4" x14ac:dyDescent="0.2">
      <c r="A580">
        <v>169631</v>
      </c>
      <c r="B580" t="s">
        <v>10</v>
      </c>
      <c r="C580" t="s">
        <v>20</v>
      </c>
      <c r="D580" t="s">
        <v>11</v>
      </c>
    </row>
    <row r="581" spans="1:4" x14ac:dyDescent="0.2">
      <c r="A581">
        <v>168106</v>
      </c>
      <c r="B581" t="s">
        <v>22</v>
      </c>
      <c r="C581" t="s">
        <v>24</v>
      </c>
      <c r="D581" t="s">
        <v>11</v>
      </c>
    </row>
    <row r="582" spans="1:4" x14ac:dyDescent="0.2">
      <c r="A582">
        <v>177650</v>
      </c>
      <c r="B582" t="s">
        <v>10</v>
      </c>
      <c r="C582" t="s">
        <v>20</v>
      </c>
      <c r="D582" t="s">
        <v>11</v>
      </c>
    </row>
    <row r="583" spans="1:4" x14ac:dyDescent="0.2">
      <c r="A583">
        <v>154029</v>
      </c>
      <c r="B583" t="s">
        <v>17</v>
      </c>
      <c r="C583" t="s">
        <v>24</v>
      </c>
      <c r="D583" t="s">
        <v>18</v>
      </c>
    </row>
    <row r="584" spans="1:4" x14ac:dyDescent="0.2">
      <c r="A584">
        <v>130738</v>
      </c>
      <c r="B584" t="s">
        <v>22</v>
      </c>
      <c r="C584" t="s">
        <v>14</v>
      </c>
      <c r="D584" t="s">
        <v>11</v>
      </c>
    </row>
    <row r="585" spans="1:4" x14ac:dyDescent="0.2">
      <c r="A585">
        <v>140879</v>
      </c>
      <c r="B585" t="s">
        <v>10</v>
      </c>
      <c r="C585" t="s">
        <v>24</v>
      </c>
      <c r="D585" t="s">
        <v>11</v>
      </c>
    </row>
    <row r="586" spans="1:4" x14ac:dyDescent="0.2">
      <c r="A586">
        <v>151900</v>
      </c>
      <c r="B586" t="s">
        <v>10</v>
      </c>
      <c r="C586" t="s">
        <v>24</v>
      </c>
      <c r="D586" t="s">
        <v>18</v>
      </c>
    </row>
    <row r="587" spans="1:4" x14ac:dyDescent="0.2">
      <c r="A587">
        <v>187604</v>
      </c>
      <c r="B587" t="s">
        <v>17</v>
      </c>
      <c r="C587" t="s">
        <v>24</v>
      </c>
      <c r="D587" t="s">
        <v>18</v>
      </c>
    </row>
    <row r="588" spans="1:4" x14ac:dyDescent="0.2">
      <c r="A588">
        <v>174627</v>
      </c>
      <c r="B588" t="s">
        <v>22</v>
      </c>
      <c r="C588" t="s">
        <v>14</v>
      </c>
      <c r="D588" t="s">
        <v>11</v>
      </c>
    </row>
    <row r="589" spans="1:4" x14ac:dyDescent="0.2">
      <c r="A589">
        <v>133654</v>
      </c>
      <c r="B589" t="s">
        <v>17</v>
      </c>
      <c r="C589" t="s">
        <v>14</v>
      </c>
      <c r="D589" t="s">
        <v>11</v>
      </c>
    </row>
    <row r="590" spans="1:4" x14ac:dyDescent="0.2">
      <c r="A590">
        <v>180951</v>
      </c>
      <c r="B590" t="s">
        <v>22</v>
      </c>
      <c r="C590" t="s">
        <v>14</v>
      </c>
      <c r="D590" t="s">
        <v>18</v>
      </c>
    </row>
    <row r="591" spans="1:4" x14ac:dyDescent="0.2">
      <c r="A591">
        <v>110578</v>
      </c>
      <c r="B591" t="s">
        <v>17</v>
      </c>
      <c r="C591" t="s">
        <v>24</v>
      </c>
      <c r="D591" t="s">
        <v>11</v>
      </c>
    </row>
    <row r="592" spans="1:4" x14ac:dyDescent="0.2">
      <c r="A592">
        <v>192711</v>
      </c>
      <c r="B592" t="s">
        <v>10</v>
      </c>
      <c r="C592" t="s">
        <v>20</v>
      </c>
      <c r="D592" t="s">
        <v>18</v>
      </c>
    </row>
    <row r="593" spans="1:4" x14ac:dyDescent="0.2">
      <c r="A593">
        <v>154096</v>
      </c>
      <c r="B593" t="s">
        <v>10</v>
      </c>
      <c r="C593" t="s">
        <v>24</v>
      </c>
      <c r="D593" t="s">
        <v>11</v>
      </c>
    </row>
    <row r="594" spans="1:4" x14ac:dyDescent="0.2">
      <c r="A594">
        <v>124265</v>
      </c>
      <c r="B594" t="s">
        <v>17</v>
      </c>
      <c r="C594" t="s">
        <v>14</v>
      </c>
      <c r="D594" t="s">
        <v>11</v>
      </c>
    </row>
    <row r="595" spans="1:4" x14ac:dyDescent="0.2">
      <c r="A595">
        <v>120576</v>
      </c>
      <c r="B595" t="s">
        <v>17</v>
      </c>
      <c r="C595" t="s">
        <v>24</v>
      </c>
      <c r="D595" t="s">
        <v>18</v>
      </c>
    </row>
    <row r="596" spans="1:4" x14ac:dyDescent="0.2">
      <c r="A596">
        <v>166314</v>
      </c>
      <c r="B596" t="s">
        <v>17</v>
      </c>
      <c r="C596" t="s">
        <v>24</v>
      </c>
      <c r="D596" t="s">
        <v>18</v>
      </c>
    </row>
    <row r="597" spans="1:4" x14ac:dyDescent="0.2">
      <c r="A597">
        <v>138145</v>
      </c>
      <c r="B597" t="s">
        <v>22</v>
      </c>
      <c r="C597" t="s">
        <v>14</v>
      </c>
      <c r="D597" t="s">
        <v>11</v>
      </c>
    </row>
    <row r="598" spans="1:4" x14ac:dyDescent="0.2">
      <c r="A598">
        <v>192789</v>
      </c>
      <c r="B598" t="s">
        <v>17</v>
      </c>
      <c r="C598" t="s">
        <v>14</v>
      </c>
      <c r="D598" t="s">
        <v>11</v>
      </c>
    </row>
    <row r="599" spans="1:4" x14ac:dyDescent="0.2">
      <c r="A599">
        <v>150907</v>
      </c>
      <c r="B599" t="s">
        <v>22</v>
      </c>
      <c r="C599" t="s">
        <v>20</v>
      </c>
      <c r="D599" t="s">
        <v>11</v>
      </c>
    </row>
    <row r="600" spans="1:4" x14ac:dyDescent="0.2">
      <c r="A600">
        <v>182011</v>
      </c>
      <c r="B600" t="s">
        <v>17</v>
      </c>
      <c r="C600" t="s">
        <v>14</v>
      </c>
      <c r="D600" t="s">
        <v>11</v>
      </c>
    </row>
    <row r="601" spans="1:4" x14ac:dyDescent="0.2">
      <c r="A601">
        <v>167179</v>
      </c>
      <c r="B601" t="s">
        <v>22</v>
      </c>
      <c r="C601" t="s">
        <v>14</v>
      </c>
      <c r="D601" t="s">
        <v>11</v>
      </c>
    </row>
    <row r="602" spans="1:4" x14ac:dyDescent="0.2">
      <c r="A602">
        <v>116390</v>
      </c>
      <c r="B602" t="s">
        <v>17</v>
      </c>
      <c r="C602" t="s">
        <v>20</v>
      </c>
      <c r="D602" t="s">
        <v>18</v>
      </c>
    </row>
    <row r="603" spans="1:4" x14ac:dyDescent="0.2">
      <c r="A603">
        <v>119757</v>
      </c>
      <c r="B603" t="s">
        <v>17</v>
      </c>
      <c r="C603" t="s">
        <v>14</v>
      </c>
      <c r="D603" t="s">
        <v>11</v>
      </c>
    </row>
    <row r="604" spans="1:4" x14ac:dyDescent="0.2">
      <c r="A604">
        <v>139269</v>
      </c>
      <c r="B604" t="s">
        <v>10</v>
      </c>
      <c r="C604" t="s">
        <v>20</v>
      </c>
      <c r="D604" t="s">
        <v>18</v>
      </c>
    </row>
    <row r="605" spans="1:4" x14ac:dyDescent="0.2">
      <c r="A605">
        <v>135624</v>
      </c>
      <c r="B605" t="s">
        <v>22</v>
      </c>
      <c r="C605" t="s">
        <v>24</v>
      </c>
      <c r="D605" t="s">
        <v>11</v>
      </c>
    </row>
    <row r="606" spans="1:4" x14ac:dyDescent="0.2">
      <c r="A606">
        <v>171860</v>
      </c>
      <c r="B606" t="s">
        <v>10</v>
      </c>
      <c r="C606" t="s">
        <v>14</v>
      </c>
      <c r="D606" t="s">
        <v>11</v>
      </c>
    </row>
    <row r="607" spans="1:4" x14ac:dyDescent="0.2">
      <c r="A607">
        <v>185187</v>
      </c>
      <c r="B607" t="s">
        <v>22</v>
      </c>
      <c r="C607" t="s">
        <v>14</v>
      </c>
      <c r="D607" t="s">
        <v>11</v>
      </c>
    </row>
    <row r="608" spans="1:4" x14ac:dyDescent="0.2">
      <c r="A608">
        <v>163977</v>
      </c>
      <c r="B608" t="s">
        <v>17</v>
      </c>
      <c r="C608" t="s">
        <v>24</v>
      </c>
      <c r="D608" t="s">
        <v>11</v>
      </c>
    </row>
    <row r="609" spans="1:4" x14ac:dyDescent="0.2">
      <c r="A609">
        <v>128784</v>
      </c>
      <c r="B609" t="s">
        <v>10</v>
      </c>
      <c r="C609" t="s">
        <v>20</v>
      </c>
      <c r="D609" t="s">
        <v>11</v>
      </c>
    </row>
    <row r="610" spans="1:4" x14ac:dyDescent="0.2">
      <c r="A610">
        <v>161283</v>
      </c>
      <c r="B610" t="s">
        <v>17</v>
      </c>
      <c r="C610" t="s">
        <v>20</v>
      </c>
      <c r="D610" t="s">
        <v>18</v>
      </c>
    </row>
    <row r="611" spans="1:4" x14ac:dyDescent="0.2">
      <c r="A611">
        <v>166588</v>
      </c>
      <c r="B611" t="s">
        <v>17</v>
      </c>
      <c r="C611" t="s">
        <v>14</v>
      </c>
      <c r="D611" t="s">
        <v>11</v>
      </c>
    </row>
    <row r="612" spans="1:4" x14ac:dyDescent="0.2">
      <c r="A612">
        <v>111384</v>
      </c>
      <c r="B612" t="s">
        <v>10</v>
      </c>
      <c r="C612" t="s">
        <v>14</v>
      </c>
      <c r="D612" t="s">
        <v>11</v>
      </c>
    </row>
    <row r="613" spans="1:4" x14ac:dyDescent="0.2">
      <c r="A613">
        <v>144945</v>
      </c>
      <c r="B613" t="s">
        <v>17</v>
      </c>
      <c r="C613" t="s">
        <v>24</v>
      </c>
      <c r="D613" t="s">
        <v>18</v>
      </c>
    </row>
    <row r="614" spans="1:4" x14ac:dyDescent="0.2">
      <c r="A614">
        <v>145405</v>
      </c>
      <c r="B614" t="s">
        <v>10</v>
      </c>
      <c r="C614" t="s">
        <v>24</v>
      </c>
      <c r="D614" t="s">
        <v>18</v>
      </c>
    </row>
    <row r="615" spans="1:4" x14ac:dyDescent="0.2">
      <c r="A615">
        <v>140480</v>
      </c>
      <c r="B615" t="s">
        <v>10</v>
      </c>
      <c r="C615" t="s">
        <v>24</v>
      </c>
      <c r="D615" t="s">
        <v>11</v>
      </c>
    </row>
    <row r="616" spans="1:4" x14ac:dyDescent="0.2">
      <c r="A616">
        <v>117707</v>
      </c>
      <c r="B616" t="s">
        <v>10</v>
      </c>
      <c r="C616" t="s">
        <v>24</v>
      </c>
      <c r="D616" t="s">
        <v>11</v>
      </c>
    </row>
    <row r="617" spans="1:4" x14ac:dyDescent="0.2">
      <c r="A617">
        <v>182158</v>
      </c>
      <c r="B617" t="s">
        <v>22</v>
      </c>
      <c r="C617" t="s">
        <v>14</v>
      </c>
      <c r="D617" t="s">
        <v>18</v>
      </c>
    </row>
    <row r="618" spans="1:4" x14ac:dyDescent="0.2">
      <c r="A618">
        <v>151032</v>
      </c>
      <c r="B618" t="s">
        <v>22</v>
      </c>
      <c r="C618" t="s">
        <v>14</v>
      </c>
      <c r="D618" t="s">
        <v>18</v>
      </c>
    </row>
    <row r="619" spans="1:4" x14ac:dyDescent="0.2">
      <c r="A619">
        <v>138160</v>
      </c>
      <c r="B619" t="s">
        <v>10</v>
      </c>
      <c r="C619" t="s">
        <v>24</v>
      </c>
      <c r="D619" t="s">
        <v>11</v>
      </c>
    </row>
    <row r="620" spans="1:4" x14ac:dyDescent="0.2">
      <c r="A620">
        <v>132647</v>
      </c>
      <c r="B620" t="s">
        <v>22</v>
      </c>
      <c r="C620" t="s">
        <v>24</v>
      </c>
      <c r="D620" t="s">
        <v>18</v>
      </c>
    </row>
    <row r="621" spans="1:4" x14ac:dyDescent="0.2">
      <c r="A621">
        <v>154713</v>
      </c>
      <c r="B621" t="s">
        <v>10</v>
      </c>
      <c r="C621" t="s">
        <v>14</v>
      </c>
      <c r="D621" t="s">
        <v>18</v>
      </c>
    </row>
    <row r="622" spans="1:4" x14ac:dyDescent="0.2">
      <c r="A622">
        <v>157629</v>
      </c>
      <c r="B622" t="s">
        <v>22</v>
      </c>
      <c r="C622" t="s">
        <v>24</v>
      </c>
      <c r="D622" t="s">
        <v>11</v>
      </c>
    </row>
    <row r="623" spans="1:4" x14ac:dyDescent="0.2">
      <c r="A623">
        <v>165679</v>
      </c>
      <c r="B623" t="s">
        <v>22</v>
      </c>
      <c r="C623" t="s">
        <v>14</v>
      </c>
      <c r="D623" t="s">
        <v>11</v>
      </c>
    </row>
    <row r="624" spans="1:4" x14ac:dyDescent="0.2">
      <c r="A624">
        <v>127978</v>
      </c>
      <c r="B624" t="s">
        <v>22</v>
      </c>
      <c r="C624" t="s">
        <v>24</v>
      </c>
      <c r="D624" t="s">
        <v>11</v>
      </c>
    </row>
    <row r="625" spans="1:4" x14ac:dyDescent="0.2">
      <c r="A625">
        <v>191923</v>
      </c>
      <c r="B625" t="s">
        <v>10</v>
      </c>
      <c r="C625" t="s">
        <v>14</v>
      </c>
      <c r="D625" t="s">
        <v>11</v>
      </c>
    </row>
    <row r="626" spans="1:4" x14ac:dyDescent="0.2">
      <c r="A626">
        <v>179488</v>
      </c>
      <c r="B626" t="s">
        <v>22</v>
      </c>
      <c r="C626" t="s">
        <v>24</v>
      </c>
      <c r="D626" t="s">
        <v>18</v>
      </c>
    </row>
    <row r="627" spans="1:4" x14ac:dyDescent="0.2">
      <c r="A627">
        <v>196100</v>
      </c>
      <c r="B627" t="s">
        <v>10</v>
      </c>
      <c r="C627" t="s">
        <v>24</v>
      </c>
      <c r="D627" t="s">
        <v>11</v>
      </c>
    </row>
    <row r="628" spans="1:4" x14ac:dyDescent="0.2">
      <c r="A628">
        <v>114396</v>
      </c>
      <c r="B628" t="s">
        <v>22</v>
      </c>
      <c r="C628" t="s">
        <v>24</v>
      </c>
      <c r="D628" t="s">
        <v>11</v>
      </c>
    </row>
    <row r="629" spans="1:4" x14ac:dyDescent="0.2">
      <c r="A629">
        <v>126954</v>
      </c>
      <c r="B629" t="s">
        <v>10</v>
      </c>
      <c r="C629" t="s">
        <v>20</v>
      </c>
      <c r="D629" t="s">
        <v>18</v>
      </c>
    </row>
    <row r="630" spans="1:4" x14ac:dyDescent="0.2">
      <c r="A630">
        <v>161127</v>
      </c>
      <c r="B630" t="s">
        <v>17</v>
      </c>
      <c r="C630" t="s">
        <v>24</v>
      </c>
      <c r="D630" t="s">
        <v>11</v>
      </c>
    </row>
    <row r="631" spans="1:4" x14ac:dyDescent="0.2">
      <c r="A631">
        <v>192871</v>
      </c>
      <c r="B631" t="s">
        <v>22</v>
      </c>
      <c r="C631" t="s">
        <v>14</v>
      </c>
      <c r="D631" t="s">
        <v>18</v>
      </c>
    </row>
    <row r="632" spans="1:4" x14ac:dyDescent="0.2">
      <c r="A632">
        <v>196774</v>
      </c>
      <c r="B632" t="s">
        <v>22</v>
      </c>
      <c r="C632" t="s">
        <v>20</v>
      </c>
      <c r="D632" t="s">
        <v>18</v>
      </c>
    </row>
    <row r="633" spans="1:4" x14ac:dyDescent="0.2">
      <c r="A633">
        <v>179265</v>
      </c>
      <c r="B633" t="s">
        <v>22</v>
      </c>
      <c r="C633" t="s">
        <v>20</v>
      </c>
      <c r="D633" t="s">
        <v>11</v>
      </c>
    </row>
    <row r="634" spans="1:4" x14ac:dyDescent="0.2">
      <c r="A634">
        <v>127161</v>
      </c>
      <c r="B634" t="s">
        <v>17</v>
      </c>
      <c r="C634" t="s">
        <v>24</v>
      </c>
      <c r="D634" t="s">
        <v>18</v>
      </c>
    </row>
    <row r="635" spans="1:4" x14ac:dyDescent="0.2">
      <c r="A635">
        <v>167455</v>
      </c>
      <c r="B635" t="s">
        <v>10</v>
      </c>
      <c r="C635" t="s">
        <v>24</v>
      </c>
      <c r="D635" t="s">
        <v>11</v>
      </c>
    </row>
    <row r="636" spans="1:4" x14ac:dyDescent="0.2">
      <c r="A636">
        <v>126083</v>
      </c>
      <c r="B636" t="s">
        <v>17</v>
      </c>
      <c r="C636" t="s">
        <v>20</v>
      </c>
      <c r="D636" t="s">
        <v>11</v>
      </c>
    </row>
    <row r="637" spans="1:4" x14ac:dyDescent="0.2">
      <c r="A637">
        <v>191442</v>
      </c>
      <c r="B637" t="s">
        <v>10</v>
      </c>
      <c r="C637" t="s">
        <v>14</v>
      </c>
      <c r="D637" t="s">
        <v>18</v>
      </c>
    </row>
    <row r="638" spans="1:4" x14ac:dyDescent="0.2">
      <c r="A638">
        <v>157324</v>
      </c>
      <c r="B638" t="s">
        <v>22</v>
      </c>
      <c r="C638" t="s">
        <v>24</v>
      </c>
      <c r="D638" t="s">
        <v>18</v>
      </c>
    </row>
    <row r="639" spans="1:4" x14ac:dyDescent="0.2">
      <c r="A639">
        <v>196863</v>
      </c>
      <c r="B639" t="s">
        <v>22</v>
      </c>
      <c r="C639" t="s">
        <v>20</v>
      </c>
      <c r="D639" t="s">
        <v>18</v>
      </c>
    </row>
    <row r="640" spans="1:4" x14ac:dyDescent="0.2">
      <c r="A640">
        <v>125834</v>
      </c>
      <c r="B640" t="s">
        <v>17</v>
      </c>
      <c r="C640" t="s">
        <v>24</v>
      </c>
      <c r="D640" t="s">
        <v>18</v>
      </c>
    </row>
    <row r="641" spans="1:4" x14ac:dyDescent="0.2">
      <c r="A641">
        <v>160648</v>
      </c>
      <c r="B641" t="s">
        <v>17</v>
      </c>
      <c r="C641" t="s">
        <v>20</v>
      </c>
      <c r="D641" t="s">
        <v>11</v>
      </c>
    </row>
    <row r="642" spans="1:4" x14ac:dyDescent="0.2">
      <c r="A642">
        <v>177124</v>
      </c>
      <c r="B642" t="s">
        <v>22</v>
      </c>
      <c r="C642" t="s">
        <v>24</v>
      </c>
      <c r="D642" t="s">
        <v>11</v>
      </c>
    </row>
    <row r="643" spans="1:4" x14ac:dyDescent="0.2">
      <c r="A643">
        <v>130113</v>
      </c>
      <c r="B643" t="s">
        <v>17</v>
      </c>
      <c r="C643" t="s">
        <v>14</v>
      </c>
      <c r="D643" t="s">
        <v>11</v>
      </c>
    </row>
    <row r="644" spans="1:4" x14ac:dyDescent="0.2">
      <c r="A644">
        <v>149104</v>
      </c>
      <c r="B644" t="s">
        <v>10</v>
      </c>
      <c r="C644" t="s">
        <v>20</v>
      </c>
      <c r="D644" t="s">
        <v>18</v>
      </c>
    </row>
    <row r="645" spans="1:4" x14ac:dyDescent="0.2">
      <c r="A645">
        <v>131351</v>
      </c>
      <c r="B645" t="s">
        <v>10</v>
      </c>
      <c r="C645" t="s">
        <v>20</v>
      </c>
      <c r="D645" t="s">
        <v>18</v>
      </c>
    </row>
    <row r="646" spans="1:4" x14ac:dyDescent="0.2">
      <c r="A646">
        <v>163127</v>
      </c>
      <c r="B646" t="s">
        <v>17</v>
      </c>
      <c r="C646" t="s">
        <v>14</v>
      </c>
      <c r="D646" t="s">
        <v>18</v>
      </c>
    </row>
    <row r="647" spans="1:4" x14ac:dyDescent="0.2">
      <c r="A647">
        <v>145944</v>
      </c>
      <c r="B647" t="s">
        <v>17</v>
      </c>
      <c r="C647" t="s">
        <v>24</v>
      </c>
      <c r="D647" t="s">
        <v>11</v>
      </c>
    </row>
    <row r="648" spans="1:4" x14ac:dyDescent="0.2">
      <c r="A648">
        <v>178288</v>
      </c>
      <c r="B648" t="s">
        <v>10</v>
      </c>
      <c r="C648" t="s">
        <v>14</v>
      </c>
      <c r="D648" t="s">
        <v>11</v>
      </c>
    </row>
    <row r="649" spans="1:4" x14ac:dyDescent="0.2">
      <c r="A649">
        <v>120721</v>
      </c>
      <c r="B649" t="s">
        <v>22</v>
      </c>
      <c r="C649" t="s">
        <v>20</v>
      </c>
      <c r="D649" t="s">
        <v>18</v>
      </c>
    </row>
    <row r="650" spans="1:4" x14ac:dyDescent="0.2">
      <c r="A650">
        <v>198257</v>
      </c>
      <c r="B650" t="s">
        <v>22</v>
      </c>
      <c r="C650" t="s">
        <v>24</v>
      </c>
      <c r="D650" t="s">
        <v>18</v>
      </c>
    </row>
    <row r="651" spans="1:4" x14ac:dyDescent="0.2">
      <c r="A651">
        <v>144938</v>
      </c>
      <c r="B651" t="s">
        <v>17</v>
      </c>
      <c r="C651" t="s">
        <v>24</v>
      </c>
      <c r="D651" t="s">
        <v>18</v>
      </c>
    </row>
    <row r="652" spans="1:4" x14ac:dyDescent="0.2">
      <c r="A652">
        <v>180786</v>
      </c>
      <c r="B652" t="s">
        <v>10</v>
      </c>
      <c r="C652" t="s">
        <v>20</v>
      </c>
      <c r="D652" t="s">
        <v>11</v>
      </c>
    </row>
    <row r="653" spans="1:4" x14ac:dyDescent="0.2">
      <c r="A653">
        <v>174984</v>
      </c>
      <c r="B653" t="s">
        <v>22</v>
      </c>
      <c r="C653" t="s">
        <v>14</v>
      </c>
      <c r="D653" t="s">
        <v>11</v>
      </c>
    </row>
    <row r="654" spans="1:4" x14ac:dyDescent="0.2">
      <c r="A654">
        <v>164338</v>
      </c>
      <c r="B654" t="s">
        <v>22</v>
      </c>
      <c r="C654" t="s">
        <v>14</v>
      </c>
      <c r="D654" t="s">
        <v>18</v>
      </c>
    </row>
    <row r="655" spans="1:4" x14ac:dyDescent="0.2">
      <c r="A655">
        <v>194730</v>
      </c>
      <c r="B655" t="s">
        <v>22</v>
      </c>
      <c r="C655" t="s">
        <v>20</v>
      </c>
      <c r="D655" t="s">
        <v>11</v>
      </c>
    </row>
    <row r="656" spans="1:4" x14ac:dyDescent="0.2">
      <c r="A656">
        <v>184387</v>
      </c>
      <c r="B656" t="s">
        <v>22</v>
      </c>
      <c r="C656" t="s">
        <v>24</v>
      </c>
      <c r="D656" t="s">
        <v>18</v>
      </c>
    </row>
    <row r="657" spans="1:4" x14ac:dyDescent="0.2">
      <c r="A657">
        <v>122405</v>
      </c>
      <c r="B657" t="s">
        <v>22</v>
      </c>
      <c r="C657" t="s">
        <v>20</v>
      </c>
      <c r="D657" t="s">
        <v>11</v>
      </c>
    </row>
    <row r="658" spans="1:4" x14ac:dyDescent="0.2">
      <c r="A658">
        <v>155287</v>
      </c>
      <c r="B658" t="s">
        <v>17</v>
      </c>
      <c r="C658" t="s">
        <v>14</v>
      </c>
      <c r="D658" t="s">
        <v>18</v>
      </c>
    </row>
    <row r="659" spans="1:4" x14ac:dyDescent="0.2">
      <c r="A659">
        <v>135629</v>
      </c>
      <c r="B659" t="s">
        <v>17</v>
      </c>
      <c r="C659" t="s">
        <v>20</v>
      </c>
      <c r="D659" t="s">
        <v>18</v>
      </c>
    </row>
    <row r="660" spans="1:4" x14ac:dyDescent="0.2">
      <c r="A660">
        <v>161695</v>
      </c>
      <c r="B660" t="s">
        <v>10</v>
      </c>
      <c r="C660" t="s">
        <v>14</v>
      </c>
      <c r="D660" t="s">
        <v>11</v>
      </c>
    </row>
    <row r="661" spans="1:4" x14ac:dyDescent="0.2">
      <c r="A661">
        <v>188585</v>
      </c>
      <c r="B661" t="s">
        <v>10</v>
      </c>
      <c r="C661" t="s">
        <v>20</v>
      </c>
      <c r="D661" t="s">
        <v>11</v>
      </c>
    </row>
    <row r="662" spans="1:4" x14ac:dyDescent="0.2">
      <c r="A662">
        <v>199050</v>
      </c>
      <c r="B662" t="s">
        <v>17</v>
      </c>
      <c r="C662" t="s">
        <v>20</v>
      </c>
      <c r="D662" t="s">
        <v>11</v>
      </c>
    </row>
    <row r="663" spans="1:4" x14ac:dyDescent="0.2">
      <c r="A663">
        <v>126957</v>
      </c>
      <c r="B663" t="s">
        <v>22</v>
      </c>
      <c r="C663" t="s">
        <v>24</v>
      </c>
      <c r="D663" t="s">
        <v>11</v>
      </c>
    </row>
    <row r="664" spans="1:4" x14ac:dyDescent="0.2">
      <c r="A664">
        <v>140298</v>
      </c>
      <c r="B664" t="s">
        <v>10</v>
      </c>
      <c r="C664" t="s">
        <v>14</v>
      </c>
      <c r="D664" t="s">
        <v>18</v>
      </c>
    </row>
    <row r="665" spans="1:4" x14ac:dyDescent="0.2">
      <c r="A665">
        <v>143161</v>
      </c>
      <c r="B665" t="s">
        <v>17</v>
      </c>
      <c r="C665" t="s">
        <v>14</v>
      </c>
      <c r="D665" t="s">
        <v>11</v>
      </c>
    </row>
    <row r="666" spans="1:4" x14ac:dyDescent="0.2">
      <c r="A666">
        <v>126549</v>
      </c>
      <c r="B666" t="s">
        <v>22</v>
      </c>
      <c r="C666" t="s">
        <v>14</v>
      </c>
      <c r="D666" t="s">
        <v>11</v>
      </c>
    </row>
    <row r="667" spans="1:4" x14ac:dyDescent="0.2">
      <c r="A667">
        <v>199013</v>
      </c>
      <c r="B667" t="s">
        <v>10</v>
      </c>
      <c r="C667" t="s">
        <v>14</v>
      </c>
      <c r="D667" t="s">
        <v>11</v>
      </c>
    </row>
    <row r="668" spans="1:4" x14ac:dyDescent="0.2">
      <c r="A668">
        <v>120994</v>
      </c>
      <c r="B668" t="s">
        <v>17</v>
      </c>
      <c r="C668" t="s">
        <v>20</v>
      </c>
      <c r="D668" t="s">
        <v>11</v>
      </c>
    </row>
    <row r="669" spans="1:4" x14ac:dyDescent="0.2">
      <c r="A669">
        <v>123549</v>
      </c>
      <c r="B669" t="s">
        <v>17</v>
      </c>
      <c r="C669" t="s">
        <v>24</v>
      </c>
      <c r="D669" t="s">
        <v>11</v>
      </c>
    </row>
    <row r="670" spans="1:4" x14ac:dyDescent="0.2">
      <c r="A670">
        <v>191501</v>
      </c>
      <c r="B670" t="s">
        <v>22</v>
      </c>
      <c r="C670" t="s">
        <v>24</v>
      </c>
      <c r="D670" t="s">
        <v>11</v>
      </c>
    </row>
    <row r="671" spans="1:4" x14ac:dyDescent="0.2">
      <c r="A671">
        <v>137441</v>
      </c>
      <c r="B671" t="s">
        <v>17</v>
      </c>
      <c r="C671" t="s">
        <v>20</v>
      </c>
      <c r="D671" t="s">
        <v>18</v>
      </c>
    </row>
    <row r="672" spans="1:4" x14ac:dyDescent="0.2">
      <c r="A672">
        <v>174639</v>
      </c>
      <c r="B672" t="s">
        <v>10</v>
      </c>
      <c r="C672" t="s">
        <v>24</v>
      </c>
      <c r="D672" t="s">
        <v>18</v>
      </c>
    </row>
    <row r="673" spans="1:4" x14ac:dyDescent="0.2">
      <c r="A673">
        <v>126334</v>
      </c>
      <c r="B673" t="s">
        <v>17</v>
      </c>
      <c r="C673" t="s">
        <v>14</v>
      </c>
      <c r="D673" t="s">
        <v>11</v>
      </c>
    </row>
    <row r="674" spans="1:4" x14ac:dyDescent="0.2">
      <c r="A674">
        <v>158294</v>
      </c>
      <c r="B674" t="s">
        <v>10</v>
      </c>
      <c r="C674" t="s">
        <v>24</v>
      </c>
      <c r="D674" t="s">
        <v>11</v>
      </c>
    </row>
    <row r="675" spans="1:4" x14ac:dyDescent="0.2">
      <c r="A675">
        <v>171653</v>
      </c>
      <c r="B675" t="s">
        <v>17</v>
      </c>
      <c r="C675" t="s">
        <v>24</v>
      </c>
      <c r="D675" t="s">
        <v>18</v>
      </c>
    </row>
    <row r="676" spans="1:4" x14ac:dyDescent="0.2">
      <c r="A676">
        <v>113784</v>
      </c>
      <c r="B676" t="s">
        <v>22</v>
      </c>
      <c r="C676" t="s">
        <v>14</v>
      </c>
      <c r="D676" t="s">
        <v>11</v>
      </c>
    </row>
    <row r="677" spans="1:4" x14ac:dyDescent="0.2">
      <c r="A677">
        <v>195374</v>
      </c>
      <c r="B677" t="s">
        <v>22</v>
      </c>
      <c r="C677" t="s">
        <v>20</v>
      </c>
      <c r="D677" t="s">
        <v>11</v>
      </c>
    </row>
    <row r="678" spans="1:4" x14ac:dyDescent="0.2">
      <c r="A678">
        <v>171712</v>
      </c>
      <c r="B678" t="s">
        <v>17</v>
      </c>
      <c r="C678" t="s">
        <v>14</v>
      </c>
      <c r="D678" t="s">
        <v>18</v>
      </c>
    </row>
    <row r="679" spans="1:4" x14ac:dyDescent="0.2">
      <c r="A679">
        <v>148331</v>
      </c>
      <c r="B679" t="s">
        <v>22</v>
      </c>
      <c r="C679" t="s">
        <v>14</v>
      </c>
      <c r="D679" t="s">
        <v>18</v>
      </c>
    </row>
    <row r="680" spans="1:4" x14ac:dyDescent="0.2">
      <c r="A680">
        <v>123478</v>
      </c>
      <c r="B680" t="s">
        <v>10</v>
      </c>
      <c r="C680" t="s">
        <v>20</v>
      </c>
      <c r="D680" t="s">
        <v>18</v>
      </c>
    </row>
    <row r="681" spans="1:4" x14ac:dyDescent="0.2">
      <c r="A681">
        <v>164043</v>
      </c>
      <c r="B681" t="s">
        <v>10</v>
      </c>
      <c r="C681" t="s">
        <v>24</v>
      </c>
      <c r="D681" t="s">
        <v>11</v>
      </c>
    </row>
    <row r="682" spans="1:4" x14ac:dyDescent="0.2">
      <c r="A682">
        <v>158938</v>
      </c>
      <c r="B682" t="s">
        <v>22</v>
      </c>
      <c r="C682" t="s">
        <v>14</v>
      </c>
      <c r="D682" t="s">
        <v>11</v>
      </c>
    </row>
    <row r="683" spans="1:4" x14ac:dyDescent="0.2">
      <c r="A683">
        <v>118260</v>
      </c>
      <c r="B683" t="s">
        <v>17</v>
      </c>
      <c r="C683" t="s">
        <v>24</v>
      </c>
      <c r="D683" t="s">
        <v>18</v>
      </c>
    </row>
    <row r="684" spans="1:4" x14ac:dyDescent="0.2">
      <c r="A684">
        <v>168970</v>
      </c>
      <c r="B684" t="s">
        <v>17</v>
      </c>
      <c r="C684" t="s">
        <v>14</v>
      </c>
      <c r="D684" t="s">
        <v>11</v>
      </c>
    </row>
    <row r="685" spans="1:4" x14ac:dyDescent="0.2">
      <c r="A685">
        <v>160301</v>
      </c>
      <c r="B685" t="s">
        <v>22</v>
      </c>
      <c r="C685" t="s">
        <v>24</v>
      </c>
      <c r="D685" t="s">
        <v>11</v>
      </c>
    </row>
    <row r="686" spans="1:4" x14ac:dyDescent="0.2">
      <c r="A686">
        <v>134598</v>
      </c>
      <c r="B686" t="s">
        <v>10</v>
      </c>
      <c r="C686" t="s">
        <v>20</v>
      </c>
      <c r="D686" t="s">
        <v>11</v>
      </c>
    </row>
    <row r="687" spans="1:4" x14ac:dyDescent="0.2">
      <c r="A687">
        <v>140548</v>
      </c>
      <c r="B687" t="s">
        <v>10</v>
      </c>
      <c r="C687" t="s">
        <v>14</v>
      </c>
      <c r="D687" t="s">
        <v>11</v>
      </c>
    </row>
    <row r="688" spans="1:4" x14ac:dyDescent="0.2">
      <c r="A688">
        <v>119282</v>
      </c>
      <c r="B688" t="s">
        <v>22</v>
      </c>
      <c r="C688" t="s">
        <v>20</v>
      </c>
      <c r="D688" t="s">
        <v>11</v>
      </c>
    </row>
    <row r="689" spans="1:4" x14ac:dyDescent="0.2">
      <c r="A689">
        <v>155744</v>
      </c>
      <c r="B689" t="s">
        <v>10</v>
      </c>
      <c r="C689" t="s">
        <v>14</v>
      </c>
      <c r="D689" t="s">
        <v>18</v>
      </c>
    </row>
    <row r="690" spans="1:4" x14ac:dyDescent="0.2">
      <c r="A690">
        <v>188805</v>
      </c>
      <c r="B690" t="s">
        <v>10</v>
      </c>
      <c r="C690" t="s">
        <v>14</v>
      </c>
      <c r="D690" t="s">
        <v>11</v>
      </c>
    </row>
    <row r="691" spans="1:4" x14ac:dyDescent="0.2">
      <c r="A691">
        <v>194198</v>
      </c>
      <c r="B691" t="s">
        <v>10</v>
      </c>
      <c r="C691" t="s">
        <v>24</v>
      </c>
      <c r="D691" t="s">
        <v>18</v>
      </c>
    </row>
    <row r="692" spans="1:4" x14ac:dyDescent="0.2">
      <c r="A692">
        <v>158917</v>
      </c>
      <c r="B692" t="s">
        <v>22</v>
      </c>
      <c r="C692" t="s">
        <v>14</v>
      </c>
      <c r="D692" t="s">
        <v>18</v>
      </c>
    </row>
    <row r="693" spans="1:4" x14ac:dyDescent="0.2">
      <c r="A693">
        <v>119182</v>
      </c>
      <c r="B693" t="s">
        <v>22</v>
      </c>
      <c r="C693" t="s">
        <v>24</v>
      </c>
      <c r="D693" t="s">
        <v>11</v>
      </c>
    </row>
    <row r="694" spans="1:4" x14ac:dyDescent="0.2">
      <c r="A694">
        <v>177843</v>
      </c>
      <c r="B694" t="s">
        <v>17</v>
      </c>
      <c r="C694" t="s">
        <v>14</v>
      </c>
      <c r="D694" t="s">
        <v>11</v>
      </c>
    </row>
    <row r="695" spans="1:4" x14ac:dyDescent="0.2">
      <c r="A695">
        <v>175135</v>
      </c>
      <c r="B695" t="s">
        <v>22</v>
      </c>
      <c r="C695" t="s">
        <v>24</v>
      </c>
      <c r="D695" t="s">
        <v>11</v>
      </c>
    </row>
    <row r="696" spans="1:4" x14ac:dyDescent="0.2">
      <c r="A696">
        <v>162886</v>
      </c>
      <c r="B696" t="s">
        <v>22</v>
      </c>
      <c r="C696" t="s">
        <v>14</v>
      </c>
      <c r="D696" t="s">
        <v>18</v>
      </c>
    </row>
    <row r="697" spans="1:4" x14ac:dyDescent="0.2">
      <c r="A697">
        <v>162663</v>
      </c>
      <c r="B697" t="s">
        <v>10</v>
      </c>
      <c r="C697" t="s">
        <v>20</v>
      </c>
      <c r="D697" t="s">
        <v>11</v>
      </c>
    </row>
    <row r="698" spans="1:4" x14ac:dyDescent="0.2">
      <c r="A698">
        <v>148513</v>
      </c>
      <c r="B698" t="s">
        <v>22</v>
      </c>
      <c r="C698" t="s">
        <v>24</v>
      </c>
      <c r="D698" t="s">
        <v>18</v>
      </c>
    </row>
    <row r="699" spans="1:4" x14ac:dyDescent="0.2">
      <c r="A699">
        <v>127550</v>
      </c>
      <c r="B699" t="s">
        <v>22</v>
      </c>
      <c r="C699" t="s">
        <v>14</v>
      </c>
      <c r="D699" t="s">
        <v>18</v>
      </c>
    </row>
    <row r="700" spans="1:4" x14ac:dyDescent="0.2">
      <c r="A700">
        <v>123557</v>
      </c>
      <c r="B700" t="s">
        <v>22</v>
      </c>
      <c r="C700" t="s">
        <v>24</v>
      </c>
      <c r="D700" t="s">
        <v>18</v>
      </c>
    </row>
    <row r="701" spans="1:4" x14ac:dyDescent="0.2">
      <c r="A701">
        <v>140118</v>
      </c>
      <c r="B701" t="s">
        <v>10</v>
      </c>
      <c r="C701" t="s">
        <v>20</v>
      </c>
      <c r="D701" t="s">
        <v>18</v>
      </c>
    </row>
    <row r="702" spans="1:4" x14ac:dyDescent="0.2">
      <c r="A702">
        <v>172912</v>
      </c>
      <c r="B702" t="s">
        <v>22</v>
      </c>
      <c r="C702" t="s">
        <v>14</v>
      </c>
      <c r="D702" t="s">
        <v>11</v>
      </c>
    </row>
    <row r="703" spans="1:4" x14ac:dyDescent="0.2">
      <c r="A703">
        <v>155610</v>
      </c>
      <c r="B703" t="s">
        <v>22</v>
      </c>
      <c r="C703" t="s">
        <v>20</v>
      </c>
      <c r="D703" t="s">
        <v>18</v>
      </c>
    </row>
    <row r="704" spans="1:4" x14ac:dyDescent="0.2">
      <c r="A704">
        <v>160544</v>
      </c>
      <c r="B704" t="s">
        <v>17</v>
      </c>
      <c r="C704" t="s">
        <v>24</v>
      </c>
      <c r="D704" t="s">
        <v>11</v>
      </c>
    </row>
    <row r="705" spans="1:4" x14ac:dyDescent="0.2">
      <c r="A705">
        <v>177721</v>
      </c>
      <c r="B705" t="s">
        <v>17</v>
      </c>
      <c r="C705" t="s">
        <v>20</v>
      </c>
      <c r="D705" t="s">
        <v>11</v>
      </c>
    </row>
    <row r="706" spans="1:4" x14ac:dyDescent="0.2">
      <c r="A706">
        <v>199735</v>
      </c>
      <c r="B706" t="s">
        <v>10</v>
      </c>
      <c r="C706" t="s">
        <v>20</v>
      </c>
      <c r="D706" t="s">
        <v>11</v>
      </c>
    </row>
    <row r="707" spans="1:4" x14ac:dyDescent="0.2">
      <c r="A707">
        <v>164553</v>
      </c>
      <c r="B707" t="s">
        <v>17</v>
      </c>
      <c r="C707" t="s">
        <v>14</v>
      </c>
      <c r="D707" t="s">
        <v>18</v>
      </c>
    </row>
    <row r="708" spans="1:4" x14ac:dyDescent="0.2">
      <c r="A708">
        <v>160829</v>
      </c>
      <c r="B708" t="s">
        <v>22</v>
      </c>
      <c r="C708" t="s">
        <v>14</v>
      </c>
      <c r="D708" t="s">
        <v>18</v>
      </c>
    </row>
    <row r="709" spans="1:4" x14ac:dyDescent="0.2">
      <c r="A709">
        <v>189316</v>
      </c>
      <c r="B709" t="s">
        <v>22</v>
      </c>
      <c r="C709" t="s">
        <v>14</v>
      </c>
      <c r="D709" t="s">
        <v>18</v>
      </c>
    </row>
    <row r="710" spans="1:4" x14ac:dyDescent="0.2">
      <c r="A710">
        <v>110815</v>
      </c>
      <c r="B710" t="s">
        <v>10</v>
      </c>
      <c r="C710" t="s">
        <v>20</v>
      </c>
      <c r="D710" t="s">
        <v>11</v>
      </c>
    </row>
    <row r="711" spans="1:4" x14ac:dyDescent="0.2">
      <c r="A711">
        <v>173823</v>
      </c>
      <c r="B711" t="s">
        <v>22</v>
      </c>
      <c r="C711" t="s">
        <v>20</v>
      </c>
      <c r="D711" t="s">
        <v>18</v>
      </c>
    </row>
    <row r="712" spans="1:4" x14ac:dyDescent="0.2">
      <c r="A712">
        <v>189791</v>
      </c>
      <c r="B712" t="s">
        <v>17</v>
      </c>
      <c r="C712" t="s">
        <v>24</v>
      </c>
      <c r="D712" t="s">
        <v>18</v>
      </c>
    </row>
    <row r="713" spans="1:4" x14ac:dyDescent="0.2">
      <c r="A713">
        <v>180074</v>
      </c>
      <c r="B713" t="s">
        <v>17</v>
      </c>
      <c r="C713" t="s">
        <v>14</v>
      </c>
      <c r="D713" t="s">
        <v>18</v>
      </c>
    </row>
    <row r="714" spans="1:4" x14ac:dyDescent="0.2">
      <c r="A714">
        <v>131689</v>
      </c>
      <c r="B714" t="s">
        <v>22</v>
      </c>
      <c r="C714" t="s">
        <v>24</v>
      </c>
      <c r="D714" t="s">
        <v>18</v>
      </c>
    </row>
    <row r="715" spans="1:4" x14ac:dyDescent="0.2">
      <c r="A715">
        <v>145573</v>
      </c>
      <c r="B715" t="s">
        <v>17</v>
      </c>
      <c r="C715" t="s">
        <v>20</v>
      </c>
      <c r="D715" t="s">
        <v>18</v>
      </c>
    </row>
    <row r="716" spans="1:4" x14ac:dyDescent="0.2">
      <c r="A716">
        <v>196508</v>
      </c>
      <c r="B716" t="s">
        <v>17</v>
      </c>
      <c r="C716" t="s">
        <v>14</v>
      </c>
      <c r="D716" t="s">
        <v>18</v>
      </c>
    </row>
    <row r="717" spans="1:4" x14ac:dyDescent="0.2">
      <c r="A717">
        <v>159831</v>
      </c>
      <c r="B717" t="s">
        <v>10</v>
      </c>
      <c r="C717" t="s">
        <v>20</v>
      </c>
      <c r="D717" t="s">
        <v>11</v>
      </c>
    </row>
    <row r="718" spans="1:4" x14ac:dyDescent="0.2">
      <c r="A718">
        <v>154409</v>
      </c>
      <c r="B718" t="s">
        <v>10</v>
      </c>
      <c r="C718" t="s">
        <v>24</v>
      </c>
      <c r="D718" t="s">
        <v>18</v>
      </c>
    </row>
    <row r="719" spans="1:4" x14ac:dyDescent="0.2">
      <c r="A719">
        <v>151330</v>
      </c>
      <c r="B719" t="s">
        <v>22</v>
      </c>
      <c r="C719" t="s">
        <v>24</v>
      </c>
      <c r="D719" t="s">
        <v>11</v>
      </c>
    </row>
    <row r="720" spans="1:4" x14ac:dyDescent="0.2">
      <c r="A720">
        <v>178721</v>
      </c>
      <c r="B720" t="s">
        <v>17</v>
      </c>
      <c r="C720" t="s">
        <v>20</v>
      </c>
      <c r="D720" t="s">
        <v>11</v>
      </c>
    </row>
    <row r="721" spans="1:4" x14ac:dyDescent="0.2">
      <c r="A721">
        <v>190370</v>
      </c>
      <c r="B721" t="s">
        <v>17</v>
      </c>
      <c r="C721" t="s">
        <v>14</v>
      </c>
      <c r="D721" t="s">
        <v>18</v>
      </c>
    </row>
    <row r="722" spans="1:4" x14ac:dyDescent="0.2">
      <c r="A722">
        <v>171778</v>
      </c>
      <c r="B722" t="s">
        <v>17</v>
      </c>
      <c r="C722" t="s">
        <v>14</v>
      </c>
      <c r="D722" t="s">
        <v>18</v>
      </c>
    </row>
    <row r="723" spans="1:4" x14ac:dyDescent="0.2">
      <c r="A723">
        <v>181634</v>
      </c>
      <c r="B723" t="s">
        <v>22</v>
      </c>
      <c r="C723" t="s">
        <v>14</v>
      </c>
      <c r="D723" t="s">
        <v>18</v>
      </c>
    </row>
    <row r="724" spans="1:4" x14ac:dyDescent="0.2">
      <c r="A724">
        <v>146294</v>
      </c>
      <c r="B724" t="s">
        <v>22</v>
      </c>
      <c r="C724" t="s">
        <v>24</v>
      </c>
      <c r="D724" t="s">
        <v>18</v>
      </c>
    </row>
    <row r="725" spans="1:4" x14ac:dyDescent="0.2">
      <c r="A725">
        <v>113594</v>
      </c>
      <c r="B725" t="s">
        <v>22</v>
      </c>
      <c r="C725" t="s">
        <v>20</v>
      </c>
      <c r="D725" t="s">
        <v>11</v>
      </c>
    </row>
    <row r="726" spans="1:4" x14ac:dyDescent="0.2">
      <c r="A726">
        <v>153294</v>
      </c>
      <c r="B726" t="s">
        <v>17</v>
      </c>
      <c r="C726" t="s">
        <v>20</v>
      </c>
      <c r="D726" t="s">
        <v>11</v>
      </c>
    </row>
    <row r="727" spans="1:4" x14ac:dyDescent="0.2">
      <c r="A727">
        <v>191154</v>
      </c>
      <c r="B727" t="s">
        <v>17</v>
      </c>
      <c r="C727" t="s">
        <v>14</v>
      </c>
      <c r="D727" t="s">
        <v>11</v>
      </c>
    </row>
    <row r="728" spans="1:4" x14ac:dyDescent="0.2">
      <c r="A728">
        <v>154870</v>
      </c>
      <c r="B728" t="s">
        <v>22</v>
      </c>
      <c r="C728" t="s">
        <v>14</v>
      </c>
      <c r="D728" t="s">
        <v>18</v>
      </c>
    </row>
    <row r="729" spans="1:4" x14ac:dyDescent="0.2">
      <c r="A729">
        <v>145558</v>
      </c>
      <c r="B729" t="s">
        <v>17</v>
      </c>
      <c r="C729" t="s">
        <v>14</v>
      </c>
      <c r="D729" t="s">
        <v>11</v>
      </c>
    </row>
    <row r="730" spans="1:4" x14ac:dyDescent="0.2">
      <c r="A730">
        <v>135809</v>
      </c>
      <c r="B730" t="s">
        <v>22</v>
      </c>
      <c r="C730" t="s">
        <v>14</v>
      </c>
      <c r="D730" t="s">
        <v>11</v>
      </c>
    </row>
    <row r="731" spans="1:4" x14ac:dyDescent="0.2">
      <c r="A731">
        <v>156148</v>
      </c>
      <c r="B731" t="s">
        <v>10</v>
      </c>
      <c r="C731" t="s">
        <v>20</v>
      </c>
      <c r="D731" t="s">
        <v>18</v>
      </c>
    </row>
    <row r="732" spans="1:4" x14ac:dyDescent="0.2">
      <c r="A732">
        <v>171191</v>
      </c>
      <c r="B732" t="s">
        <v>22</v>
      </c>
      <c r="C732" t="s">
        <v>24</v>
      </c>
      <c r="D732" t="s">
        <v>18</v>
      </c>
    </row>
    <row r="733" spans="1:4" x14ac:dyDescent="0.2">
      <c r="A733">
        <v>115810</v>
      </c>
      <c r="B733" t="s">
        <v>22</v>
      </c>
      <c r="C733" t="s">
        <v>14</v>
      </c>
      <c r="D733" t="s">
        <v>18</v>
      </c>
    </row>
    <row r="734" spans="1:4" x14ac:dyDescent="0.2">
      <c r="A734">
        <v>115533</v>
      </c>
      <c r="B734" t="s">
        <v>17</v>
      </c>
      <c r="C734" t="s">
        <v>24</v>
      </c>
      <c r="D734" t="s">
        <v>18</v>
      </c>
    </row>
    <row r="735" spans="1:4" x14ac:dyDescent="0.2">
      <c r="A735">
        <v>191827</v>
      </c>
      <c r="B735" t="s">
        <v>17</v>
      </c>
      <c r="C735" t="s">
        <v>24</v>
      </c>
      <c r="D735" t="s">
        <v>11</v>
      </c>
    </row>
    <row r="736" spans="1:4" x14ac:dyDescent="0.2">
      <c r="A736">
        <v>115156</v>
      </c>
      <c r="B736" t="s">
        <v>22</v>
      </c>
      <c r="C736" t="s">
        <v>20</v>
      </c>
      <c r="D736" t="s">
        <v>18</v>
      </c>
    </row>
    <row r="737" spans="1:4" x14ac:dyDescent="0.2">
      <c r="A737">
        <v>148849</v>
      </c>
      <c r="B737" t="s">
        <v>17</v>
      </c>
      <c r="C737" t="s">
        <v>20</v>
      </c>
      <c r="D737" t="s">
        <v>18</v>
      </c>
    </row>
    <row r="738" spans="1:4" x14ac:dyDescent="0.2">
      <c r="A738">
        <v>121239</v>
      </c>
      <c r="B738" t="s">
        <v>10</v>
      </c>
      <c r="C738" t="s">
        <v>14</v>
      </c>
      <c r="D738" t="s">
        <v>18</v>
      </c>
    </row>
    <row r="739" spans="1:4" x14ac:dyDescent="0.2">
      <c r="A739">
        <v>147878</v>
      </c>
      <c r="B739" t="s">
        <v>17</v>
      </c>
      <c r="C739" t="s">
        <v>20</v>
      </c>
      <c r="D739" t="s">
        <v>11</v>
      </c>
    </row>
    <row r="740" spans="1:4" x14ac:dyDescent="0.2">
      <c r="A740">
        <v>163043</v>
      </c>
      <c r="B740" t="s">
        <v>17</v>
      </c>
      <c r="C740" t="s">
        <v>20</v>
      </c>
      <c r="D740" t="s">
        <v>11</v>
      </c>
    </row>
    <row r="741" spans="1:4" x14ac:dyDescent="0.2">
      <c r="A741">
        <v>198302</v>
      </c>
      <c r="B741" t="s">
        <v>10</v>
      </c>
      <c r="C741" t="s">
        <v>14</v>
      </c>
      <c r="D741" t="s">
        <v>11</v>
      </c>
    </row>
    <row r="742" spans="1:4" x14ac:dyDescent="0.2">
      <c r="A742">
        <v>191418</v>
      </c>
      <c r="B742" t="s">
        <v>10</v>
      </c>
      <c r="C742" t="s">
        <v>20</v>
      </c>
      <c r="D742" t="s">
        <v>11</v>
      </c>
    </row>
    <row r="743" spans="1:4" x14ac:dyDescent="0.2">
      <c r="A743">
        <v>175324</v>
      </c>
      <c r="B743" t="s">
        <v>17</v>
      </c>
      <c r="C743" t="s">
        <v>20</v>
      </c>
      <c r="D743" t="s">
        <v>18</v>
      </c>
    </row>
    <row r="744" spans="1:4" x14ac:dyDescent="0.2">
      <c r="A744">
        <v>168949</v>
      </c>
      <c r="B744" t="s">
        <v>22</v>
      </c>
      <c r="C744" t="s">
        <v>20</v>
      </c>
      <c r="D744" t="s">
        <v>11</v>
      </c>
    </row>
    <row r="745" spans="1:4" x14ac:dyDescent="0.2">
      <c r="A745">
        <v>132443</v>
      </c>
      <c r="B745" t="s">
        <v>10</v>
      </c>
      <c r="C745" t="s">
        <v>14</v>
      </c>
      <c r="D745" t="s">
        <v>11</v>
      </c>
    </row>
    <row r="746" spans="1:4" x14ac:dyDescent="0.2">
      <c r="A746">
        <v>142665</v>
      </c>
      <c r="B746" t="s">
        <v>17</v>
      </c>
      <c r="C746" t="s">
        <v>14</v>
      </c>
      <c r="D746" t="s">
        <v>18</v>
      </c>
    </row>
    <row r="747" spans="1:4" x14ac:dyDescent="0.2">
      <c r="A747">
        <v>171112</v>
      </c>
      <c r="B747" t="s">
        <v>10</v>
      </c>
      <c r="C747" t="s">
        <v>24</v>
      </c>
      <c r="D747" t="s">
        <v>18</v>
      </c>
    </row>
    <row r="748" spans="1:4" x14ac:dyDescent="0.2">
      <c r="A748">
        <v>164994</v>
      </c>
      <c r="B748" t="s">
        <v>17</v>
      </c>
      <c r="C748" t="s">
        <v>24</v>
      </c>
      <c r="D748" t="s">
        <v>11</v>
      </c>
    </row>
    <row r="749" spans="1:4" x14ac:dyDescent="0.2">
      <c r="A749">
        <v>197700</v>
      </c>
      <c r="B749" t="s">
        <v>10</v>
      </c>
      <c r="C749" t="s">
        <v>20</v>
      </c>
      <c r="D749" t="s">
        <v>11</v>
      </c>
    </row>
    <row r="750" spans="1:4" x14ac:dyDescent="0.2">
      <c r="A750">
        <v>162699</v>
      </c>
      <c r="B750" t="s">
        <v>22</v>
      </c>
      <c r="C750" t="s">
        <v>24</v>
      </c>
      <c r="D750" t="s">
        <v>18</v>
      </c>
    </row>
    <row r="751" spans="1:4" x14ac:dyDescent="0.2">
      <c r="A751">
        <v>166102</v>
      </c>
      <c r="B751" t="s">
        <v>22</v>
      </c>
      <c r="C751" t="s">
        <v>24</v>
      </c>
      <c r="D751" t="s">
        <v>11</v>
      </c>
    </row>
    <row r="752" spans="1:4" x14ac:dyDescent="0.2">
      <c r="A752">
        <v>125196</v>
      </c>
      <c r="B752" t="s">
        <v>22</v>
      </c>
      <c r="C752" t="s">
        <v>14</v>
      </c>
      <c r="D752" t="s">
        <v>18</v>
      </c>
    </row>
    <row r="753" spans="1:4" x14ac:dyDescent="0.2">
      <c r="A753">
        <v>190769</v>
      </c>
      <c r="B753" t="s">
        <v>10</v>
      </c>
      <c r="C753" t="s">
        <v>14</v>
      </c>
      <c r="D753" t="s">
        <v>18</v>
      </c>
    </row>
    <row r="754" spans="1:4" x14ac:dyDescent="0.2">
      <c r="A754">
        <v>192908</v>
      </c>
      <c r="B754" t="s">
        <v>22</v>
      </c>
      <c r="C754" t="s">
        <v>24</v>
      </c>
      <c r="D754" t="s">
        <v>18</v>
      </c>
    </row>
    <row r="755" spans="1:4" x14ac:dyDescent="0.2">
      <c r="A755">
        <v>190000</v>
      </c>
      <c r="B755" t="s">
        <v>22</v>
      </c>
      <c r="C755" t="s">
        <v>20</v>
      </c>
      <c r="D755" t="s">
        <v>11</v>
      </c>
    </row>
    <row r="756" spans="1:4" x14ac:dyDescent="0.2">
      <c r="A756">
        <v>117812</v>
      </c>
      <c r="B756" t="s">
        <v>17</v>
      </c>
      <c r="C756" t="s">
        <v>20</v>
      </c>
      <c r="D756" t="s">
        <v>11</v>
      </c>
    </row>
    <row r="757" spans="1:4" x14ac:dyDescent="0.2">
      <c r="A757">
        <v>158258</v>
      </c>
      <c r="B757" t="s">
        <v>10</v>
      </c>
      <c r="C757" t="s">
        <v>20</v>
      </c>
      <c r="D757" t="s">
        <v>18</v>
      </c>
    </row>
    <row r="758" spans="1:4" x14ac:dyDescent="0.2">
      <c r="A758">
        <v>136575</v>
      </c>
      <c r="B758" t="s">
        <v>10</v>
      </c>
      <c r="C758" t="s">
        <v>24</v>
      </c>
      <c r="D758" t="s">
        <v>18</v>
      </c>
    </row>
    <row r="759" spans="1:4" x14ac:dyDescent="0.2">
      <c r="A759">
        <v>152880</v>
      </c>
      <c r="B759" t="s">
        <v>17</v>
      </c>
      <c r="C759" t="s">
        <v>14</v>
      </c>
      <c r="D759" t="s">
        <v>18</v>
      </c>
    </row>
    <row r="760" spans="1:4" x14ac:dyDescent="0.2">
      <c r="A760">
        <v>112839</v>
      </c>
      <c r="B760" t="s">
        <v>22</v>
      </c>
      <c r="C760" t="s">
        <v>14</v>
      </c>
      <c r="D760" t="s">
        <v>11</v>
      </c>
    </row>
    <row r="761" spans="1:4" x14ac:dyDescent="0.2">
      <c r="A761">
        <v>190584</v>
      </c>
      <c r="B761" t="s">
        <v>22</v>
      </c>
      <c r="C761" t="s">
        <v>14</v>
      </c>
      <c r="D761" t="s">
        <v>11</v>
      </c>
    </row>
    <row r="762" spans="1:4" x14ac:dyDescent="0.2">
      <c r="A762">
        <v>171598</v>
      </c>
      <c r="B762" t="s">
        <v>10</v>
      </c>
      <c r="C762" t="s">
        <v>20</v>
      </c>
      <c r="D762" t="s">
        <v>11</v>
      </c>
    </row>
    <row r="763" spans="1:4" x14ac:dyDescent="0.2">
      <c r="A763">
        <v>169545</v>
      </c>
      <c r="B763" t="s">
        <v>22</v>
      </c>
      <c r="C763" t="s">
        <v>20</v>
      </c>
      <c r="D763" t="s">
        <v>11</v>
      </c>
    </row>
    <row r="764" spans="1:4" x14ac:dyDescent="0.2">
      <c r="A764">
        <v>132704</v>
      </c>
      <c r="B764" t="s">
        <v>10</v>
      </c>
      <c r="C764" t="s">
        <v>20</v>
      </c>
      <c r="D764" t="s">
        <v>11</v>
      </c>
    </row>
    <row r="765" spans="1:4" x14ac:dyDescent="0.2">
      <c r="A765">
        <v>168639</v>
      </c>
      <c r="B765" t="s">
        <v>22</v>
      </c>
      <c r="C765" t="s">
        <v>14</v>
      </c>
      <c r="D765" t="s">
        <v>18</v>
      </c>
    </row>
    <row r="766" spans="1:4" x14ac:dyDescent="0.2">
      <c r="A766">
        <v>163062</v>
      </c>
      <c r="B766" t="s">
        <v>17</v>
      </c>
      <c r="C766" t="s">
        <v>24</v>
      </c>
      <c r="D766" t="s">
        <v>18</v>
      </c>
    </row>
    <row r="767" spans="1:4" x14ac:dyDescent="0.2">
      <c r="A767">
        <v>186783</v>
      </c>
      <c r="B767" t="s">
        <v>22</v>
      </c>
      <c r="C767" t="s">
        <v>24</v>
      </c>
      <c r="D767" t="s">
        <v>18</v>
      </c>
    </row>
    <row r="768" spans="1:4" x14ac:dyDescent="0.2">
      <c r="A768">
        <v>130656</v>
      </c>
      <c r="B768" t="s">
        <v>17</v>
      </c>
      <c r="C768" t="s">
        <v>20</v>
      </c>
      <c r="D768" t="s">
        <v>11</v>
      </c>
    </row>
    <row r="769" spans="1:4" x14ac:dyDescent="0.2">
      <c r="A769">
        <v>111930</v>
      </c>
      <c r="B769" t="s">
        <v>22</v>
      </c>
      <c r="C769" t="s">
        <v>20</v>
      </c>
      <c r="D769" t="s">
        <v>11</v>
      </c>
    </row>
    <row r="770" spans="1:4" x14ac:dyDescent="0.2">
      <c r="A770">
        <v>115305</v>
      </c>
      <c r="B770" t="s">
        <v>17</v>
      </c>
      <c r="C770" t="s">
        <v>20</v>
      </c>
      <c r="D770" t="s">
        <v>18</v>
      </c>
    </row>
    <row r="771" spans="1:4" x14ac:dyDescent="0.2">
      <c r="A771">
        <v>167689</v>
      </c>
      <c r="B771" t="s">
        <v>22</v>
      </c>
      <c r="C771" t="s">
        <v>20</v>
      </c>
      <c r="D771" t="s">
        <v>18</v>
      </c>
    </row>
    <row r="772" spans="1:4" x14ac:dyDescent="0.2">
      <c r="A772">
        <v>110451</v>
      </c>
      <c r="B772" t="s">
        <v>22</v>
      </c>
      <c r="C772" t="s">
        <v>24</v>
      </c>
      <c r="D772" t="s">
        <v>11</v>
      </c>
    </row>
    <row r="773" spans="1:4" x14ac:dyDescent="0.2">
      <c r="A773">
        <v>189534</v>
      </c>
      <c r="B773" t="s">
        <v>17</v>
      </c>
      <c r="C773" t="s">
        <v>20</v>
      </c>
      <c r="D773" t="s">
        <v>11</v>
      </c>
    </row>
    <row r="774" spans="1:4" x14ac:dyDescent="0.2">
      <c r="A774">
        <v>153881</v>
      </c>
      <c r="B774" t="s">
        <v>22</v>
      </c>
      <c r="C774" t="s">
        <v>14</v>
      </c>
      <c r="D774" t="s">
        <v>11</v>
      </c>
    </row>
    <row r="775" spans="1:4" x14ac:dyDescent="0.2">
      <c r="A775">
        <v>112314</v>
      </c>
      <c r="B775" t="s">
        <v>17</v>
      </c>
      <c r="C775" t="s">
        <v>24</v>
      </c>
      <c r="D775" t="s">
        <v>11</v>
      </c>
    </row>
    <row r="776" spans="1:4" x14ac:dyDescent="0.2">
      <c r="A776">
        <v>134948</v>
      </c>
      <c r="B776" t="s">
        <v>10</v>
      </c>
      <c r="C776" t="s">
        <v>24</v>
      </c>
      <c r="D776" t="s">
        <v>11</v>
      </c>
    </row>
    <row r="777" spans="1:4" x14ac:dyDescent="0.2">
      <c r="A777">
        <v>152468</v>
      </c>
      <c r="B777" t="s">
        <v>10</v>
      </c>
      <c r="C777" t="s">
        <v>24</v>
      </c>
      <c r="D777" t="s">
        <v>11</v>
      </c>
    </row>
    <row r="778" spans="1:4" x14ac:dyDescent="0.2">
      <c r="A778">
        <v>148553</v>
      </c>
      <c r="B778" t="s">
        <v>22</v>
      </c>
      <c r="C778" t="s">
        <v>24</v>
      </c>
      <c r="D778" t="s">
        <v>11</v>
      </c>
    </row>
    <row r="779" spans="1:4" x14ac:dyDescent="0.2">
      <c r="A779">
        <v>121643</v>
      </c>
      <c r="B779" t="s">
        <v>10</v>
      </c>
      <c r="C779" t="s">
        <v>24</v>
      </c>
      <c r="D779" t="s">
        <v>18</v>
      </c>
    </row>
    <row r="780" spans="1:4" x14ac:dyDescent="0.2">
      <c r="A780">
        <v>167351</v>
      </c>
      <c r="B780" t="s">
        <v>10</v>
      </c>
      <c r="C780" t="s">
        <v>20</v>
      </c>
      <c r="D780" t="s">
        <v>11</v>
      </c>
    </row>
    <row r="781" spans="1:4" x14ac:dyDescent="0.2">
      <c r="A781">
        <v>199976</v>
      </c>
      <c r="B781" t="s">
        <v>22</v>
      </c>
      <c r="C781" t="s">
        <v>14</v>
      </c>
      <c r="D781" t="s">
        <v>11</v>
      </c>
    </row>
    <row r="782" spans="1:4" x14ac:dyDescent="0.2">
      <c r="A782">
        <v>172344</v>
      </c>
      <c r="B782" t="s">
        <v>17</v>
      </c>
      <c r="C782" t="s">
        <v>14</v>
      </c>
      <c r="D782" t="s">
        <v>18</v>
      </c>
    </row>
    <row r="783" spans="1:4" x14ac:dyDescent="0.2">
      <c r="A783">
        <v>157499</v>
      </c>
      <c r="B783" t="s">
        <v>10</v>
      </c>
      <c r="C783" t="s">
        <v>20</v>
      </c>
      <c r="D783" t="s">
        <v>11</v>
      </c>
    </row>
    <row r="784" spans="1:4" x14ac:dyDescent="0.2">
      <c r="A784">
        <v>173866</v>
      </c>
      <c r="B784" t="s">
        <v>10</v>
      </c>
      <c r="C784" t="s">
        <v>24</v>
      </c>
      <c r="D784" t="s">
        <v>18</v>
      </c>
    </row>
    <row r="785" spans="1:4" x14ac:dyDescent="0.2">
      <c r="A785">
        <v>134989</v>
      </c>
      <c r="B785" t="s">
        <v>22</v>
      </c>
      <c r="C785" t="s">
        <v>14</v>
      </c>
      <c r="D785" t="s">
        <v>18</v>
      </c>
    </row>
    <row r="786" spans="1:4" x14ac:dyDescent="0.2">
      <c r="A786">
        <v>162691</v>
      </c>
      <c r="B786" t="s">
        <v>22</v>
      </c>
      <c r="C786" t="s">
        <v>14</v>
      </c>
      <c r="D786" t="s">
        <v>11</v>
      </c>
    </row>
    <row r="787" spans="1:4" x14ac:dyDescent="0.2">
      <c r="A787">
        <v>187196</v>
      </c>
      <c r="B787" t="s">
        <v>17</v>
      </c>
      <c r="C787" t="s">
        <v>24</v>
      </c>
      <c r="D787" t="s">
        <v>18</v>
      </c>
    </row>
    <row r="788" spans="1:4" x14ac:dyDescent="0.2">
      <c r="A788">
        <v>121378</v>
      </c>
      <c r="B788" t="s">
        <v>17</v>
      </c>
      <c r="C788" t="s">
        <v>20</v>
      </c>
      <c r="D788" t="s">
        <v>18</v>
      </c>
    </row>
    <row r="789" spans="1:4" x14ac:dyDescent="0.2">
      <c r="A789">
        <v>142482</v>
      </c>
      <c r="B789" t="s">
        <v>17</v>
      </c>
      <c r="C789" t="s">
        <v>20</v>
      </c>
      <c r="D789" t="s">
        <v>11</v>
      </c>
    </row>
    <row r="790" spans="1:4" x14ac:dyDescent="0.2">
      <c r="A790">
        <v>176723</v>
      </c>
      <c r="B790" t="s">
        <v>10</v>
      </c>
      <c r="C790" t="s">
        <v>20</v>
      </c>
      <c r="D790" t="s">
        <v>18</v>
      </c>
    </row>
    <row r="791" spans="1:4" x14ac:dyDescent="0.2">
      <c r="A791">
        <v>132654</v>
      </c>
      <c r="B791" t="s">
        <v>22</v>
      </c>
      <c r="C791" t="s">
        <v>24</v>
      </c>
      <c r="D791" t="s">
        <v>18</v>
      </c>
    </row>
    <row r="792" spans="1:4" x14ac:dyDescent="0.2">
      <c r="A792">
        <v>169453</v>
      </c>
      <c r="B792" t="s">
        <v>10</v>
      </c>
      <c r="C792" t="s">
        <v>20</v>
      </c>
      <c r="D792" t="s">
        <v>18</v>
      </c>
    </row>
    <row r="793" spans="1:4" x14ac:dyDescent="0.2">
      <c r="A793">
        <v>165328</v>
      </c>
      <c r="B793" t="s">
        <v>17</v>
      </c>
      <c r="C793" t="s">
        <v>24</v>
      </c>
      <c r="D793" t="s">
        <v>11</v>
      </c>
    </row>
    <row r="794" spans="1:4" x14ac:dyDescent="0.2">
      <c r="A794">
        <v>189998</v>
      </c>
      <c r="B794" t="s">
        <v>10</v>
      </c>
      <c r="C794" t="s">
        <v>20</v>
      </c>
      <c r="D794" t="s">
        <v>11</v>
      </c>
    </row>
    <row r="795" spans="1:4" x14ac:dyDescent="0.2">
      <c r="A795">
        <v>171481</v>
      </c>
      <c r="B795" t="s">
        <v>10</v>
      </c>
      <c r="C795" t="s">
        <v>14</v>
      </c>
      <c r="D795" t="s">
        <v>18</v>
      </c>
    </row>
    <row r="796" spans="1:4" x14ac:dyDescent="0.2">
      <c r="A796">
        <v>166674</v>
      </c>
      <c r="B796" t="s">
        <v>17</v>
      </c>
      <c r="C796" t="s">
        <v>14</v>
      </c>
      <c r="D796" t="s">
        <v>18</v>
      </c>
    </row>
    <row r="797" spans="1:4" x14ac:dyDescent="0.2">
      <c r="A797">
        <v>110674</v>
      </c>
      <c r="B797" t="s">
        <v>17</v>
      </c>
      <c r="C797" t="s">
        <v>20</v>
      </c>
      <c r="D797" t="s">
        <v>11</v>
      </c>
    </row>
    <row r="798" spans="1:4" x14ac:dyDescent="0.2">
      <c r="A798">
        <v>110417</v>
      </c>
      <c r="B798" t="s">
        <v>17</v>
      </c>
      <c r="C798" t="s">
        <v>14</v>
      </c>
      <c r="D798" t="s">
        <v>18</v>
      </c>
    </row>
    <row r="799" spans="1:4" x14ac:dyDescent="0.2">
      <c r="A799">
        <v>166698</v>
      </c>
      <c r="B799" t="s">
        <v>17</v>
      </c>
      <c r="C799" t="s">
        <v>14</v>
      </c>
      <c r="D799" t="s">
        <v>11</v>
      </c>
    </row>
    <row r="800" spans="1:4" x14ac:dyDescent="0.2">
      <c r="A800">
        <v>179623</v>
      </c>
      <c r="B800" t="s">
        <v>22</v>
      </c>
      <c r="C800" t="s">
        <v>24</v>
      </c>
      <c r="D800" t="s">
        <v>18</v>
      </c>
    </row>
    <row r="801" spans="1:4" x14ac:dyDescent="0.2">
      <c r="A801">
        <v>196326</v>
      </c>
      <c r="B801" t="s">
        <v>10</v>
      </c>
      <c r="C801" t="s">
        <v>24</v>
      </c>
      <c r="D801" t="s">
        <v>18</v>
      </c>
    </row>
    <row r="802" spans="1:4" x14ac:dyDescent="0.2">
      <c r="A802">
        <v>175453</v>
      </c>
      <c r="B802" t="s">
        <v>17</v>
      </c>
      <c r="C802" t="s">
        <v>20</v>
      </c>
      <c r="D802" t="s">
        <v>18</v>
      </c>
    </row>
    <row r="803" spans="1:4" x14ac:dyDescent="0.2">
      <c r="A803">
        <v>153183</v>
      </c>
      <c r="B803" t="s">
        <v>17</v>
      </c>
      <c r="C803" t="s">
        <v>14</v>
      </c>
      <c r="D803" t="s">
        <v>11</v>
      </c>
    </row>
    <row r="804" spans="1:4" x14ac:dyDescent="0.2">
      <c r="A804">
        <v>195160</v>
      </c>
      <c r="B804" t="s">
        <v>22</v>
      </c>
      <c r="C804" t="s">
        <v>24</v>
      </c>
      <c r="D804" t="s">
        <v>11</v>
      </c>
    </row>
    <row r="805" spans="1:4" x14ac:dyDescent="0.2">
      <c r="A805">
        <v>116201</v>
      </c>
      <c r="B805" t="s">
        <v>10</v>
      </c>
      <c r="C805" t="s">
        <v>14</v>
      </c>
      <c r="D805" t="s">
        <v>11</v>
      </c>
    </row>
    <row r="806" spans="1:4" x14ac:dyDescent="0.2">
      <c r="A806">
        <v>188566</v>
      </c>
      <c r="B806" t="s">
        <v>10</v>
      </c>
      <c r="C806" t="s">
        <v>20</v>
      </c>
      <c r="D806" t="s">
        <v>11</v>
      </c>
    </row>
    <row r="807" spans="1:4" x14ac:dyDescent="0.2">
      <c r="A807">
        <v>151362</v>
      </c>
      <c r="B807" t="s">
        <v>22</v>
      </c>
      <c r="C807" t="s">
        <v>24</v>
      </c>
      <c r="D807" t="s">
        <v>11</v>
      </c>
    </row>
    <row r="808" spans="1:4" x14ac:dyDescent="0.2">
      <c r="A808">
        <v>189612</v>
      </c>
      <c r="B808" t="s">
        <v>17</v>
      </c>
      <c r="C808" t="s">
        <v>24</v>
      </c>
      <c r="D808" t="s">
        <v>18</v>
      </c>
    </row>
    <row r="809" spans="1:4" x14ac:dyDescent="0.2">
      <c r="A809">
        <v>144433</v>
      </c>
      <c r="B809" t="s">
        <v>22</v>
      </c>
      <c r="C809" t="s">
        <v>20</v>
      </c>
      <c r="D809" t="s">
        <v>11</v>
      </c>
    </row>
    <row r="810" spans="1:4" x14ac:dyDescent="0.2">
      <c r="A810">
        <v>157449</v>
      </c>
      <c r="B810" t="s">
        <v>10</v>
      </c>
      <c r="C810" t="s">
        <v>24</v>
      </c>
      <c r="D810" t="s">
        <v>11</v>
      </c>
    </row>
    <row r="811" spans="1:4" x14ac:dyDescent="0.2">
      <c r="A811">
        <v>165623</v>
      </c>
      <c r="B811" t="s">
        <v>17</v>
      </c>
      <c r="C811" t="s">
        <v>20</v>
      </c>
      <c r="D811" t="s">
        <v>18</v>
      </c>
    </row>
    <row r="812" spans="1:4" x14ac:dyDescent="0.2">
      <c r="A812">
        <v>137925</v>
      </c>
      <c r="B812" t="s">
        <v>17</v>
      </c>
      <c r="C812" t="s">
        <v>20</v>
      </c>
      <c r="D812" t="s">
        <v>11</v>
      </c>
    </row>
    <row r="813" spans="1:4" x14ac:dyDescent="0.2">
      <c r="A813">
        <v>115111</v>
      </c>
      <c r="B813" t="s">
        <v>10</v>
      </c>
      <c r="C813" t="s">
        <v>14</v>
      </c>
      <c r="D813" t="s">
        <v>11</v>
      </c>
    </row>
    <row r="814" spans="1:4" x14ac:dyDescent="0.2">
      <c r="A814">
        <v>171502</v>
      </c>
      <c r="B814" t="s">
        <v>22</v>
      </c>
      <c r="C814" t="s">
        <v>24</v>
      </c>
      <c r="D814" t="s">
        <v>18</v>
      </c>
    </row>
    <row r="815" spans="1:4" x14ac:dyDescent="0.2">
      <c r="A815">
        <v>193698</v>
      </c>
      <c r="B815" t="s">
        <v>17</v>
      </c>
      <c r="C815" t="s">
        <v>24</v>
      </c>
      <c r="D815" t="s">
        <v>11</v>
      </c>
    </row>
    <row r="816" spans="1:4" x14ac:dyDescent="0.2">
      <c r="A816">
        <v>151572</v>
      </c>
      <c r="B816" t="s">
        <v>22</v>
      </c>
      <c r="C816" t="s">
        <v>24</v>
      </c>
      <c r="D816" t="s">
        <v>18</v>
      </c>
    </row>
    <row r="817" spans="1:4" x14ac:dyDescent="0.2">
      <c r="A817">
        <v>158886</v>
      </c>
      <c r="B817" t="s">
        <v>17</v>
      </c>
      <c r="C817" t="s">
        <v>20</v>
      </c>
      <c r="D817" t="s">
        <v>18</v>
      </c>
    </row>
    <row r="818" spans="1:4" x14ac:dyDescent="0.2">
      <c r="A818">
        <v>111012</v>
      </c>
      <c r="B818" t="s">
        <v>22</v>
      </c>
      <c r="C818" t="s">
        <v>24</v>
      </c>
      <c r="D818" t="s">
        <v>11</v>
      </c>
    </row>
    <row r="819" spans="1:4" x14ac:dyDescent="0.2">
      <c r="A819">
        <v>143251</v>
      </c>
      <c r="B819" t="s">
        <v>10</v>
      </c>
      <c r="C819" t="s">
        <v>20</v>
      </c>
      <c r="D819" t="s">
        <v>11</v>
      </c>
    </row>
    <row r="820" spans="1:4" x14ac:dyDescent="0.2">
      <c r="A820">
        <v>178611</v>
      </c>
      <c r="B820" t="s">
        <v>10</v>
      </c>
      <c r="C820" t="s">
        <v>24</v>
      </c>
      <c r="D820" t="s">
        <v>11</v>
      </c>
    </row>
    <row r="821" spans="1:4" x14ac:dyDescent="0.2">
      <c r="A821">
        <v>114824</v>
      </c>
      <c r="B821" t="s">
        <v>22</v>
      </c>
      <c r="C821" t="s">
        <v>14</v>
      </c>
      <c r="D821" t="s">
        <v>18</v>
      </c>
    </row>
    <row r="822" spans="1:4" x14ac:dyDescent="0.2">
      <c r="A822">
        <v>168713</v>
      </c>
      <c r="B822" t="s">
        <v>17</v>
      </c>
      <c r="C822" t="s">
        <v>24</v>
      </c>
      <c r="D822" t="s">
        <v>18</v>
      </c>
    </row>
    <row r="823" spans="1:4" x14ac:dyDescent="0.2">
      <c r="A823">
        <v>140868</v>
      </c>
      <c r="B823" t="s">
        <v>22</v>
      </c>
      <c r="C823" t="s">
        <v>24</v>
      </c>
      <c r="D823" t="s">
        <v>11</v>
      </c>
    </row>
    <row r="824" spans="1:4" x14ac:dyDescent="0.2">
      <c r="A824">
        <v>146780</v>
      </c>
      <c r="B824" t="s">
        <v>17</v>
      </c>
      <c r="C824" t="s">
        <v>20</v>
      </c>
      <c r="D824" t="s">
        <v>11</v>
      </c>
    </row>
    <row r="825" spans="1:4" x14ac:dyDescent="0.2">
      <c r="A825">
        <v>172105</v>
      </c>
      <c r="B825" t="s">
        <v>10</v>
      </c>
      <c r="C825" t="s">
        <v>20</v>
      </c>
      <c r="D825" t="s">
        <v>11</v>
      </c>
    </row>
    <row r="826" spans="1:4" x14ac:dyDescent="0.2">
      <c r="A826">
        <v>111455</v>
      </c>
      <c r="B826" t="s">
        <v>17</v>
      </c>
      <c r="C826" t="s">
        <v>20</v>
      </c>
      <c r="D826" t="s">
        <v>18</v>
      </c>
    </row>
    <row r="827" spans="1:4" x14ac:dyDescent="0.2">
      <c r="A827">
        <v>129927</v>
      </c>
      <c r="B827" t="s">
        <v>17</v>
      </c>
      <c r="C827" t="s">
        <v>14</v>
      </c>
      <c r="D827" t="s">
        <v>11</v>
      </c>
    </row>
    <row r="828" spans="1:4" x14ac:dyDescent="0.2">
      <c r="A828">
        <v>139494</v>
      </c>
      <c r="B828" t="s">
        <v>22</v>
      </c>
      <c r="C828" t="s">
        <v>24</v>
      </c>
      <c r="D828" t="s">
        <v>18</v>
      </c>
    </row>
    <row r="829" spans="1:4" x14ac:dyDescent="0.2">
      <c r="A829">
        <v>163982</v>
      </c>
      <c r="B829" t="s">
        <v>17</v>
      </c>
      <c r="C829" t="s">
        <v>24</v>
      </c>
      <c r="D829" t="s">
        <v>18</v>
      </c>
    </row>
    <row r="830" spans="1:4" x14ac:dyDescent="0.2">
      <c r="A830">
        <v>112511</v>
      </c>
      <c r="B830" t="s">
        <v>17</v>
      </c>
      <c r="C830" t="s">
        <v>14</v>
      </c>
      <c r="D830" t="s">
        <v>18</v>
      </c>
    </row>
    <row r="831" spans="1:4" x14ac:dyDescent="0.2">
      <c r="A831">
        <v>146982</v>
      </c>
      <c r="B831" t="s">
        <v>17</v>
      </c>
      <c r="C831" t="s">
        <v>14</v>
      </c>
      <c r="D831" t="s">
        <v>18</v>
      </c>
    </row>
    <row r="832" spans="1:4" x14ac:dyDescent="0.2">
      <c r="A832">
        <v>171517</v>
      </c>
      <c r="B832" t="s">
        <v>22</v>
      </c>
      <c r="C832" t="s">
        <v>24</v>
      </c>
      <c r="D832" t="s">
        <v>11</v>
      </c>
    </row>
    <row r="833" spans="1:4" x14ac:dyDescent="0.2">
      <c r="A833">
        <v>181233</v>
      </c>
      <c r="B833" t="s">
        <v>22</v>
      </c>
      <c r="C833" t="s">
        <v>14</v>
      </c>
      <c r="D833" t="s">
        <v>11</v>
      </c>
    </row>
    <row r="834" spans="1:4" x14ac:dyDescent="0.2">
      <c r="A834">
        <v>147559</v>
      </c>
      <c r="B834" t="s">
        <v>10</v>
      </c>
      <c r="C834" t="s">
        <v>14</v>
      </c>
      <c r="D834" t="s">
        <v>11</v>
      </c>
    </row>
    <row r="835" spans="1:4" x14ac:dyDescent="0.2">
      <c r="A835">
        <v>158151</v>
      </c>
      <c r="B835" t="s">
        <v>10</v>
      </c>
      <c r="C835" t="s">
        <v>24</v>
      </c>
      <c r="D835" t="s">
        <v>11</v>
      </c>
    </row>
    <row r="836" spans="1:4" x14ac:dyDescent="0.2">
      <c r="A836">
        <v>199194</v>
      </c>
      <c r="B836" t="s">
        <v>22</v>
      </c>
      <c r="C836" t="s">
        <v>24</v>
      </c>
      <c r="D836" t="s">
        <v>11</v>
      </c>
    </row>
    <row r="837" spans="1:4" x14ac:dyDescent="0.2">
      <c r="A837">
        <v>187447</v>
      </c>
      <c r="B837" t="s">
        <v>22</v>
      </c>
      <c r="C837" t="s">
        <v>24</v>
      </c>
      <c r="D837" t="s">
        <v>18</v>
      </c>
    </row>
    <row r="838" spans="1:4" x14ac:dyDescent="0.2">
      <c r="A838">
        <v>175725</v>
      </c>
      <c r="B838" t="s">
        <v>17</v>
      </c>
      <c r="C838" t="s">
        <v>20</v>
      </c>
      <c r="D838" t="s">
        <v>18</v>
      </c>
    </row>
    <row r="839" spans="1:4" x14ac:dyDescent="0.2">
      <c r="A839">
        <v>131107</v>
      </c>
      <c r="B839" t="s">
        <v>10</v>
      </c>
      <c r="C839" t="s">
        <v>14</v>
      </c>
      <c r="D839" t="s">
        <v>18</v>
      </c>
    </row>
    <row r="840" spans="1:4" x14ac:dyDescent="0.2">
      <c r="A840">
        <v>186541</v>
      </c>
      <c r="B840" t="s">
        <v>10</v>
      </c>
      <c r="C840" t="s">
        <v>14</v>
      </c>
      <c r="D840" t="s">
        <v>11</v>
      </c>
    </row>
    <row r="841" spans="1:4" x14ac:dyDescent="0.2">
      <c r="A841">
        <v>192046</v>
      </c>
      <c r="B841" t="s">
        <v>22</v>
      </c>
      <c r="C841" t="s">
        <v>24</v>
      </c>
      <c r="D841" t="s">
        <v>11</v>
      </c>
    </row>
    <row r="842" spans="1:4" x14ac:dyDescent="0.2">
      <c r="A842">
        <v>147306</v>
      </c>
      <c r="B842" t="s">
        <v>10</v>
      </c>
      <c r="C842" t="s">
        <v>14</v>
      </c>
      <c r="D842" t="s">
        <v>18</v>
      </c>
    </row>
    <row r="843" spans="1:4" x14ac:dyDescent="0.2">
      <c r="A843">
        <v>145684</v>
      </c>
      <c r="B843" t="s">
        <v>22</v>
      </c>
      <c r="C843" t="s">
        <v>20</v>
      </c>
      <c r="D843" t="s">
        <v>11</v>
      </c>
    </row>
    <row r="844" spans="1:4" x14ac:dyDescent="0.2">
      <c r="A844">
        <v>118867</v>
      </c>
      <c r="B844" t="s">
        <v>17</v>
      </c>
      <c r="C844" t="s">
        <v>20</v>
      </c>
      <c r="D844" t="s">
        <v>18</v>
      </c>
    </row>
    <row r="845" spans="1:4" x14ac:dyDescent="0.2">
      <c r="A845">
        <v>143823</v>
      </c>
      <c r="B845" t="s">
        <v>17</v>
      </c>
      <c r="C845" t="s">
        <v>20</v>
      </c>
      <c r="D845" t="s">
        <v>18</v>
      </c>
    </row>
    <row r="846" spans="1:4" x14ac:dyDescent="0.2">
      <c r="A846">
        <v>194433</v>
      </c>
      <c r="B846" t="s">
        <v>10</v>
      </c>
      <c r="C846" t="s">
        <v>24</v>
      </c>
      <c r="D846" t="s">
        <v>11</v>
      </c>
    </row>
    <row r="847" spans="1:4" x14ac:dyDescent="0.2">
      <c r="A847">
        <v>180551</v>
      </c>
      <c r="B847" t="s">
        <v>17</v>
      </c>
      <c r="C847" t="s">
        <v>24</v>
      </c>
      <c r="D847" t="s">
        <v>11</v>
      </c>
    </row>
    <row r="848" spans="1:4" x14ac:dyDescent="0.2">
      <c r="A848">
        <v>180029</v>
      </c>
      <c r="B848" t="s">
        <v>10</v>
      </c>
      <c r="C848" t="s">
        <v>14</v>
      </c>
      <c r="D848" t="s">
        <v>18</v>
      </c>
    </row>
    <row r="849" spans="1:4" x14ac:dyDescent="0.2">
      <c r="A849">
        <v>158671</v>
      </c>
      <c r="B849" t="s">
        <v>17</v>
      </c>
      <c r="C849" t="s">
        <v>24</v>
      </c>
      <c r="D849" t="s">
        <v>18</v>
      </c>
    </row>
    <row r="850" spans="1:4" x14ac:dyDescent="0.2">
      <c r="A850">
        <v>196932</v>
      </c>
      <c r="B850" t="s">
        <v>10</v>
      </c>
      <c r="C850" t="s">
        <v>24</v>
      </c>
      <c r="D850" t="s">
        <v>18</v>
      </c>
    </row>
    <row r="851" spans="1:4" x14ac:dyDescent="0.2">
      <c r="A851">
        <v>188730</v>
      </c>
      <c r="B851" t="s">
        <v>10</v>
      </c>
      <c r="C851" t="s">
        <v>20</v>
      </c>
      <c r="D851" t="s">
        <v>18</v>
      </c>
    </row>
    <row r="852" spans="1:4" x14ac:dyDescent="0.2">
      <c r="A852">
        <v>189853</v>
      </c>
      <c r="B852" t="s">
        <v>17</v>
      </c>
      <c r="C852" t="s">
        <v>24</v>
      </c>
      <c r="D852" t="s">
        <v>11</v>
      </c>
    </row>
    <row r="853" spans="1:4" x14ac:dyDescent="0.2">
      <c r="A853">
        <v>169236</v>
      </c>
      <c r="B853" t="s">
        <v>17</v>
      </c>
      <c r="C853" t="s">
        <v>24</v>
      </c>
      <c r="D853" t="s">
        <v>11</v>
      </c>
    </row>
    <row r="854" spans="1:4" x14ac:dyDescent="0.2">
      <c r="A854">
        <v>157660</v>
      </c>
      <c r="B854" t="s">
        <v>17</v>
      </c>
      <c r="C854" t="s">
        <v>14</v>
      </c>
      <c r="D854" t="s">
        <v>18</v>
      </c>
    </row>
    <row r="855" spans="1:4" x14ac:dyDescent="0.2">
      <c r="A855">
        <v>119645</v>
      </c>
      <c r="B855" t="s">
        <v>17</v>
      </c>
      <c r="C855" t="s">
        <v>24</v>
      </c>
      <c r="D855" t="s">
        <v>18</v>
      </c>
    </row>
    <row r="856" spans="1:4" x14ac:dyDescent="0.2">
      <c r="A856">
        <v>142356</v>
      </c>
      <c r="B856" t="s">
        <v>10</v>
      </c>
      <c r="C856" t="s">
        <v>24</v>
      </c>
      <c r="D856" t="s">
        <v>18</v>
      </c>
    </row>
    <row r="857" spans="1:4" x14ac:dyDescent="0.2">
      <c r="A857">
        <v>122078</v>
      </c>
      <c r="B857" t="s">
        <v>17</v>
      </c>
      <c r="C857" t="s">
        <v>20</v>
      </c>
      <c r="D857" t="s">
        <v>18</v>
      </c>
    </row>
    <row r="858" spans="1:4" x14ac:dyDescent="0.2">
      <c r="A858">
        <v>161248</v>
      </c>
      <c r="B858" t="s">
        <v>17</v>
      </c>
      <c r="C858" t="s">
        <v>14</v>
      </c>
      <c r="D858" t="s">
        <v>18</v>
      </c>
    </row>
    <row r="859" spans="1:4" x14ac:dyDescent="0.2">
      <c r="A859">
        <v>171394</v>
      </c>
      <c r="B859" t="s">
        <v>22</v>
      </c>
      <c r="C859" t="s">
        <v>14</v>
      </c>
      <c r="D859" t="s">
        <v>11</v>
      </c>
    </row>
    <row r="860" spans="1:4" x14ac:dyDescent="0.2">
      <c r="A860">
        <v>151362</v>
      </c>
      <c r="B860" t="s">
        <v>10</v>
      </c>
      <c r="C860" t="s">
        <v>20</v>
      </c>
      <c r="D860" t="s">
        <v>18</v>
      </c>
    </row>
    <row r="861" spans="1:4" x14ac:dyDescent="0.2">
      <c r="A861">
        <v>171225</v>
      </c>
      <c r="B861" t="s">
        <v>10</v>
      </c>
      <c r="C861" t="s">
        <v>20</v>
      </c>
      <c r="D861" t="s">
        <v>18</v>
      </c>
    </row>
    <row r="862" spans="1:4" x14ac:dyDescent="0.2">
      <c r="A862">
        <v>147968</v>
      </c>
      <c r="B862" t="s">
        <v>22</v>
      </c>
      <c r="C862" t="s">
        <v>14</v>
      </c>
      <c r="D862" t="s">
        <v>18</v>
      </c>
    </row>
    <row r="863" spans="1:4" x14ac:dyDescent="0.2">
      <c r="A863">
        <v>135533</v>
      </c>
      <c r="B863" t="s">
        <v>17</v>
      </c>
      <c r="C863" t="s">
        <v>14</v>
      </c>
      <c r="D863" t="s">
        <v>18</v>
      </c>
    </row>
    <row r="864" spans="1:4" x14ac:dyDescent="0.2">
      <c r="A864">
        <v>175517</v>
      </c>
      <c r="B864" t="s">
        <v>10</v>
      </c>
      <c r="C864" t="s">
        <v>14</v>
      </c>
      <c r="D864" t="s">
        <v>18</v>
      </c>
    </row>
    <row r="865" spans="1:4" x14ac:dyDescent="0.2">
      <c r="A865">
        <v>194339</v>
      </c>
      <c r="B865" t="s">
        <v>10</v>
      </c>
      <c r="C865" t="s">
        <v>20</v>
      </c>
      <c r="D865" t="s">
        <v>11</v>
      </c>
    </row>
    <row r="866" spans="1:4" x14ac:dyDescent="0.2">
      <c r="A866">
        <v>181234</v>
      </c>
      <c r="B866" t="s">
        <v>17</v>
      </c>
      <c r="C866" t="s">
        <v>20</v>
      </c>
      <c r="D866" t="s">
        <v>18</v>
      </c>
    </row>
    <row r="867" spans="1:4" x14ac:dyDescent="0.2">
      <c r="A867">
        <v>128647</v>
      </c>
      <c r="B867" t="s">
        <v>22</v>
      </c>
      <c r="C867" t="s">
        <v>24</v>
      </c>
      <c r="D867" t="s">
        <v>11</v>
      </c>
    </row>
    <row r="868" spans="1:4" x14ac:dyDescent="0.2">
      <c r="A868">
        <v>178865</v>
      </c>
      <c r="B868" t="s">
        <v>17</v>
      </c>
      <c r="C868" t="s">
        <v>20</v>
      </c>
      <c r="D868" t="s">
        <v>11</v>
      </c>
    </row>
    <row r="869" spans="1:4" x14ac:dyDescent="0.2">
      <c r="A869">
        <v>131452</v>
      </c>
      <c r="B869" t="s">
        <v>10</v>
      </c>
      <c r="C869" t="s">
        <v>20</v>
      </c>
      <c r="D869" t="s">
        <v>18</v>
      </c>
    </row>
    <row r="870" spans="1:4" x14ac:dyDescent="0.2">
      <c r="A870">
        <v>146158</v>
      </c>
      <c r="B870" t="s">
        <v>17</v>
      </c>
      <c r="C870" t="s">
        <v>24</v>
      </c>
      <c r="D870" t="s">
        <v>18</v>
      </c>
    </row>
    <row r="871" spans="1:4" x14ac:dyDescent="0.2">
      <c r="A871">
        <v>144475</v>
      </c>
      <c r="B871" t="s">
        <v>10</v>
      </c>
      <c r="C871" t="s">
        <v>14</v>
      </c>
      <c r="D871" t="s">
        <v>18</v>
      </c>
    </row>
    <row r="872" spans="1:4" x14ac:dyDescent="0.2">
      <c r="A872">
        <v>120176</v>
      </c>
      <c r="B872" t="s">
        <v>22</v>
      </c>
      <c r="C872" t="s">
        <v>14</v>
      </c>
      <c r="D872" t="s">
        <v>11</v>
      </c>
    </row>
    <row r="873" spans="1:4" x14ac:dyDescent="0.2">
      <c r="A873">
        <v>156007</v>
      </c>
      <c r="B873" t="s">
        <v>10</v>
      </c>
      <c r="C873" t="s">
        <v>14</v>
      </c>
      <c r="D873" t="s">
        <v>11</v>
      </c>
    </row>
    <row r="874" spans="1:4" x14ac:dyDescent="0.2">
      <c r="A874">
        <v>138628</v>
      </c>
      <c r="B874" t="s">
        <v>10</v>
      </c>
      <c r="C874" t="s">
        <v>24</v>
      </c>
      <c r="D874" t="s">
        <v>18</v>
      </c>
    </row>
    <row r="875" spans="1:4" x14ac:dyDescent="0.2">
      <c r="A875">
        <v>178302</v>
      </c>
      <c r="B875" t="s">
        <v>10</v>
      </c>
      <c r="C875" t="s">
        <v>14</v>
      </c>
      <c r="D875" t="s">
        <v>18</v>
      </c>
    </row>
    <row r="876" spans="1:4" x14ac:dyDescent="0.2">
      <c r="A876">
        <v>144073</v>
      </c>
      <c r="B876" t="s">
        <v>22</v>
      </c>
      <c r="C876" t="s">
        <v>14</v>
      </c>
      <c r="D876" t="s">
        <v>18</v>
      </c>
    </row>
    <row r="877" spans="1:4" x14ac:dyDescent="0.2">
      <c r="A877">
        <v>186997</v>
      </c>
      <c r="B877" t="s">
        <v>10</v>
      </c>
      <c r="C877" t="s">
        <v>14</v>
      </c>
      <c r="D877" t="s">
        <v>18</v>
      </c>
    </row>
    <row r="878" spans="1:4" x14ac:dyDescent="0.2">
      <c r="A878">
        <v>173396</v>
      </c>
      <c r="B878" t="s">
        <v>17</v>
      </c>
      <c r="C878" t="s">
        <v>14</v>
      </c>
      <c r="D878" t="s">
        <v>18</v>
      </c>
    </row>
    <row r="879" spans="1:4" x14ac:dyDescent="0.2">
      <c r="A879">
        <v>115038</v>
      </c>
      <c r="B879" t="s">
        <v>17</v>
      </c>
      <c r="C879" t="s">
        <v>14</v>
      </c>
      <c r="D879" t="s">
        <v>18</v>
      </c>
    </row>
    <row r="880" spans="1:4" x14ac:dyDescent="0.2">
      <c r="A880">
        <v>151967</v>
      </c>
      <c r="B880" t="s">
        <v>22</v>
      </c>
      <c r="C880" t="s">
        <v>14</v>
      </c>
      <c r="D880" t="s">
        <v>18</v>
      </c>
    </row>
    <row r="881" spans="1:4" x14ac:dyDescent="0.2">
      <c r="A881">
        <v>170937</v>
      </c>
      <c r="B881" t="s">
        <v>22</v>
      </c>
      <c r="C881" t="s">
        <v>24</v>
      </c>
      <c r="D881" t="s">
        <v>11</v>
      </c>
    </row>
    <row r="882" spans="1:4" x14ac:dyDescent="0.2">
      <c r="A882">
        <v>176947</v>
      </c>
      <c r="B882" t="s">
        <v>17</v>
      </c>
      <c r="C882" t="s">
        <v>20</v>
      </c>
      <c r="D882" t="s">
        <v>11</v>
      </c>
    </row>
    <row r="883" spans="1:4" x14ac:dyDescent="0.2">
      <c r="A883">
        <v>181067</v>
      </c>
      <c r="B883" t="s">
        <v>17</v>
      </c>
      <c r="C883" t="s">
        <v>24</v>
      </c>
      <c r="D883" t="s">
        <v>11</v>
      </c>
    </row>
    <row r="884" spans="1:4" x14ac:dyDescent="0.2">
      <c r="A884">
        <v>192831</v>
      </c>
      <c r="B884" t="s">
        <v>10</v>
      </c>
      <c r="C884" t="s">
        <v>14</v>
      </c>
      <c r="D884" t="s">
        <v>18</v>
      </c>
    </row>
    <row r="885" spans="1:4" x14ac:dyDescent="0.2">
      <c r="A885">
        <v>119838</v>
      </c>
      <c r="B885" t="s">
        <v>10</v>
      </c>
      <c r="C885" t="s">
        <v>20</v>
      </c>
      <c r="D885" t="s">
        <v>11</v>
      </c>
    </row>
    <row r="886" spans="1:4" x14ac:dyDescent="0.2">
      <c r="A886">
        <v>151923</v>
      </c>
      <c r="B886" t="s">
        <v>10</v>
      </c>
      <c r="C886" t="s">
        <v>24</v>
      </c>
      <c r="D886" t="s">
        <v>18</v>
      </c>
    </row>
    <row r="887" spans="1:4" x14ac:dyDescent="0.2">
      <c r="A887">
        <v>186652</v>
      </c>
      <c r="B887" t="s">
        <v>17</v>
      </c>
      <c r="C887" t="s">
        <v>14</v>
      </c>
      <c r="D887" t="s">
        <v>18</v>
      </c>
    </row>
    <row r="888" spans="1:4" x14ac:dyDescent="0.2">
      <c r="A888">
        <v>169576</v>
      </c>
      <c r="B888" t="s">
        <v>10</v>
      </c>
      <c r="C888" t="s">
        <v>14</v>
      </c>
      <c r="D888" t="s">
        <v>18</v>
      </c>
    </row>
    <row r="889" spans="1:4" x14ac:dyDescent="0.2">
      <c r="A889">
        <v>180911</v>
      </c>
      <c r="B889" t="s">
        <v>17</v>
      </c>
      <c r="C889" t="s">
        <v>20</v>
      </c>
      <c r="D889" t="s">
        <v>18</v>
      </c>
    </row>
    <row r="890" spans="1:4" x14ac:dyDescent="0.2">
      <c r="A890">
        <v>133294</v>
      </c>
      <c r="B890" t="s">
        <v>22</v>
      </c>
      <c r="C890" t="s">
        <v>24</v>
      </c>
      <c r="D890" t="s">
        <v>11</v>
      </c>
    </row>
    <row r="891" spans="1:4" x14ac:dyDescent="0.2">
      <c r="A891">
        <v>135689</v>
      </c>
      <c r="B891" t="s">
        <v>17</v>
      </c>
      <c r="C891" t="s">
        <v>20</v>
      </c>
      <c r="D891" t="s">
        <v>18</v>
      </c>
    </row>
    <row r="892" spans="1:4" x14ac:dyDescent="0.2">
      <c r="A892">
        <v>190951</v>
      </c>
      <c r="B892" t="s">
        <v>10</v>
      </c>
      <c r="C892" t="s">
        <v>20</v>
      </c>
      <c r="D892" t="s">
        <v>11</v>
      </c>
    </row>
    <row r="893" spans="1:4" x14ac:dyDescent="0.2">
      <c r="A893">
        <v>163002</v>
      </c>
      <c r="B893" t="s">
        <v>22</v>
      </c>
      <c r="C893" t="s">
        <v>14</v>
      </c>
      <c r="D893" t="s">
        <v>11</v>
      </c>
    </row>
    <row r="894" spans="1:4" x14ac:dyDescent="0.2">
      <c r="A894">
        <v>190010</v>
      </c>
      <c r="B894" t="s">
        <v>10</v>
      </c>
      <c r="C894" t="s">
        <v>14</v>
      </c>
      <c r="D894" t="s">
        <v>11</v>
      </c>
    </row>
    <row r="895" spans="1:4" x14ac:dyDescent="0.2">
      <c r="A895">
        <v>177516</v>
      </c>
      <c r="B895" t="s">
        <v>10</v>
      </c>
      <c r="C895" t="s">
        <v>24</v>
      </c>
      <c r="D895" t="s">
        <v>18</v>
      </c>
    </row>
    <row r="896" spans="1:4" x14ac:dyDescent="0.2">
      <c r="A896">
        <v>113847</v>
      </c>
      <c r="B896" t="s">
        <v>22</v>
      </c>
      <c r="C896" t="s">
        <v>24</v>
      </c>
      <c r="D896" t="s">
        <v>11</v>
      </c>
    </row>
    <row r="897" spans="1:4" x14ac:dyDescent="0.2">
      <c r="A897">
        <v>114370</v>
      </c>
      <c r="B897" t="s">
        <v>10</v>
      </c>
      <c r="C897" t="s">
        <v>14</v>
      </c>
      <c r="D897" t="s">
        <v>11</v>
      </c>
    </row>
    <row r="898" spans="1:4" x14ac:dyDescent="0.2">
      <c r="A898">
        <v>154002</v>
      </c>
      <c r="B898" t="s">
        <v>10</v>
      </c>
      <c r="C898" t="s">
        <v>24</v>
      </c>
      <c r="D898" t="s">
        <v>11</v>
      </c>
    </row>
    <row r="899" spans="1:4" x14ac:dyDescent="0.2">
      <c r="A899">
        <v>125057</v>
      </c>
      <c r="B899" t="s">
        <v>17</v>
      </c>
      <c r="C899" t="s">
        <v>24</v>
      </c>
      <c r="D899" t="s">
        <v>18</v>
      </c>
    </row>
    <row r="900" spans="1:4" x14ac:dyDescent="0.2">
      <c r="A900">
        <v>159070</v>
      </c>
      <c r="B900" t="s">
        <v>17</v>
      </c>
      <c r="C900" t="s">
        <v>20</v>
      </c>
      <c r="D900" t="s">
        <v>18</v>
      </c>
    </row>
    <row r="901" spans="1:4" x14ac:dyDescent="0.2">
      <c r="A901">
        <v>167705</v>
      </c>
      <c r="B901" t="s">
        <v>22</v>
      </c>
      <c r="C901" t="s">
        <v>20</v>
      </c>
      <c r="D901" t="s">
        <v>18</v>
      </c>
    </row>
    <row r="902" spans="1:4" x14ac:dyDescent="0.2">
      <c r="A902">
        <v>177177</v>
      </c>
      <c r="B902" t="s">
        <v>10</v>
      </c>
      <c r="C902" t="s">
        <v>20</v>
      </c>
      <c r="D902" t="s">
        <v>18</v>
      </c>
    </row>
    <row r="903" spans="1:4" x14ac:dyDescent="0.2">
      <c r="A903">
        <v>192619</v>
      </c>
      <c r="B903" t="s">
        <v>10</v>
      </c>
      <c r="C903" t="s">
        <v>24</v>
      </c>
      <c r="D903" t="s">
        <v>11</v>
      </c>
    </row>
    <row r="904" spans="1:4" x14ac:dyDescent="0.2">
      <c r="A904">
        <v>121605</v>
      </c>
      <c r="B904" t="s">
        <v>22</v>
      </c>
      <c r="C904" t="s">
        <v>20</v>
      </c>
      <c r="D904" t="s">
        <v>11</v>
      </c>
    </row>
    <row r="905" spans="1:4" x14ac:dyDescent="0.2">
      <c r="A905">
        <v>149245</v>
      </c>
      <c r="B905" t="s">
        <v>17</v>
      </c>
      <c r="C905" t="s">
        <v>20</v>
      </c>
      <c r="D905" t="s">
        <v>11</v>
      </c>
    </row>
    <row r="906" spans="1:4" x14ac:dyDescent="0.2">
      <c r="A906">
        <v>194369</v>
      </c>
      <c r="B906" t="s">
        <v>10</v>
      </c>
      <c r="C906" t="s">
        <v>24</v>
      </c>
      <c r="D906" t="s">
        <v>18</v>
      </c>
    </row>
    <row r="907" spans="1:4" x14ac:dyDescent="0.2">
      <c r="A907">
        <v>135894</v>
      </c>
      <c r="B907" t="s">
        <v>17</v>
      </c>
      <c r="C907" t="s">
        <v>20</v>
      </c>
      <c r="D907" t="s">
        <v>18</v>
      </c>
    </row>
    <row r="908" spans="1:4" x14ac:dyDescent="0.2">
      <c r="A908">
        <v>127177</v>
      </c>
      <c r="B908" t="s">
        <v>17</v>
      </c>
      <c r="C908" t="s">
        <v>20</v>
      </c>
      <c r="D908" t="s">
        <v>11</v>
      </c>
    </row>
    <row r="909" spans="1:4" x14ac:dyDescent="0.2">
      <c r="A909">
        <v>144780</v>
      </c>
      <c r="B909" t="s">
        <v>22</v>
      </c>
      <c r="C909" t="s">
        <v>20</v>
      </c>
      <c r="D909" t="s">
        <v>11</v>
      </c>
    </row>
    <row r="910" spans="1:4" x14ac:dyDescent="0.2">
      <c r="A910">
        <v>189870</v>
      </c>
      <c r="B910" t="s">
        <v>17</v>
      </c>
      <c r="C910" t="s">
        <v>20</v>
      </c>
      <c r="D910" t="s">
        <v>18</v>
      </c>
    </row>
    <row r="911" spans="1:4" x14ac:dyDescent="0.2">
      <c r="A911">
        <v>179236</v>
      </c>
      <c r="B911" t="s">
        <v>17</v>
      </c>
      <c r="C911" t="s">
        <v>14</v>
      </c>
      <c r="D911" t="s">
        <v>18</v>
      </c>
    </row>
    <row r="912" spans="1:4" x14ac:dyDescent="0.2">
      <c r="A912">
        <v>134887</v>
      </c>
      <c r="B912" t="s">
        <v>17</v>
      </c>
      <c r="C912" t="s">
        <v>20</v>
      </c>
      <c r="D912" t="s">
        <v>18</v>
      </c>
    </row>
    <row r="913" spans="1:4" x14ac:dyDescent="0.2">
      <c r="A913">
        <v>190184</v>
      </c>
      <c r="B913" t="s">
        <v>17</v>
      </c>
      <c r="C913" t="s">
        <v>14</v>
      </c>
      <c r="D913" t="s">
        <v>18</v>
      </c>
    </row>
    <row r="914" spans="1:4" x14ac:dyDescent="0.2">
      <c r="A914">
        <v>115318</v>
      </c>
      <c r="B914" t="s">
        <v>22</v>
      </c>
      <c r="C914" t="s">
        <v>24</v>
      </c>
      <c r="D914" t="s">
        <v>18</v>
      </c>
    </row>
    <row r="915" spans="1:4" x14ac:dyDescent="0.2">
      <c r="A915">
        <v>161907</v>
      </c>
      <c r="B915" t="s">
        <v>22</v>
      </c>
      <c r="C915" t="s">
        <v>14</v>
      </c>
      <c r="D915" t="s">
        <v>18</v>
      </c>
    </row>
    <row r="916" spans="1:4" x14ac:dyDescent="0.2">
      <c r="A916">
        <v>155997</v>
      </c>
      <c r="B916" t="s">
        <v>17</v>
      </c>
      <c r="C916" t="s">
        <v>24</v>
      </c>
      <c r="D916" t="s">
        <v>11</v>
      </c>
    </row>
    <row r="917" spans="1:4" x14ac:dyDescent="0.2">
      <c r="A917">
        <v>166744</v>
      </c>
      <c r="B917" t="s">
        <v>10</v>
      </c>
      <c r="C917" t="s">
        <v>14</v>
      </c>
      <c r="D917" t="s">
        <v>18</v>
      </c>
    </row>
    <row r="918" spans="1:4" x14ac:dyDescent="0.2">
      <c r="A918">
        <v>129858</v>
      </c>
      <c r="B918" t="s">
        <v>22</v>
      </c>
      <c r="C918" t="s">
        <v>20</v>
      </c>
      <c r="D918" t="s">
        <v>18</v>
      </c>
    </row>
    <row r="919" spans="1:4" x14ac:dyDescent="0.2">
      <c r="A919">
        <v>158908</v>
      </c>
      <c r="B919" t="s">
        <v>22</v>
      </c>
      <c r="C919" t="s">
        <v>24</v>
      </c>
      <c r="D919" t="s">
        <v>18</v>
      </c>
    </row>
    <row r="920" spans="1:4" x14ac:dyDescent="0.2">
      <c r="A920">
        <v>192048</v>
      </c>
      <c r="B920" t="s">
        <v>17</v>
      </c>
      <c r="C920" t="s">
        <v>20</v>
      </c>
      <c r="D920" t="s">
        <v>11</v>
      </c>
    </row>
    <row r="921" spans="1:4" x14ac:dyDescent="0.2">
      <c r="A921">
        <v>136294</v>
      </c>
      <c r="B921" t="s">
        <v>17</v>
      </c>
      <c r="C921" t="s">
        <v>24</v>
      </c>
      <c r="D921" t="s">
        <v>18</v>
      </c>
    </row>
    <row r="922" spans="1:4" x14ac:dyDescent="0.2">
      <c r="A922">
        <v>193043</v>
      </c>
      <c r="B922" t="s">
        <v>22</v>
      </c>
      <c r="C922" t="s">
        <v>14</v>
      </c>
      <c r="D922" t="s">
        <v>11</v>
      </c>
    </row>
    <row r="923" spans="1:4" x14ac:dyDescent="0.2">
      <c r="A923">
        <v>192787</v>
      </c>
      <c r="B923" t="s">
        <v>17</v>
      </c>
      <c r="C923" t="s">
        <v>24</v>
      </c>
      <c r="D923" t="s">
        <v>11</v>
      </c>
    </row>
    <row r="924" spans="1:4" x14ac:dyDescent="0.2">
      <c r="A924">
        <v>119150</v>
      </c>
      <c r="B924" t="s">
        <v>17</v>
      </c>
      <c r="C924" t="s">
        <v>24</v>
      </c>
      <c r="D924" t="s">
        <v>11</v>
      </c>
    </row>
    <row r="925" spans="1:4" x14ac:dyDescent="0.2">
      <c r="A925">
        <v>115266</v>
      </c>
      <c r="B925" t="s">
        <v>22</v>
      </c>
      <c r="C925" t="s">
        <v>20</v>
      </c>
      <c r="D925" t="s">
        <v>11</v>
      </c>
    </row>
    <row r="926" spans="1:4" x14ac:dyDescent="0.2">
      <c r="A926">
        <v>121186</v>
      </c>
      <c r="B926" t="s">
        <v>22</v>
      </c>
      <c r="C926" t="s">
        <v>20</v>
      </c>
      <c r="D926" t="s">
        <v>11</v>
      </c>
    </row>
    <row r="927" spans="1:4" x14ac:dyDescent="0.2">
      <c r="A927">
        <v>144385</v>
      </c>
      <c r="B927" t="s">
        <v>10</v>
      </c>
      <c r="C927" t="s">
        <v>24</v>
      </c>
      <c r="D927" t="s">
        <v>11</v>
      </c>
    </row>
    <row r="928" spans="1:4" x14ac:dyDescent="0.2">
      <c r="A928">
        <v>161594</v>
      </c>
      <c r="B928" t="s">
        <v>17</v>
      </c>
      <c r="C928" t="s">
        <v>24</v>
      </c>
      <c r="D928" t="s">
        <v>18</v>
      </c>
    </row>
    <row r="929" spans="1:4" x14ac:dyDescent="0.2">
      <c r="A929">
        <v>114320</v>
      </c>
      <c r="B929" t="s">
        <v>10</v>
      </c>
      <c r="C929" t="s">
        <v>14</v>
      </c>
      <c r="D929" t="s">
        <v>11</v>
      </c>
    </row>
    <row r="930" spans="1:4" x14ac:dyDescent="0.2">
      <c r="A930">
        <v>167648</v>
      </c>
      <c r="B930" t="s">
        <v>10</v>
      </c>
      <c r="C930" t="s">
        <v>20</v>
      </c>
      <c r="D930" t="s">
        <v>11</v>
      </c>
    </row>
    <row r="931" spans="1:4" x14ac:dyDescent="0.2">
      <c r="A931">
        <v>198500</v>
      </c>
      <c r="B931" t="s">
        <v>22</v>
      </c>
      <c r="C931" t="s">
        <v>14</v>
      </c>
      <c r="D931" t="s">
        <v>18</v>
      </c>
    </row>
    <row r="932" spans="1:4" x14ac:dyDescent="0.2">
      <c r="A932">
        <v>120916</v>
      </c>
      <c r="B932" t="s">
        <v>22</v>
      </c>
      <c r="C932" t="s">
        <v>20</v>
      </c>
      <c r="D932" t="s">
        <v>11</v>
      </c>
    </row>
    <row r="933" spans="1:4" x14ac:dyDescent="0.2">
      <c r="A933">
        <v>180422</v>
      </c>
      <c r="B933" t="s">
        <v>10</v>
      </c>
      <c r="C933" t="s">
        <v>14</v>
      </c>
      <c r="D933" t="s">
        <v>11</v>
      </c>
    </row>
    <row r="934" spans="1:4" x14ac:dyDescent="0.2">
      <c r="A934">
        <v>136977</v>
      </c>
      <c r="B934" t="s">
        <v>17</v>
      </c>
      <c r="C934" t="s">
        <v>14</v>
      </c>
      <c r="D934" t="s">
        <v>18</v>
      </c>
    </row>
    <row r="935" spans="1:4" x14ac:dyDescent="0.2">
      <c r="A935">
        <v>145902</v>
      </c>
      <c r="B935" t="s">
        <v>10</v>
      </c>
      <c r="C935" t="s">
        <v>20</v>
      </c>
      <c r="D935" t="s">
        <v>18</v>
      </c>
    </row>
    <row r="936" spans="1:4" x14ac:dyDescent="0.2">
      <c r="A936">
        <v>135734</v>
      </c>
      <c r="B936" t="s">
        <v>10</v>
      </c>
      <c r="C936" t="s">
        <v>14</v>
      </c>
      <c r="D936" t="s">
        <v>11</v>
      </c>
    </row>
    <row r="937" spans="1:4" x14ac:dyDescent="0.2">
      <c r="A937">
        <v>153230</v>
      </c>
      <c r="B937" t="s">
        <v>17</v>
      </c>
      <c r="C937" t="s">
        <v>24</v>
      </c>
      <c r="D937" t="s">
        <v>18</v>
      </c>
    </row>
    <row r="938" spans="1:4" x14ac:dyDescent="0.2">
      <c r="A938">
        <v>153722</v>
      </c>
      <c r="B938" t="s">
        <v>10</v>
      </c>
      <c r="C938" t="s">
        <v>24</v>
      </c>
      <c r="D938" t="s">
        <v>18</v>
      </c>
    </row>
    <row r="939" spans="1:4" x14ac:dyDescent="0.2">
      <c r="A939">
        <v>147361</v>
      </c>
      <c r="B939" t="s">
        <v>17</v>
      </c>
      <c r="C939" t="s">
        <v>24</v>
      </c>
      <c r="D939" t="s">
        <v>18</v>
      </c>
    </row>
    <row r="940" spans="1:4" x14ac:dyDescent="0.2">
      <c r="A940">
        <v>158227</v>
      </c>
      <c r="B940" t="s">
        <v>10</v>
      </c>
      <c r="C940" t="s">
        <v>14</v>
      </c>
      <c r="D940" t="s">
        <v>11</v>
      </c>
    </row>
    <row r="941" spans="1:4" x14ac:dyDescent="0.2">
      <c r="A941">
        <v>197123</v>
      </c>
      <c r="B941" t="s">
        <v>22</v>
      </c>
      <c r="C941" t="s">
        <v>20</v>
      </c>
      <c r="D941" t="s">
        <v>11</v>
      </c>
    </row>
    <row r="942" spans="1:4" x14ac:dyDescent="0.2">
      <c r="A942">
        <v>140321</v>
      </c>
      <c r="B942" t="s">
        <v>17</v>
      </c>
      <c r="C942" t="s">
        <v>24</v>
      </c>
      <c r="D942" t="s">
        <v>18</v>
      </c>
    </row>
    <row r="943" spans="1:4" x14ac:dyDescent="0.2">
      <c r="A943">
        <v>177510</v>
      </c>
      <c r="B943" t="s">
        <v>22</v>
      </c>
      <c r="C943" t="s">
        <v>24</v>
      </c>
      <c r="D943" t="s">
        <v>11</v>
      </c>
    </row>
    <row r="944" spans="1:4" x14ac:dyDescent="0.2">
      <c r="A944">
        <v>135786</v>
      </c>
      <c r="B944" t="s">
        <v>10</v>
      </c>
      <c r="C944" t="s">
        <v>20</v>
      </c>
      <c r="D944" t="s">
        <v>18</v>
      </c>
    </row>
    <row r="945" spans="1:4" x14ac:dyDescent="0.2">
      <c r="A945">
        <v>184980</v>
      </c>
      <c r="B945" t="s">
        <v>17</v>
      </c>
      <c r="C945" t="s">
        <v>20</v>
      </c>
      <c r="D945" t="s">
        <v>11</v>
      </c>
    </row>
    <row r="946" spans="1:4" x14ac:dyDescent="0.2">
      <c r="A946">
        <v>152671</v>
      </c>
      <c r="B946" t="s">
        <v>10</v>
      </c>
      <c r="C946" t="s">
        <v>24</v>
      </c>
      <c r="D946" t="s">
        <v>11</v>
      </c>
    </row>
    <row r="947" spans="1:4" x14ac:dyDescent="0.2">
      <c r="A947">
        <v>155722</v>
      </c>
      <c r="B947" t="s">
        <v>17</v>
      </c>
      <c r="C947" t="s">
        <v>14</v>
      </c>
      <c r="D947" t="s">
        <v>18</v>
      </c>
    </row>
    <row r="948" spans="1:4" x14ac:dyDescent="0.2">
      <c r="A948">
        <v>171570</v>
      </c>
      <c r="B948" t="s">
        <v>17</v>
      </c>
      <c r="C948" t="s">
        <v>14</v>
      </c>
      <c r="D948" t="s">
        <v>18</v>
      </c>
    </row>
    <row r="949" spans="1:4" x14ac:dyDescent="0.2">
      <c r="A949">
        <v>181417</v>
      </c>
      <c r="B949" t="s">
        <v>10</v>
      </c>
      <c r="C949" t="s">
        <v>14</v>
      </c>
      <c r="D949" t="s">
        <v>11</v>
      </c>
    </row>
    <row r="950" spans="1:4" x14ac:dyDescent="0.2">
      <c r="A950">
        <v>157514</v>
      </c>
      <c r="B950" t="s">
        <v>22</v>
      </c>
      <c r="C950" t="s">
        <v>20</v>
      </c>
      <c r="D950" t="s">
        <v>18</v>
      </c>
    </row>
    <row r="951" spans="1:4" x14ac:dyDescent="0.2">
      <c r="A951">
        <v>170515</v>
      </c>
      <c r="B951" t="s">
        <v>22</v>
      </c>
      <c r="C951" t="s">
        <v>20</v>
      </c>
      <c r="D951" t="s">
        <v>18</v>
      </c>
    </row>
    <row r="952" spans="1:4" x14ac:dyDescent="0.2">
      <c r="A952">
        <v>179736</v>
      </c>
      <c r="B952" t="s">
        <v>10</v>
      </c>
      <c r="C952" t="s">
        <v>20</v>
      </c>
      <c r="D952" t="s">
        <v>11</v>
      </c>
    </row>
    <row r="953" spans="1:4" x14ac:dyDescent="0.2">
      <c r="A953">
        <v>137969</v>
      </c>
      <c r="B953" t="s">
        <v>17</v>
      </c>
      <c r="C953" t="s">
        <v>20</v>
      </c>
      <c r="D953" t="s">
        <v>18</v>
      </c>
    </row>
    <row r="954" spans="1:4" x14ac:dyDescent="0.2">
      <c r="A954">
        <v>146503</v>
      </c>
      <c r="B954" t="s">
        <v>22</v>
      </c>
      <c r="C954" t="s">
        <v>20</v>
      </c>
      <c r="D954" t="s">
        <v>11</v>
      </c>
    </row>
    <row r="955" spans="1:4" x14ac:dyDescent="0.2">
      <c r="A955">
        <v>115333</v>
      </c>
      <c r="B955" t="s">
        <v>22</v>
      </c>
      <c r="C955" t="s">
        <v>24</v>
      </c>
      <c r="D955" t="s">
        <v>11</v>
      </c>
    </row>
    <row r="956" spans="1:4" x14ac:dyDescent="0.2">
      <c r="A956">
        <v>162808</v>
      </c>
      <c r="B956" t="s">
        <v>17</v>
      </c>
      <c r="C956" t="s">
        <v>20</v>
      </c>
      <c r="D956" t="s">
        <v>11</v>
      </c>
    </row>
    <row r="957" spans="1:4" x14ac:dyDescent="0.2">
      <c r="A957">
        <v>114390</v>
      </c>
      <c r="B957" t="s">
        <v>22</v>
      </c>
      <c r="C957" t="s">
        <v>14</v>
      </c>
      <c r="D957" t="s">
        <v>11</v>
      </c>
    </row>
    <row r="958" spans="1:4" x14ac:dyDescent="0.2">
      <c r="A958">
        <v>154882</v>
      </c>
      <c r="B958" t="s">
        <v>10</v>
      </c>
      <c r="C958" t="s">
        <v>24</v>
      </c>
      <c r="D958" t="s">
        <v>18</v>
      </c>
    </row>
    <row r="959" spans="1:4" x14ac:dyDescent="0.2">
      <c r="A959">
        <v>148460</v>
      </c>
      <c r="B959" t="s">
        <v>10</v>
      </c>
      <c r="C959" t="s">
        <v>24</v>
      </c>
      <c r="D959" t="s">
        <v>18</v>
      </c>
    </row>
    <row r="960" spans="1:4" x14ac:dyDescent="0.2">
      <c r="A960">
        <v>188481</v>
      </c>
      <c r="B960" t="s">
        <v>22</v>
      </c>
      <c r="C960" t="s">
        <v>20</v>
      </c>
      <c r="D960" t="s">
        <v>11</v>
      </c>
    </row>
    <row r="961" spans="1:4" x14ac:dyDescent="0.2">
      <c r="A961">
        <v>197435</v>
      </c>
      <c r="B961" t="s">
        <v>10</v>
      </c>
      <c r="C961" t="s">
        <v>14</v>
      </c>
      <c r="D961" t="s">
        <v>11</v>
      </c>
    </row>
    <row r="962" spans="1:4" x14ac:dyDescent="0.2">
      <c r="A962">
        <v>157169</v>
      </c>
      <c r="B962" t="s">
        <v>17</v>
      </c>
      <c r="C962" t="s">
        <v>14</v>
      </c>
      <c r="D962" t="s">
        <v>18</v>
      </c>
    </row>
    <row r="963" spans="1:4" x14ac:dyDescent="0.2">
      <c r="A963">
        <v>184945</v>
      </c>
      <c r="B963" t="s">
        <v>22</v>
      </c>
      <c r="C963" t="s">
        <v>24</v>
      </c>
      <c r="D963" t="s">
        <v>11</v>
      </c>
    </row>
    <row r="964" spans="1:4" x14ac:dyDescent="0.2">
      <c r="A964">
        <v>140927</v>
      </c>
      <c r="B964" t="s">
        <v>10</v>
      </c>
      <c r="C964" t="s">
        <v>24</v>
      </c>
      <c r="D964" t="s">
        <v>18</v>
      </c>
    </row>
    <row r="965" spans="1:4" x14ac:dyDescent="0.2">
      <c r="A965">
        <v>174621</v>
      </c>
      <c r="B965" t="s">
        <v>10</v>
      </c>
      <c r="C965" t="s">
        <v>14</v>
      </c>
      <c r="D965" t="s">
        <v>18</v>
      </c>
    </row>
    <row r="966" spans="1:4" x14ac:dyDescent="0.2">
      <c r="A966">
        <v>137475</v>
      </c>
      <c r="B966" t="s">
        <v>22</v>
      </c>
      <c r="C966" t="s">
        <v>24</v>
      </c>
      <c r="D966" t="s">
        <v>18</v>
      </c>
    </row>
    <row r="967" spans="1:4" x14ac:dyDescent="0.2">
      <c r="A967">
        <v>184176</v>
      </c>
      <c r="B967" t="s">
        <v>10</v>
      </c>
      <c r="C967" t="s">
        <v>20</v>
      </c>
      <c r="D967" t="s">
        <v>18</v>
      </c>
    </row>
    <row r="968" spans="1:4" x14ac:dyDescent="0.2">
      <c r="A968">
        <v>149169</v>
      </c>
      <c r="B968" t="s">
        <v>17</v>
      </c>
      <c r="C968" t="s">
        <v>20</v>
      </c>
      <c r="D968" t="s">
        <v>11</v>
      </c>
    </row>
    <row r="969" spans="1:4" x14ac:dyDescent="0.2">
      <c r="A969">
        <v>126549</v>
      </c>
      <c r="B969" t="s">
        <v>10</v>
      </c>
      <c r="C969" t="s">
        <v>20</v>
      </c>
      <c r="D969" t="s">
        <v>18</v>
      </c>
    </row>
    <row r="970" spans="1:4" x14ac:dyDescent="0.2">
      <c r="A970">
        <v>138995</v>
      </c>
      <c r="B970" t="s">
        <v>22</v>
      </c>
      <c r="C970" t="s">
        <v>20</v>
      </c>
      <c r="D970" t="s">
        <v>11</v>
      </c>
    </row>
    <row r="971" spans="1:4" x14ac:dyDescent="0.2">
      <c r="A971">
        <v>110220</v>
      </c>
      <c r="B971" t="s">
        <v>22</v>
      </c>
      <c r="C971" t="s">
        <v>20</v>
      </c>
      <c r="D971" t="s">
        <v>18</v>
      </c>
    </row>
    <row r="972" spans="1:4" x14ac:dyDescent="0.2">
      <c r="A972">
        <v>133770</v>
      </c>
      <c r="B972" t="s">
        <v>22</v>
      </c>
      <c r="C972" t="s">
        <v>20</v>
      </c>
      <c r="D972" t="s">
        <v>18</v>
      </c>
    </row>
    <row r="973" spans="1:4" x14ac:dyDescent="0.2">
      <c r="A973">
        <v>165819</v>
      </c>
      <c r="B973" t="s">
        <v>22</v>
      </c>
      <c r="C973" t="s">
        <v>20</v>
      </c>
      <c r="D973" t="s">
        <v>11</v>
      </c>
    </row>
    <row r="974" spans="1:4" x14ac:dyDescent="0.2">
      <c r="A974">
        <v>191957</v>
      </c>
      <c r="B974" t="s">
        <v>22</v>
      </c>
      <c r="C974" t="s">
        <v>24</v>
      </c>
      <c r="D974" t="s">
        <v>18</v>
      </c>
    </row>
    <row r="975" spans="1:4" x14ac:dyDescent="0.2">
      <c r="A975">
        <v>178701</v>
      </c>
      <c r="B975" t="s">
        <v>17</v>
      </c>
      <c r="C975" t="s">
        <v>14</v>
      </c>
      <c r="D975" t="s">
        <v>18</v>
      </c>
    </row>
    <row r="976" spans="1:4" x14ac:dyDescent="0.2">
      <c r="A976">
        <v>181111</v>
      </c>
      <c r="B976" t="s">
        <v>22</v>
      </c>
      <c r="C976" t="s">
        <v>24</v>
      </c>
      <c r="D976" t="s">
        <v>11</v>
      </c>
    </row>
    <row r="977" spans="1:4" x14ac:dyDescent="0.2">
      <c r="A977">
        <v>183252</v>
      </c>
      <c r="B977" t="s">
        <v>10</v>
      </c>
      <c r="C977" t="s">
        <v>14</v>
      </c>
      <c r="D977" t="s">
        <v>11</v>
      </c>
    </row>
    <row r="978" spans="1:4" x14ac:dyDescent="0.2">
      <c r="A978">
        <v>182755</v>
      </c>
      <c r="B978" t="s">
        <v>17</v>
      </c>
      <c r="C978" t="s">
        <v>24</v>
      </c>
      <c r="D978" t="s">
        <v>11</v>
      </c>
    </row>
    <row r="979" spans="1:4" x14ac:dyDescent="0.2">
      <c r="A979">
        <v>143247</v>
      </c>
      <c r="B979" t="s">
        <v>10</v>
      </c>
      <c r="C979" t="s">
        <v>14</v>
      </c>
      <c r="D979" t="s">
        <v>18</v>
      </c>
    </row>
    <row r="980" spans="1:4" x14ac:dyDescent="0.2">
      <c r="A980">
        <v>118346</v>
      </c>
      <c r="B980" t="s">
        <v>22</v>
      </c>
      <c r="C980" t="s">
        <v>14</v>
      </c>
      <c r="D980" t="s">
        <v>18</v>
      </c>
    </row>
    <row r="981" spans="1:4" x14ac:dyDescent="0.2">
      <c r="A981">
        <v>182563</v>
      </c>
      <c r="B981" t="s">
        <v>10</v>
      </c>
      <c r="C981" t="s">
        <v>14</v>
      </c>
      <c r="D981" t="s">
        <v>18</v>
      </c>
    </row>
    <row r="982" spans="1:4" x14ac:dyDescent="0.2">
      <c r="A982">
        <v>120300</v>
      </c>
      <c r="B982" t="s">
        <v>17</v>
      </c>
      <c r="C982" t="s">
        <v>24</v>
      </c>
      <c r="D982" t="s">
        <v>18</v>
      </c>
    </row>
    <row r="983" spans="1:4" x14ac:dyDescent="0.2">
      <c r="A983">
        <v>184596</v>
      </c>
      <c r="B983" t="s">
        <v>10</v>
      </c>
      <c r="C983" t="s">
        <v>14</v>
      </c>
      <c r="D983" t="s">
        <v>11</v>
      </c>
    </row>
    <row r="984" spans="1:4" x14ac:dyDescent="0.2">
      <c r="A984">
        <v>165690</v>
      </c>
      <c r="B984" t="s">
        <v>17</v>
      </c>
      <c r="C984" t="s">
        <v>24</v>
      </c>
      <c r="D984" t="s">
        <v>18</v>
      </c>
    </row>
    <row r="985" spans="1:4" x14ac:dyDescent="0.2">
      <c r="A985">
        <v>148366</v>
      </c>
      <c r="B985" t="s">
        <v>17</v>
      </c>
      <c r="C985" t="s">
        <v>24</v>
      </c>
      <c r="D985" t="s">
        <v>11</v>
      </c>
    </row>
    <row r="986" spans="1:4" x14ac:dyDescent="0.2">
      <c r="A986">
        <v>154931</v>
      </c>
      <c r="B986" t="s">
        <v>10</v>
      </c>
      <c r="C986" t="s">
        <v>14</v>
      </c>
      <c r="D986" t="s">
        <v>18</v>
      </c>
    </row>
    <row r="987" spans="1:4" x14ac:dyDescent="0.2">
      <c r="A987">
        <v>129915</v>
      </c>
      <c r="B987" t="s">
        <v>22</v>
      </c>
      <c r="C987" t="s">
        <v>20</v>
      </c>
      <c r="D987" t="s">
        <v>18</v>
      </c>
    </row>
    <row r="988" spans="1:4" x14ac:dyDescent="0.2">
      <c r="A988">
        <v>129854</v>
      </c>
      <c r="B988" t="s">
        <v>17</v>
      </c>
      <c r="C988" t="s">
        <v>14</v>
      </c>
      <c r="D988" t="s">
        <v>18</v>
      </c>
    </row>
    <row r="989" spans="1:4" x14ac:dyDescent="0.2">
      <c r="A989">
        <v>196418</v>
      </c>
      <c r="B989" t="s">
        <v>10</v>
      </c>
      <c r="C989" t="s">
        <v>24</v>
      </c>
      <c r="D989" t="s">
        <v>18</v>
      </c>
    </row>
    <row r="990" spans="1:4" x14ac:dyDescent="0.2">
      <c r="A990">
        <v>147140</v>
      </c>
      <c r="B990" t="s">
        <v>10</v>
      </c>
      <c r="C990" t="s">
        <v>24</v>
      </c>
      <c r="D990" t="s">
        <v>18</v>
      </c>
    </row>
    <row r="991" spans="1:4" x14ac:dyDescent="0.2">
      <c r="A991">
        <v>176622</v>
      </c>
      <c r="B991" t="s">
        <v>17</v>
      </c>
      <c r="C991" t="s">
        <v>20</v>
      </c>
      <c r="D991" t="s">
        <v>11</v>
      </c>
    </row>
    <row r="992" spans="1:4" x14ac:dyDescent="0.2">
      <c r="A992">
        <v>180566</v>
      </c>
      <c r="B992" t="s">
        <v>10</v>
      </c>
      <c r="C992" t="s">
        <v>14</v>
      </c>
      <c r="D992" t="s">
        <v>18</v>
      </c>
    </row>
    <row r="993" spans="1:4" x14ac:dyDescent="0.2">
      <c r="A993">
        <v>124273</v>
      </c>
      <c r="B993" t="s">
        <v>17</v>
      </c>
      <c r="C993" t="s">
        <v>24</v>
      </c>
      <c r="D993" t="s">
        <v>18</v>
      </c>
    </row>
    <row r="994" spans="1:4" x14ac:dyDescent="0.2">
      <c r="A994">
        <v>159902</v>
      </c>
      <c r="B994" t="s">
        <v>10</v>
      </c>
      <c r="C994" t="s">
        <v>20</v>
      </c>
      <c r="D994" t="s">
        <v>11</v>
      </c>
    </row>
    <row r="995" spans="1:4" x14ac:dyDescent="0.2">
      <c r="A995">
        <v>163182</v>
      </c>
      <c r="B995" t="s">
        <v>10</v>
      </c>
      <c r="C995" t="s">
        <v>20</v>
      </c>
      <c r="D995" t="s">
        <v>11</v>
      </c>
    </row>
    <row r="996" spans="1:4" x14ac:dyDescent="0.2">
      <c r="A996">
        <v>121303</v>
      </c>
      <c r="B996" t="s">
        <v>22</v>
      </c>
      <c r="C996" t="s">
        <v>14</v>
      </c>
      <c r="D996" t="s">
        <v>18</v>
      </c>
    </row>
    <row r="997" spans="1:4" x14ac:dyDescent="0.2">
      <c r="A997">
        <v>162658</v>
      </c>
      <c r="B997" t="s">
        <v>17</v>
      </c>
      <c r="C997" t="s">
        <v>20</v>
      </c>
      <c r="D997" t="s">
        <v>18</v>
      </c>
    </row>
    <row r="998" spans="1:4" x14ac:dyDescent="0.2">
      <c r="A998">
        <v>146858</v>
      </c>
      <c r="B998" t="s">
        <v>22</v>
      </c>
      <c r="C998" t="s">
        <v>24</v>
      </c>
      <c r="D998" t="s">
        <v>18</v>
      </c>
    </row>
    <row r="999" spans="1:4" x14ac:dyDescent="0.2">
      <c r="A999">
        <v>174565</v>
      </c>
      <c r="B999" t="s">
        <v>10</v>
      </c>
      <c r="C999" t="s">
        <v>20</v>
      </c>
      <c r="D999" t="s">
        <v>11</v>
      </c>
    </row>
    <row r="1000" spans="1:4" x14ac:dyDescent="0.2">
      <c r="A1000">
        <v>160629</v>
      </c>
      <c r="B1000" t="s">
        <v>10</v>
      </c>
      <c r="C1000" t="s">
        <v>20</v>
      </c>
      <c r="D1000" t="s">
        <v>18</v>
      </c>
    </row>
    <row r="1001" spans="1:4" x14ac:dyDescent="0.2">
      <c r="A1001">
        <v>150654</v>
      </c>
      <c r="B1001" t="s">
        <v>17</v>
      </c>
      <c r="C1001" t="s">
        <v>20</v>
      </c>
      <c r="D100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001"/>
  <sheetViews>
    <sheetView workbookViewId="0">
      <selection activeCell="F11" sqref="F11"/>
    </sheetView>
  </sheetViews>
  <sheetFormatPr baseColWidth="10" defaultRowHeight="16" x14ac:dyDescent="0.2"/>
  <cols>
    <col min="1" max="1" width="9.5" bestFit="1" customWidth="1"/>
    <col min="2" max="2" width="10.6640625" bestFit="1" customWidth="1"/>
    <col min="3" max="3" width="21.83203125" bestFit="1" customWidth="1"/>
    <col min="4" max="4" width="9.6640625" bestFit="1" customWidth="1"/>
  </cols>
  <sheetData>
    <row r="1" spans="1:4" x14ac:dyDescent="0.2">
      <c r="A1" t="s">
        <v>0</v>
      </c>
      <c r="B1" t="s">
        <v>5</v>
      </c>
      <c r="C1" t="s">
        <v>6</v>
      </c>
      <c r="D1" t="s">
        <v>4</v>
      </c>
    </row>
    <row r="2" spans="1:4" x14ac:dyDescent="0.2">
      <c r="A2">
        <v>185102</v>
      </c>
      <c r="B2" t="s">
        <v>12</v>
      </c>
      <c r="C2" t="s">
        <v>13</v>
      </c>
      <c r="D2" t="s">
        <v>11</v>
      </c>
    </row>
    <row r="3" spans="1:4" x14ac:dyDescent="0.2">
      <c r="A3">
        <v>188771</v>
      </c>
      <c r="B3" t="s">
        <v>15</v>
      </c>
      <c r="C3" t="s">
        <v>16</v>
      </c>
      <c r="D3" t="s">
        <v>11</v>
      </c>
    </row>
    <row r="4" spans="1:4" x14ac:dyDescent="0.2">
      <c r="A4">
        <v>180176</v>
      </c>
      <c r="B4" t="s">
        <v>12</v>
      </c>
      <c r="C4" t="s">
        <v>19</v>
      </c>
      <c r="D4" t="s">
        <v>18</v>
      </c>
    </row>
    <row r="5" spans="1:4" x14ac:dyDescent="0.2">
      <c r="A5">
        <v>112917</v>
      </c>
      <c r="B5" t="s">
        <v>15</v>
      </c>
      <c r="C5" t="s">
        <v>13</v>
      </c>
      <c r="D5" t="s">
        <v>18</v>
      </c>
    </row>
    <row r="6" spans="1:4" x14ac:dyDescent="0.2">
      <c r="A6">
        <v>192936</v>
      </c>
      <c r="B6" t="s">
        <v>12</v>
      </c>
      <c r="C6" t="s">
        <v>21</v>
      </c>
      <c r="D6" t="s">
        <v>11</v>
      </c>
    </row>
    <row r="7" spans="1:4" x14ac:dyDescent="0.2">
      <c r="A7">
        <v>117590</v>
      </c>
      <c r="B7" t="s">
        <v>12</v>
      </c>
      <c r="C7" t="s">
        <v>16</v>
      </c>
      <c r="D7" t="s">
        <v>11</v>
      </c>
    </row>
    <row r="8" spans="1:4" x14ac:dyDescent="0.2">
      <c r="A8">
        <v>189118</v>
      </c>
      <c r="B8" t="s">
        <v>23</v>
      </c>
      <c r="C8" t="s">
        <v>21</v>
      </c>
      <c r="D8" t="s">
        <v>18</v>
      </c>
    </row>
    <row r="9" spans="1:4" x14ac:dyDescent="0.2">
      <c r="A9">
        <v>182157</v>
      </c>
      <c r="B9" t="s">
        <v>15</v>
      </c>
      <c r="C9" t="s">
        <v>21</v>
      </c>
      <c r="D9" t="s">
        <v>11</v>
      </c>
    </row>
    <row r="10" spans="1:4" x14ac:dyDescent="0.2">
      <c r="A10">
        <v>141861</v>
      </c>
      <c r="B10" t="s">
        <v>23</v>
      </c>
      <c r="C10" t="s">
        <v>13</v>
      </c>
      <c r="D10" t="s">
        <v>18</v>
      </c>
    </row>
    <row r="11" spans="1:4" x14ac:dyDescent="0.2">
      <c r="A11">
        <v>137121</v>
      </c>
      <c r="B11" t="s">
        <v>23</v>
      </c>
      <c r="C11" t="s">
        <v>13</v>
      </c>
      <c r="D11" t="s">
        <v>11</v>
      </c>
    </row>
    <row r="12" spans="1:4" x14ac:dyDescent="0.2">
      <c r="A12">
        <v>113143</v>
      </c>
      <c r="B12" t="s">
        <v>23</v>
      </c>
      <c r="C12" t="s">
        <v>21</v>
      </c>
      <c r="D12" t="s">
        <v>18</v>
      </c>
    </row>
    <row r="13" spans="1:4" x14ac:dyDescent="0.2">
      <c r="A13">
        <v>140028</v>
      </c>
      <c r="B13" t="s">
        <v>23</v>
      </c>
      <c r="C13" t="s">
        <v>21</v>
      </c>
      <c r="D13" t="s">
        <v>18</v>
      </c>
    </row>
    <row r="14" spans="1:4" x14ac:dyDescent="0.2">
      <c r="A14">
        <v>134693</v>
      </c>
      <c r="B14" t="s">
        <v>15</v>
      </c>
      <c r="C14" t="s">
        <v>21</v>
      </c>
      <c r="D14" t="s">
        <v>18</v>
      </c>
    </row>
    <row r="15" spans="1:4" x14ac:dyDescent="0.2">
      <c r="A15">
        <v>151396</v>
      </c>
      <c r="B15" t="s">
        <v>12</v>
      </c>
      <c r="C15" t="s">
        <v>13</v>
      </c>
      <c r="D15" t="s">
        <v>18</v>
      </c>
    </row>
    <row r="16" spans="1:4" x14ac:dyDescent="0.2">
      <c r="A16">
        <v>132889</v>
      </c>
      <c r="B16" t="s">
        <v>15</v>
      </c>
      <c r="C16" t="s">
        <v>13</v>
      </c>
      <c r="D16" t="s">
        <v>18</v>
      </c>
    </row>
    <row r="17" spans="1:4" x14ac:dyDescent="0.2">
      <c r="A17">
        <v>152174</v>
      </c>
      <c r="B17" t="s">
        <v>12</v>
      </c>
      <c r="C17" t="s">
        <v>19</v>
      </c>
      <c r="D17" t="s">
        <v>11</v>
      </c>
    </row>
    <row r="18" spans="1:4" x14ac:dyDescent="0.2">
      <c r="A18">
        <v>129906</v>
      </c>
      <c r="B18" t="s">
        <v>12</v>
      </c>
      <c r="C18" t="s">
        <v>19</v>
      </c>
      <c r="D18" t="s">
        <v>11</v>
      </c>
    </row>
    <row r="19" spans="1:4" x14ac:dyDescent="0.2">
      <c r="A19">
        <v>195879</v>
      </c>
      <c r="B19" t="s">
        <v>12</v>
      </c>
      <c r="C19" t="s">
        <v>19</v>
      </c>
      <c r="D19" t="s">
        <v>18</v>
      </c>
    </row>
    <row r="20" spans="1:4" x14ac:dyDescent="0.2">
      <c r="A20">
        <v>155050</v>
      </c>
      <c r="B20" t="s">
        <v>23</v>
      </c>
      <c r="C20" t="s">
        <v>21</v>
      </c>
      <c r="D20" t="s">
        <v>11</v>
      </c>
    </row>
    <row r="21" spans="1:4" x14ac:dyDescent="0.2">
      <c r="A21">
        <v>194410</v>
      </c>
      <c r="B21" t="s">
        <v>15</v>
      </c>
      <c r="C21" t="s">
        <v>19</v>
      </c>
      <c r="D21" t="s">
        <v>11</v>
      </c>
    </row>
    <row r="22" spans="1:4" x14ac:dyDescent="0.2">
      <c r="A22">
        <v>141904</v>
      </c>
      <c r="B22" t="s">
        <v>12</v>
      </c>
      <c r="C22" t="s">
        <v>21</v>
      </c>
      <c r="D22" t="s">
        <v>18</v>
      </c>
    </row>
    <row r="23" spans="1:4" x14ac:dyDescent="0.2">
      <c r="A23">
        <v>124981</v>
      </c>
      <c r="B23" t="s">
        <v>15</v>
      </c>
      <c r="C23" t="s">
        <v>13</v>
      </c>
      <c r="D23" t="s">
        <v>11</v>
      </c>
    </row>
    <row r="24" spans="1:4" x14ac:dyDescent="0.2">
      <c r="A24">
        <v>161909</v>
      </c>
      <c r="B24" t="s">
        <v>12</v>
      </c>
      <c r="C24" t="s">
        <v>19</v>
      </c>
      <c r="D24" t="s">
        <v>18</v>
      </c>
    </row>
    <row r="25" spans="1:4" x14ac:dyDescent="0.2">
      <c r="A25">
        <v>129152</v>
      </c>
      <c r="B25" t="s">
        <v>15</v>
      </c>
      <c r="C25" t="s">
        <v>16</v>
      </c>
      <c r="D25" t="s">
        <v>11</v>
      </c>
    </row>
    <row r="26" spans="1:4" x14ac:dyDescent="0.2">
      <c r="A26">
        <v>183243</v>
      </c>
      <c r="B26" t="s">
        <v>15</v>
      </c>
      <c r="C26" t="s">
        <v>13</v>
      </c>
      <c r="D26" t="s">
        <v>18</v>
      </c>
    </row>
    <row r="27" spans="1:4" x14ac:dyDescent="0.2">
      <c r="A27">
        <v>198248</v>
      </c>
      <c r="B27" t="s">
        <v>23</v>
      </c>
      <c r="C27" t="s">
        <v>16</v>
      </c>
      <c r="D27" t="s">
        <v>18</v>
      </c>
    </row>
    <row r="28" spans="1:4" x14ac:dyDescent="0.2">
      <c r="A28">
        <v>191230</v>
      </c>
      <c r="B28" t="s">
        <v>23</v>
      </c>
      <c r="C28" t="s">
        <v>19</v>
      </c>
      <c r="D28" t="s">
        <v>11</v>
      </c>
    </row>
    <row r="29" spans="1:4" x14ac:dyDescent="0.2">
      <c r="A29">
        <v>187234</v>
      </c>
      <c r="B29" t="s">
        <v>15</v>
      </c>
      <c r="C29" t="s">
        <v>21</v>
      </c>
      <c r="D29" t="s">
        <v>18</v>
      </c>
    </row>
    <row r="30" spans="1:4" x14ac:dyDescent="0.2">
      <c r="A30">
        <v>148888</v>
      </c>
      <c r="B30" t="s">
        <v>15</v>
      </c>
      <c r="C30" t="s">
        <v>13</v>
      </c>
      <c r="D30" t="s">
        <v>11</v>
      </c>
    </row>
    <row r="31" spans="1:4" x14ac:dyDescent="0.2">
      <c r="A31">
        <v>110805</v>
      </c>
      <c r="B31" t="s">
        <v>12</v>
      </c>
      <c r="C31" t="s">
        <v>19</v>
      </c>
      <c r="D31" t="s">
        <v>18</v>
      </c>
    </row>
    <row r="32" spans="1:4" x14ac:dyDescent="0.2">
      <c r="A32">
        <v>179801</v>
      </c>
      <c r="B32" t="s">
        <v>15</v>
      </c>
      <c r="C32" t="s">
        <v>21</v>
      </c>
      <c r="D32" t="s">
        <v>11</v>
      </c>
    </row>
    <row r="33" spans="1:4" x14ac:dyDescent="0.2">
      <c r="A33">
        <v>134927</v>
      </c>
      <c r="B33" t="s">
        <v>23</v>
      </c>
      <c r="C33" t="s">
        <v>13</v>
      </c>
      <c r="D33" t="s">
        <v>18</v>
      </c>
    </row>
    <row r="34" spans="1:4" x14ac:dyDescent="0.2">
      <c r="A34">
        <v>123150</v>
      </c>
      <c r="B34" t="s">
        <v>12</v>
      </c>
      <c r="C34" t="s">
        <v>16</v>
      </c>
      <c r="D34" t="s">
        <v>18</v>
      </c>
    </row>
    <row r="35" spans="1:4" x14ac:dyDescent="0.2">
      <c r="A35">
        <v>159145</v>
      </c>
      <c r="B35" t="s">
        <v>23</v>
      </c>
      <c r="C35" t="s">
        <v>16</v>
      </c>
      <c r="D35" t="s">
        <v>18</v>
      </c>
    </row>
    <row r="36" spans="1:4" x14ac:dyDescent="0.2">
      <c r="A36">
        <v>172364</v>
      </c>
      <c r="B36" t="s">
        <v>23</v>
      </c>
      <c r="C36" t="s">
        <v>21</v>
      </c>
      <c r="D36" t="s">
        <v>18</v>
      </c>
    </row>
    <row r="37" spans="1:4" x14ac:dyDescent="0.2">
      <c r="A37">
        <v>178281</v>
      </c>
      <c r="B37" t="s">
        <v>15</v>
      </c>
      <c r="C37" t="s">
        <v>21</v>
      </c>
      <c r="D37" t="s">
        <v>11</v>
      </c>
    </row>
    <row r="38" spans="1:4" x14ac:dyDescent="0.2">
      <c r="A38">
        <v>194339</v>
      </c>
      <c r="B38" t="s">
        <v>15</v>
      </c>
      <c r="C38" t="s">
        <v>16</v>
      </c>
      <c r="D38" t="s">
        <v>11</v>
      </c>
    </row>
    <row r="39" spans="1:4" x14ac:dyDescent="0.2">
      <c r="A39">
        <v>174412</v>
      </c>
      <c r="B39" t="s">
        <v>15</v>
      </c>
      <c r="C39" t="s">
        <v>19</v>
      </c>
      <c r="D39" t="s">
        <v>11</v>
      </c>
    </row>
    <row r="40" spans="1:4" x14ac:dyDescent="0.2">
      <c r="A40">
        <v>114877</v>
      </c>
      <c r="B40" t="s">
        <v>12</v>
      </c>
      <c r="C40" t="s">
        <v>21</v>
      </c>
      <c r="D40" t="s">
        <v>11</v>
      </c>
    </row>
    <row r="41" spans="1:4" x14ac:dyDescent="0.2">
      <c r="A41">
        <v>140727</v>
      </c>
      <c r="B41" t="s">
        <v>23</v>
      </c>
      <c r="C41" t="s">
        <v>13</v>
      </c>
      <c r="D41" t="s">
        <v>18</v>
      </c>
    </row>
    <row r="42" spans="1:4" x14ac:dyDescent="0.2">
      <c r="A42">
        <v>133109</v>
      </c>
      <c r="B42" t="s">
        <v>23</v>
      </c>
      <c r="C42" t="s">
        <v>13</v>
      </c>
      <c r="D42" t="s">
        <v>11</v>
      </c>
    </row>
    <row r="43" spans="1:4" x14ac:dyDescent="0.2">
      <c r="A43">
        <v>127296</v>
      </c>
      <c r="B43" t="s">
        <v>15</v>
      </c>
      <c r="C43" t="s">
        <v>13</v>
      </c>
      <c r="D43" t="s">
        <v>11</v>
      </c>
    </row>
    <row r="44" spans="1:4" x14ac:dyDescent="0.2">
      <c r="A44">
        <v>133757</v>
      </c>
      <c r="B44" t="s">
        <v>23</v>
      </c>
      <c r="C44" t="s">
        <v>13</v>
      </c>
      <c r="D44" t="s">
        <v>18</v>
      </c>
    </row>
    <row r="45" spans="1:4" x14ac:dyDescent="0.2">
      <c r="A45">
        <v>111760</v>
      </c>
      <c r="B45" t="s">
        <v>15</v>
      </c>
      <c r="C45" t="s">
        <v>21</v>
      </c>
      <c r="D45" t="s">
        <v>11</v>
      </c>
    </row>
    <row r="46" spans="1:4" x14ac:dyDescent="0.2">
      <c r="A46">
        <v>198375</v>
      </c>
      <c r="B46" t="s">
        <v>15</v>
      </c>
      <c r="C46" t="s">
        <v>16</v>
      </c>
      <c r="D46" t="s">
        <v>11</v>
      </c>
    </row>
    <row r="47" spans="1:4" x14ac:dyDescent="0.2">
      <c r="A47">
        <v>168837</v>
      </c>
      <c r="B47" t="s">
        <v>15</v>
      </c>
      <c r="C47" t="s">
        <v>13</v>
      </c>
      <c r="D47" t="s">
        <v>11</v>
      </c>
    </row>
    <row r="48" spans="1:4" x14ac:dyDescent="0.2">
      <c r="A48">
        <v>138505</v>
      </c>
      <c r="B48" t="s">
        <v>15</v>
      </c>
      <c r="C48" t="s">
        <v>16</v>
      </c>
      <c r="D48" t="s">
        <v>11</v>
      </c>
    </row>
    <row r="49" spans="1:4" x14ac:dyDescent="0.2">
      <c r="A49">
        <v>116228</v>
      </c>
      <c r="B49" t="s">
        <v>12</v>
      </c>
      <c r="C49" t="s">
        <v>13</v>
      </c>
      <c r="D49" t="s">
        <v>18</v>
      </c>
    </row>
    <row r="50" spans="1:4" x14ac:dyDescent="0.2">
      <c r="A50">
        <v>167592</v>
      </c>
      <c r="B50" t="s">
        <v>12</v>
      </c>
      <c r="C50" t="s">
        <v>16</v>
      </c>
      <c r="D50" t="s">
        <v>18</v>
      </c>
    </row>
    <row r="51" spans="1:4" x14ac:dyDescent="0.2">
      <c r="A51">
        <v>133100</v>
      </c>
      <c r="B51" t="s">
        <v>12</v>
      </c>
      <c r="C51" t="s">
        <v>13</v>
      </c>
      <c r="D51" t="s">
        <v>18</v>
      </c>
    </row>
    <row r="52" spans="1:4" x14ac:dyDescent="0.2">
      <c r="A52">
        <v>119955</v>
      </c>
      <c r="B52" t="s">
        <v>23</v>
      </c>
      <c r="C52" t="s">
        <v>19</v>
      </c>
      <c r="D52" t="s">
        <v>11</v>
      </c>
    </row>
    <row r="53" spans="1:4" x14ac:dyDescent="0.2">
      <c r="A53">
        <v>189349</v>
      </c>
      <c r="B53" t="s">
        <v>12</v>
      </c>
      <c r="C53" t="s">
        <v>16</v>
      </c>
      <c r="D53" t="s">
        <v>18</v>
      </c>
    </row>
    <row r="54" spans="1:4" x14ac:dyDescent="0.2">
      <c r="A54">
        <v>127478</v>
      </c>
      <c r="B54" t="s">
        <v>15</v>
      </c>
      <c r="C54" t="s">
        <v>19</v>
      </c>
      <c r="D54" t="s">
        <v>11</v>
      </c>
    </row>
    <row r="55" spans="1:4" x14ac:dyDescent="0.2">
      <c r="A55">
        <v>180661</v>
      </c>
      <c r="B55" t="s">
        <v>23</v>
      </c>
      <c r="C55" t="s">
        <v>19</v>
      </c>
      <c r="D55" t="s">
        <v>11</v>
      </c>
    </row>
    <row r="56" spans="1:4" x14ac:dyDescent="0.2">
      <c r="A56">
        <v>186681</v>
      </c>
      <c r="B56" t="s">
        <v>15</v>
      </c>
      <c r="C56" t="s">
        <v>19</v>
      </c>
      <c r="D56" t="s">
        <v>11</v>
      </c>
    </row>
    <row r="57" spans="1:4" x14ac:dyDescent="0.2">
      <c r="A57">
        <v>133183</v>
      </c>
      <c r="B57" t="s">
        <v>15</v>
      </c>
      <c r="C57" t="s">
        <v>13</v>
      </c>
      <c r="D57" t="s">
        <v>18</v>
      </c>
    </row>
    <row r="58" spans="1:4" x14ac:dyDescent="0.2">
      <c r="A58">
        <v>173508</v>
      </c>
      <c r="B58" t="s">
        <v>23</v>
      </c>
      <c r="C58" t="s">
        <v>13</v>
      </c>
      <c r="D58" t="s">
        <v>18</v>
      </c>
    </row>
    <row r="59" spans="1:4" x14ac:dyDescent="0.2">
      <c r="A59">
        <v>187930</v>
      </c>
      <c r="B59" t="s">
        <v>12</v>
      </c>
      <c r="C59" t="s">
        <v>21</v>
      </c>
      <c r="D59" t="s">
        <v>11</v>
      </c>
    </row>
    <row r="60" spans="1:4" x14ac:dyDescent="0.2">
      <c r="A60">
        <v>124088</v>
      </c>
      <c r="B60" t="s">
        <v>23</v>
      </c>
      <c r="C60" t="s">
        <v>19</v>
      </c>
      <c r="D60" t="s">
        <v>18</v>
      </c>
    </row>
    <row r="61" spans="1:4" x14ac:dyDescent="0.2">
      <c r="A61">
        <v>190238</v>
      </c>
      <c r="B61" t="s">
        <v>23</v>
      </c>
      <c r="C61" t="s">
        <v>16</v>
      </c>
      <c r="D61" t="s">
        <v>11</v>
      </c>
    </row>
    <row r="62" spans="1:4" x14ac:dyDescent="0.2">
      <c r="A62">
        <v>151925</v>
      </c>
      <c r="B62" t="s">
        <v>12</v>
      </c>
      <c r="C62" t="s">
        <v>16</v>
      </c>
      <c r="D62" t="s">
        <v>18</v>
      </c>
    </row>
    <row r="63" spans="1:4" x14ac:dyDescent="0.2">
      <c r="A63">
        <v>163234</v>
      </c>
      <c r="B63" t="s">
        <v>12</v>
      </c>
      <c r="C63" t="s">
        <v>19</v>
      </c>
      <c r="D63" t="s">
        <v>11</v>
      </c>
    </row>
    <row r="64" spans="1:4" x14ac:dyDescent="0.2">
      <c r="A64">
        <v>135610</v>
      </c>
      <c r="B64" t="s">
        <v>23</v>
      </c>
      <c r="C64" t="s">
        <v>21</v>
      </c>
      <c r="D64" t="s">
        <v>18</v>
      </c>
    </row>
    <row r="65" spans="1:4" x14ac:dyDescent="0.2">
      <c r="A65">
        <v>117065</v>
      </c>
      <c r="B65" t="s">
        <v>23</v>
      </c>
      <c r="C65" t="s">
        <v>16</v>
      </c>
      <c r="D65" t="s">
        <v>18</v>
      </c>
    </row>
    <row r="66" spans="1:4" x14ac:dyDescent="0.2">
      <c r="A66">
        <v>149315</v>
      </c>
      <c r="B66" t="s">
        <v>15</v>
      </c>
      <c r="C66" t="s">
        <v>13</v>
      </c>
      <c r="D66" t="s">
        <v>18</v>
      </c>
    </row>
    <row r="67" spans="1:4" x14ac:dyDescent="0.2">
      <c r="A67">
        <v>149510</v>
      </c>
      <c r="B67" t="s">
        <v>23</v>
      </c>
      <c r="C67" t="s">
        <v>19</v>
      </c>
      <c r="D67" t="s">
        <v>11</v>
      </c>
    </row>
    <row r="68" spans="1:4" x14ac:dyDescent="0.2">
      <c r="A68">
        <v>137990</v>
      </c>
      <c r="B68" t="s">
        <v>23</v>
      </c>
      <c r="C68" t="s">
        <v>16</v>
      </c>
      <c r="D68" t="s">
        <v>11</v>
      </c>
    </row>
    <row r="69" spans="1:4" x14ac:dyDescent="0.2">
      <c r="A69">
        <v>154016</v>
      </c>
      <c r="B69" t="s">
        <v>23</v>
      </c>
      <c r="C69" t="s">
        <v>16</v>
      </c>
      <c r="D69" t="s">
        <v>18</v>
      </c>
    </row>
    <row r="70" spans="1:4" x14ac:dyDescent="0.2">
      <c r="A70">
        <v>117751</v>
      </c>
      <c r="B70" t="s">
        <v>12</v>
      </c>
      <c r="C70" t="s">
        <v>16</v>
      </c>
      <c r="D70" t="s">
        <v>11</v>
      </c>
    </row>
    <row r="71" spans="1:4" x14ac:dyDescent="0.2">
      <c r="A71">
        <v>182362</v>
      </c>
      <c r="B71" t="s">
        <v>15</v>
      </c>
      <c r="C71" t="s">
        <v>13</v>
      </c>
      <c r="D71" t="s">
        <v>11</v>
      </c>
    </row>
    <row r="72" spans="1:4" x14ac:dyDescent="0.2">
      <c r="A72">
        <v>117725</v>
      </c>
      <c r="B72" t="s">
        <v>15</v>
      </c>
      <c r="C72" t="s">
        <v>16</v>
      </c>
      <c r="D72" t="s">
        <v>11</v>
      </c>
    </row>
    <row r="73" spans="1:4" x14ac:dyDescent="0.2">
      <c r="A73">
        <v>145289</v>
      </c>
      <c r="B73" t="s">
        <v>23</v>
      </c>
      <c r="C73" t="s">
        <v>13</v>
      </c>
      <c r="D73" t="s">
        <v>11</v>
      </c>
    </row>
    <row r="74" spans="1:4" x14ac:dyDescent="0.2">
      <c r="A74">
        <v>173576</v>
      </c>
      <c r="B74" t="s">
        <v>12</v>
      </c>
      <c r="C74" t="s">
        <v>21</v>
      </c>
      <c r="D74" t="s">
        <v>18</v>
      </c>
    </row>
    <row r="75" spans="1:4" x14ac:dyDescent="0.2">
      <c r="A75">
        <v>175059</v>
      </c>
      <c r="B75" t="s">
        <v>23</v>
      </c>
      <c r="C75" t="s">
        <v>16</v>
      </c>
      <c r="D75" t="s">
        <v>18</v>
      </c>
    </row>
    <row r="76" spans="1:4" x14ac:dyDescent="0.2">
      <c r="A76">
        <v>199368</v>
      </c>
      <c r="B76" t="s">
        <v>15</v>
      </c>
      <c r="C76" t="s">
        <v>13</v>
      </c>
      <c r="D76" t="s">
        <v>11</v>
      </c>
    </row>
    <row r="77" spans="1:4" x14ac:dyDescent="0.2">
      <c r="A77">
        <v>162883</v>
      </c>
      <c r="B77" t="s">
        <v>15</v>
      </c>
      <c r="C77" t="s">
        <v>16</v>
      </c>
      <c r="D77" t="s">
        <v>18</v>
      </c>
    </row>
    <row r="78" spans="1:4" x14ac:dyDescent="0.2">
      <c r="A78">
        <v>135490</v>
      </c>
      <c r="B78" t="s">
        <v>12</v>
      </c>
      <c r="C78" t="s">
        <v>13</v>
      </c>
      <c r="D78" t="s">
        <v>11</v>
      </c>
    </row>
    <row r="79" spans="1:4" x14ac:dyDescent="0.2">
      <c r="A79">
        <v>125408</v>
      </c>
      <c r="B79" t="s">
        <v>23</v>
      </c>
      <c r="C79" t="s">
        <v>21</v>
      </c>
      <c r="D79" t="s">
        <v>18</v>
      </c>
    </row>
    <row r="80" spans="1:4" x14ac:dyDescent="0.2">
      <c r="A80">
        <v>134763</v>
      </c>
      <c r="B80" t="s">
        <v>15</v>
      </c>
      <c r="C80" t="s">
        <v>21</v>
      </c>
      <c r="D80" t="s">
        <v>11</v>
      </c>
    </row>
    <row r="81" spans="1:4" x14ac:dyDescent="0.2">
      <c r="A81">
        <v>143231</v>
      </c>
      <c r="B81" t="s">
        <v>15</v>
      </c>
      <c r="C81" t="s">
        <v>13</v>
      </c>
      <c r="D81" t="s">
        <v>11</v>
      </c>
    </row>
    <row r="82" spans="1:4" x14ac:dyDescent="0.2">
      <c r="A82">
        <v>125409</v>
      </c>
      <c r="B82" t="s">
        <v>23</v>
      </c>
      <c r="C82" t="s">
        <v>21</v>
      </c>
      <c r="D82" t="s">
        <v>18</v>
      </c>
    </row>
    <row r="83" spans="1:4" x14ac:dyDescent="0.2">
      <c r="A83">
        <v>183074</v>
      </c>
      <c r="B83" t="s">
        <v>15</v>
      </c>
      <c r="C83" t="s">
        <v>21</v>
      </c>
      <c r="D83" t="s">
        <v>11</v>
      </c>
    </row>
    <row r="84" spans="1:4" x14ac:dyDescent="0.2">
      <c r="A84">
        <v>147947</v>
      </c>
      <c r="B84" t="s">
        <v>23</v>
      </c>
      <c r="C84" t="s">
        <v>19</v>
      </c>
      <c r="D84" t="s">
        <v>18</v>
      </c>
    </row>
    <row r="85" spans="1:4" x14ac:dyDescent="0.2">
      <c r="A85">
        <v>174171</v>
      </c>
      <c r="B85" t="s">
        <v>12</v>
      </c>
      <c r="C85" t="s">
        <v>16</v>
      </c>
      <c r="D85" t="s">
        <v>18</v>
      </c>
    </row>
    <row r="86" spans="1:4" x14ac:dyDescent="0.2">
      <c r="A86">
        <v>183064</v>
      </c>
      <c r="B86" t="s">
        <v>15</v>
      </c>
      <c r="C86" t="s">
        <v>19</v>
      </c>
      <c r="D86" t="s">
        <v>18</v>
      </c>
    </row>
    <row r="87" spans="1:4" x14ac:dyDescent="0.2">
      <c r="A87">
        <v>177131</v>
      </c>
      <c r="B87" t="s">
        <v>23</v>
      </c>
      <c r="C87" t="s">
        <v>13</v>
      </c>
      <c r="D87" t="s">
        <v>18</v>
      </c>
    </row>
    <row r="88" spans="1:4" x14ac:dyDescent="0.2">
      <c r="A88">
        <v>128179</v>
      </c>
      <c r="B88" t="s">
        <v>23</v>
      </c>
      <c r="C88" t="s">
        <v>16</v>
      </c>
      <c r="D88" t="s">
        <v>18</v>
      </c>
    </row>
    <row r="89" spans="1:4" x14ac:dyDescent="0.2">
      <c r="A89">
        <v>152723</v>
      </c>
      <c r="B89" t="s">
        <v>23</v>
      </c>
      <c r="C89" t="s">
        <v>16</v>
      </c>
      <c r="D89" t="s">
        <v>11</v>
      </c>
    </row>
    <row r="90" spans="1:4" x14ac:dyDescent="0.2">
      <c r="A90">
        <v>123824</v>
      </c>
      <c r="B90" t="s">
        <v>15</v>
      </c>
      <c r="C90" t="s">
        <v>13</v>
      </c>
      <c r="D90" t="s">
        <v>18</v>
      </c>
    </row>
    <row r="91" spans="1:4" x14ac:dyDescent="0.2">
      <c r="A91">
        <v>166345</v>
      </c>
      <c r="B91" t="s">
        <v>15</v>
      </c>
      <c r="C91" t="s">
        <v>16</v>
      </c>
      <c r="D91" t="s">
        <v>11</v>
      </c>
    </row>
    <row r="92" spans="1:4" x14ac:dyDescent="0.2">
      <c r="A92">
        <v>199279</v>
      </c>
      <c r="B92" t="s">
        <v>15</v>
      </c>
      <c r="C92" t="s">
        <v>16</v>
      </c>
      <c r="D92" t="s">
        <v>11</v>
      </c>
    </row>
    <row r="93" spans="1:4" x14ac:dyDescent="0.2">
      <c r="A93">
        <v>167981</v>
      </c>
      <c r="B93" t="s">
        <v>23</v>
      </c>
      <c r="C93" t="s">
        <v>21</v>
      </c>
      <c r="D93" t="s">
        <v>11</v>
      </c>
    </row>
    <row r="94" spans="1:4" x14ac:dyDescent="0.2">
      <c r="A94">
        <v>146839</v>
      </c>
      <c r="B94" t="s">
        <v>12</v>
      </c>
      <c r="C94" t="s">
        <v>21</v>
      </c>
      <c r="D94" t="s">
        <v>11</v>
      </c>
    </row>
    <row r="95" spans="1:4" x14ac:dyDescent="0.2">
      <c r="A95">
        <v>187180</v>
      </c>
      <c r="B95" t="s">
        <v>23</v>
      </c>
      <c r="C95" t="s">
        <v>13</v>
      </c>
      <c r="D95" t="s">
        <v>11</v>
      </c>
    </row>
    <row r="96" spans="1:4" x14ac:dyDescent="0.2">
      <c r="A96">
        <v>167640</v>
      </c>
      <c r="B96" t="s">
        <v>23</v>
      </c>
      <c r="C96" t="s">
        <v>13</v>
      </c>
      <c r="D96" t="s">
        <v>18</v>
      </c>
    </row>
    <row r="97" spans="1:4" x14ac:dyDescent="0.2">
      <c r="A97">
        <v>165158</v>
      </c>
      <c r="B97" t="s">
        <v>15</v>
      </c>
      <c r="C97" t="s">
        <v>21</v>
      </c>
      <c r="D97" t="s">
        <v>11</v>
      </c>
    </row>
    <row r="98" spans="1:4" x14ac:dyDescent="0.2">
      <c r="A98">
        <v>111521</v>
      </c>
      <c r="B98" t="s">
        <v>23</v>
      </c>
      <c r="C98" t="s">
        <v>16</v>
      </c>
      <c r="D98" t="s">
        <v>18</v>
      </c>
    </row>
    <row r="99" spans="1:4" x14ac:dyDescent="0.2">
      <c r="A99">
        <v>120228</v>
      </c>
      <c r="B99" t="s">
        <v>23</v>
      </c>
      <c r="C99" t="s">
        <v>16</v>
      </c>
      <c r="D99" t="s">
        <v>11</v>
      </c>
    </row>
    <row r="100" spans="1:4" x14ac:dyDescent="0.2">
      <c r="A100">
        <v>133078</v>
      </c>
      <c r="B100" t="s">
        <v>15</v>
      </c>
      <c r="C100" t="s">
        <v>13</v>
      </c>
      <c r="D100" t="s">
        <v>11</v>
      </c>
    </row>
    <row r="101" spans="1:4" x14ac:dyDescent="0.2">
      <c r="A101">
        <v>137598</v>
      </c>
      <c r="B101" t="s">
        <v>12</v>
      </c>
      <c r="C101" t="s">
        <v>13</v>
      </c>
      <c r="D101" t="s">
        <v>11</v>
      </c>
    </row>
    <row r="102" spans="1:4" x14ac:dyDescent="0.2">
      <c r="A102">
        <v>138779</v>
      </c>
      <c r="B102" t="s">
        <v>15</v>
      </c>
      <c r="C102" t="s">
        <v>13</v>
      </c>
      <c r="D102" t="s">
        <v>18</v>
      </c>
    </row>
    <row r="103" spans="1:4" x14ac:dyDescent="0.2">
      <c r="A103">
        <v>198329</v>
      </c>
      <c r="B103" t="s">
        <v>15</v>
      </c>
      <c r="C103" t="s">
        <v>19</v>
      </c>
      <c r="D103" t="s">
        <v>18</v>
      </c>
    </row>
    <row r="104" spans="1:4" x14ac:dyDescent="0.2">
      <c r="A104">
        <v>110295</v>
      </c>
      <c r="B104" t="s">
        <v>15</v>
      </c>
      <c r="C104" t="s">
        <v>19</v>
      </c>
      <c r="D104" t="s">
        <v>18</v>
      </c>
    </row>
    <row r="105" spans="1:4" x14ac:dyDescent="0.2">
      <c r="A105">
        <v>196427</v>
      </c>
      <c r="B105" t="s">
        <v>15</v>
      </c>
      <c r="C105" t="s">
        <v>13</v>
      </c>
      <c r="D105" t="s">
        <v>18</v>
      </c>
    </row>
    <row r="106" spans="1:4" x14ac:dyDescent="0.2">
      <c r="A106">
        <v>110075</v>
      </c>
      <c r="B106" t="s">
        <v>12</v>
      </c>
      <c r="C106" t="s">
        <v>21</v>
      </c>
      <c r="D106" t="s">
        <v>18</v>
      </c>
    </row>
    <row r="107" spans="1:4" x14ac:dyDescent="0.2">
      <c r="A107">
        <v>132322</v>
      </c>
      <c r="B107" t="s">
        <v>15</v>
      </c>
      <c r="C107" t="s">
        <v>13</v>
      </c>
      <c r="D107" t="s">
        <v>18</v>
      </c>
    </row>
    <row r="108" spans="1:4" x14ac:dyDescent="0.2">
      <c r="A108">
        <v>199631</v>
      </c>
      <c r="B108" t="s">
        <v>12</v>
      </c>
      <c r="C108" t="s">
        <v>13</v>
      </c>
      <c r="D108" t="s">
        <v>18</v>
      </c>
    </row>
    <row r="109" spans="1:4" x14ac:dyDescent="0.2">
      <c r="A109">
        <v>182306</v>
      </c>
      <c r="B109" t="s">
        <v>12</v>
      </c>
      <c r="C109" t="s">
        <v>16</v>
      </c>
      <c r="D109" t="s">
        <v>11</v>
      </c>
    </row>
    <row r="110" spans="1:4" x14ac:dyDescent="0.2">
      <c r="A110">
        <v>194915</v>
      </c>
      <c r="B110" t="s">
        <v>15</v>
      </c>
      <c r="C110" t="s">
        <v>16</v>
      </c>
      <c r="D110" t="s">
        <v>18</v>
      </c>
    </row>
    <row r="111" spans="1:4" x14ac:dyDescent="0.2">
      <c r="A111">
        <v>131298</v>
      </c>
      <c r="B111" t="s">
        <v>12</v>
      </c>
      <c r="C111" t="s">
        <v>21</v>
      </c>
      <c r="D111" t="s">
        <v>18</v>
      </c>
    </row>
    <row r="112" spans="1:4" x14ac:dyDescent="0.2">
      <c r="A112">
        <v>168571</v>
      </c>
      <c r="B112" t="s">
        <v>23</v>
      </c>
      <c r="C112" t="s">
        <v>16</v>
      </c>
      <c r="D112" t="s">
        <v>11</v>
      </c>
    </row>
    <row r="113" spans="1:4" x14ac:dyDescent="0.2">
      <c r="A113">
        <v>154224</v>
      </c>
      <c r="B113" t="s">
        <v>12</v>
      </c>
      <c r="C113" t="s">
        <v>13</v>
      </c>
      <c r="D113" t="s">
        <v>18</v>
      </c>
    </row>
    <row r="114" spans="1:4" x14ac:dyDescent="0.2">
      <c r="A114">
        <v>171061</v>
      </c>
      <c r="B114" t="s">
        <v>15</v>
      </c>
      <c r="C114" t="s">
        <v>21</v>
      </c>
      <c r="D114" t="s">
        <v>11</v>
      </c>
    </row>
    <row r="115" spans="1:4" x14ac:dyDescent="0.2">
      <c r="A115">
        <v>119049</v>
      </c>
      <c r="B115" t="s">
        <v>15</v>
      </c>
      <c r="C115" t="s">
        <v>16</v>
      </c>
      <c r="D115" t="s">
        <v>11</v>
      </c>
    </row>
    <row r="116" spans="1:4" x14ac:dyDescent="0.2">
      <c r="A116">
        <v>158781</v>
      </c>
      <c r="B116" t="s">
        <v>12</v>
      </c>
      <c r="C116" t="s">
        <v>19</v>
      </c>
      <c r="D116" t="s">
        <v>18</v>
      </c>
    </row>
    <row r="117" spans="1:4" x14ac:dyDescent="0.2">
      <c r="A117">
        <v>151438</v>
      </c>
      <c r="B117" t="s">
        <v>12</v>
      </c>
      <c r="C117" t="s">
        <v>16</v>
      </c>
      <c r="D117" t="s">
        <v>11</v>
      </c>
    </row>
    <row r="118" spans="1:4" x14ac:dyDescent="0.2">
      <c r="A118">
        <v>152871</v>
      </c>
      <c r="B118" t="s">
        <v>23</v>
      </c>
      <c r="C118" t="s">
        <v>13</v>
      </c>
      <c r="D118" t="s">
        <v>11</v>
      </c>
    </row>
    <row r="119" spans="1:4" x14ac:dyDescent="0.2">
      <c r="A119">
        <v>126806</v>
      </c>
      <c r="B119" t="s">
        <v>23</v>
      </c>
      <c r="C119" t="s">
        <v>19</v>
      </c>
      <c r="D119" t="s">
        <v>18</v>
      </c>
    </row>
    <row r="120" spans="1:4" x14ac:dyDescent="0.2">
      <c r="A120">
        <v>134104</v>
      </c>
      <c r="B120" t="s">
        <v>12</v>
      </c>
      <c r="C120" t="s">
        <v>21</v>
      </c>
      <c r="D120" t="s">
        <v>11</v>
      </c>
    </row>
    <row r="121" spans="1:4" x14ac:dyDescent="0.2">
      <c r="A121">
        <v>120266</v>
      </c>
      <c r="B121" t="s">
        <v>23</v>
      </c>
      <c r="C121" t="s">
        <v>13</v>
      </c>
      <c r="D121" t="s">
        <v>11</v>
      </c>
    </row>
    <row r="122" spans="1:4" x14ac:dyDescent="0.2">
      <c r="A122">
        <v>173550</v>
      </c>
      <c r="B122" t="s">
        <v>12</v>
      </c>
      <c r="C122" t="s">
        <v>13</v>
      </c>
      <c r="D122" t="s">
        <v>11</v>
      </c>
    </row>
    <row r="123" spans="1:4" x14ac:dyDescent="0.2">
      <c r="A123">
        <v>175927</v>
      </c>
      <c r="B123" t="s">
        <v>12</v>
      </c>
      <c r="C123" t="s">
        <v>19</v>
      </c>
      <c r="D123" t="s">
        <v>11</v>
      </c>
    </row>
    <row r="124" spans="1:4" x14ac:dyDescent="0.2">
      <c r="A124">
        <v>154278</v>
      </c>
      <c r="B124" t="s">
        <v>12</v>
      </c>
      <c r="C124" t="s">
        <v>16</v>
      </c>
      <c r="D124" t="s">
        <v>11</v>
      </c>
    </row>
    <row r="125" spans="1:4" x14ac:dyDescent="0.2">
      <c r="A125">
        <v>183537</v>
      </c>
      <c r="B125" t="s">
        <v>15</v>
      </c>
      <c r="C125" t="s">
        <v>21</v>
      </c>
      <c r="D125" t="s">
        <v>18</v>
      </c>
    </row>
    <row r="126" spans="1:4" x14ac:dyDescent="0.2">
      <c r="A126">
        <v>150424</v>
      </c>
      <c r="B126" t="s">
        <v>12</v>
      </c>
      <c r="C126" t="s">
        <v>19</v>
      </c>
      <c r="D126" t="s">
        <v>11</v>
      </c>
    </row>
    <row r="127" spans="1:4" x14ac:dyDescent="0.2">
      <c r="A127">
        <v>183825</v>
      </c>
      <c r="B127" t="s">
        <v>15</v>
      </c>
      <c r="C127" t="s">
        <v>13</v>
      </c>
      <c r="D127" t="s">
        <v>18</v>
      </c>
    </row>
    <row r="128" spans="1:4" x14ac:dyDescent="0.2">
      <c r="A128">
        <v>144012</v>
      </c>
      <c r="B128" t="s">
        <v>15</v>
      </c>
      <c r="C128" t="s">
        <v>13</v>
      </c>
      <c r="D128" t="s">
        <v>18</v>
      </c>
    </row>
    <row r="129" spans="1:4" x14ac:dyDescent="0.2">
      <c r="A129">
        <v>147051</v>
      </c>
      <c r="B129" t="s">
        <v>15</v>
      </c>
      <c r="C129" t="s">
        <v>19</v>
      </c>
      <c r="D129" t="s">
        <v>11</v>
      </c>
    </row>
    <row r="130" spans="1:4" x14ac:dyDescent="0.2">
      <c r="A130">
        <v>185800</v>
      </c>
      <c r="B130" t="s">
        <v>12</v>
      </c>
      <c r="C130" t="s">
        <v>21</v>
      </c>
      <c r="D130" t="s">
        <v>11</v>
      </c>
    </row>
    <row r="131" spans="1:4" x14ac:dyDescent="0.2">
      <c r="A131">
        <v>197524</v>
      </c>
      <c r="B131" t="s">
        <v>15</v>
      </c>
      <c r="C131" t="s">
        <v>16</v>
      </c>
      <c r="D131" t="s">
        <v>18</v>
      </c>
    </row>
    <row r="132" spans="1:4" x14ac:dyDescent="0.2">
      <c r="A132">
        <v>148823</v>
      </c>
      <c r="B132" t="s">
        <v>15</v>
      </c>
      <c r="C132" t="s">
        <v>16</v>
      </c>
      <c r="D132" t="s">
        <v>11</v>
      </c>
    </row>
    <row r="133" spans="1:4" x14ac:dyDescent="0.2">
      <c r="A133">
        <v>114550</v>
      </c>
      <c r="B133" t="s">
        <v>15</v>
      </c>
      <c r="C133" t="s">
        <v>19</v>
      </c>
      <c r="D133" t="s">
        <v>11</v>
      </c>
    </row>
    <row r="134" spans="1:4" x14ac:dyDescent="0.2">
      <c r="A134">
        <v>125398</v>
      </c>
      <c r="B134" t="s">
        <v>23</v>
      </c>
      <c r="C134" t="s">
        <v>21</v>
      </c>
      <c r="D134" t="s">
        <v>18</v>
      </c>
    </row>
    <row r="135" spans="1:4" x14ac:dyDescent="0.2">
      <c r="A135">
        <v>123985</v>
      </c>
      <c r="B135" t="s">
        <v>23</v>
      </c>
      <c r="C135" t="s">
        <v>16</v>
      </c>
      <c r="D135" t="s">
        <v>11</v>
      </c>
    </row>
    <row r="136" spans="1:4" x14ac:dyDescent="0.2">
      <c r="A136">
        <v>186638</v>
      </c>
      <c r="B136" t="s">
        <v>23</v>
      </c>
      <c r="C136" t="s">
        <v>21</v>
      </c>
      <c r="D136" t="s">
        <v>18</v>
      </c>
    </row>
    <row r="137" spans="1:4" x14ac:dyDescent="0.2">
      <c r="A137">
        <v>167281</v>
      </c>
      <c r="B137" t="s">
        <v>23</v>
      </c>
      <c r="C137" t="s">
        <v>13</v>
      </c>
      <c r="D137" t="s">
        <v>18</v>
      </c>
    </row>
    <row r="138" spans="1:4" x14ac:dyDescent="0.2">
      <c r="A138">
        <v>118578</v>
      </c>
      <c r="B138" t="s">
        <v>23</v>
      </c>
      <c r="C138" t="s">
        <v>16</v>
      </c>
      <c r="D138" t="s">
        <v>11</v>
      </c>
    </row>
    <row r="139" spans="1:4" x14ac:dyDescent="0.2">
      <c r="A139">
        <v>174041</v>
      </c>
      <c r="B139" t="s">
        <v>12</v>
      </c>
      <c r="C139" t="s">
        <v>16</v>
      </c>
      <c r="D139" t="s">
        <v>11</v>
      </c>
    </row>
    <row r="140" spans="1:4" x14ac:dyDescent="0.2">
      <c r="A140">
        <v>127644</v>
      </c>
      <c r="B140" t="s">
        <v>15</v>
      </c>
      <c r="C140" t="s">
        <v>19</v>
      </c>
      <c r="D140" t="s">
        <v>11</v>
      </c>
    </row>
    <row r="141" spans="1:4" x14ac:dyDescent="0.2">
      <c r="A141">
        <v>132007</v>
      </c>
      <c r="B141" t="s">
        <v>15</v>
      </c>
      <c r="C141" t="s">
        <v>13</v>
      </c>
      <c r="D141" t="s">
        <v>11</v>
      </c>
    </row>
    <row r="142" spans="1:4" x14ac:dyDescent="0.2">
      <c r="A142">
        <v>147998</v>
      </c>
      <c r="B142" t="s">
        <v>15</v>
      </c>
      <c r="C142" t="s">
        <v>19</v>
      </c>
      <c r="D142" t="s">
        <v>11</v>
      </c>
    </row>
    <row r="143" spans="1:4" x14ac:dyDescent="0.2">
      <c r="A143">
        <v>176666</v>
      </c>
      <c r="B143" t="s">
        <v>15</v>
      </c>
      <c r="C143" t="s">
        <v>13</v>
      </c>
      <c r="D143" t="s">
        <v>18</v>
      </c>
    </row>
    <row r="144" spans="1:4" x14ac:dyDescent="0.2">
      <c r="A144">
        <v>193686</v>
      </c>
      <c r="B144" t="s">
        <v>12</v>
      </c>
      <c r="C144" t="s">
        <v>21</v>
      </c>
      <c r="D144" t="s">
        <v>18</v>
      </c>
    </row>
    <row r="145" spans="1:4" x14ac:dyDescent="0.2">
      <c r="A145">
        <v>163610</v>
      </c>
      <c r="B145" t="s">
        <v>23</v>
      </c>
      <c r="C145" t="s">
        <v>13</v>
      </c>
      <c r="D145" t="s">
        <v>18</v>
      </c>
    </row>
    <row r="146" spans="1:4" x14ac:dyDescent="0.2">
      <c r="A146">
        <v>170364</v>
      </c>
      <c r="B146" t="s">
        <v>12</v>
      </c>
      <c r="C146" t="s">
        <v>21</v>
      </c>
      <c r="D146" t="s">
        <v>11</v>
      </c>
    </row>
    <row r="147" spans="1:4" x14ac:dyDescent="0.2">
      <c r="A147">
        <v>167599</v>
      </c>
      <c r="B147" t="s">
        <v>12</v>
      </c>
      <c r="C147" t="s">
        <v>19</v>
      </c>
      <c r="D147" t="s">
        <v>11</v>
      </c>
    </row>
    <row r="148" spans="1:4" x14ac:dyDescent="0.2">
      <c r="A148">
        <v>166421</v>
      </c>
      <c r="B148" t="s">
        <v>23</v>
      </c>
      <c r="C148" t="s">
        <v>19</v>
      </c>
      <c r="D148" t="s">
        <v>18</v>
      </c>
    </row>
    <row r="149" spans="1:4" x14ac:dyDescent="0.2">
      <c r="A149">
        <v>129247</v>
      </c>
      <c r="B149" t="s">
        <v>15</v>
      </c>
      <c r="C149" t="s">
        <v>21</v>
      </c>
      <c r="D149" t="s">
        <v>18</v>
      </c>
    </row>
    <row r="150" spans="1:4" x14ac:dyDescent="0.2">
      <c r="A150">
        <v>127314</v>
      </c>
      <c r="B150" t="s">
        <v>12</v>
      </c>
      <c r="C150" t="s">
        <v>13</v>
      </c>
      <c r="D150" t="s">
        <v>18</v>
      </c>
    </row>
    <row r="151" spans="1:4" x14ac:dyDescent="0.2">
      <c r="A151">
        <v>111979</v>
      </c>
      <c r="B151" t="s">
        <v>12</v>
      </c>
      <c r="C151" t="s">
        <v>13</v>
      </c>
      <c r="D151" t="s">
        <v>11</v>
      </c>
    </row>
    <row r="152" spans="1:4" x14ac:dyDescent="0.2">
      <c r="A152">
        <v>120354</v>
      </c>
      <c r="B152" t="s">
        <v>23</v>
      </c>
      <c r="C152" t="s">
        <v>16</v>
      </c>
      <c r="D152" t="s">
        <v>18</v>
      </c>
    </row>
    <row r="153" spans="1:4" x14ac:dyDescent="0.2">
      <c r="A153">
        <v>144848</v>
      </c>
      <c r="B153" t="s">
        <v>12</v>
      </c>
      <c r="C153" t="s">
        <v>21</v>
      </c>
      <c r="D153" t="s">
        <v>11</v>
      </c>
    </row>
    <row r="154" spans="1:4" x14ac:dyDescent="0.2">
      <c r="A154">
        <v>111957</v>
      </c>
      <c r="B154" t="s">
        <v>23</v>
      </c>
      <c r="C154" t="s">
        <v>16</v>
      </c>
      <c r="D154" t="s">
        <v>18</v>
      </c>
    </row>
    <row r="155" spans="1:4" x14ac:dyDescent="0.2">
      <c r="A155">
        <v>160763</v>
      </c>
      <c r="B155" t="s">
        <v>23</v>
      </c>
      <c r="C155" t="s">
        <v>21</v>
      </c>
      <c r="D155" t="s">
        <v>18</v>
      </c>
    </row>
    <row r="156" spans="1:4" x14ac:dyDescent="0.2">
      <c r="A156">
        <v>168270</v>
      </c>
      <c r="B156" t="s">
        <v>12</v>
      </c>
      <c r="C156" t="s">
        <v>19</v>
      </c>
      <c r="D156" t="s">
        <v>18</v>
      </c>
    </row>
    <row r="157" spans="1:4" x14ac:dyDescent="0.2">
      <c r="A157">
        <v>195082</v>
      </c>
      <c r="B157" t="s">
        <v>15</v>
      </c>
      <c r="C157" t="s">
        <v>13</v>
      </c>
      <c r="D157" t="s">
        <v>11</v>
      </c>
    </row>
    <row r="158" spans="1:4" x14ac:dyDescent="0.2">
      <c r="A158">
        <v>110329</v>
      </c>
      <c r="B158" t="s">
        <v>15</v>
      </c>
      <c r="C158" t="s">
        <v>21</v>
      </c>
      <c r="D158" t="s">
        <v>11</v>
      </c>
    </row>
    <row r="159" spans="1:4" x14ac:dyDescent="0.2">
      <c r="A159">
        <v>147449</v>
      </c>
      <c r="B159" t="s">
        <v>15</v>
      </c>
      <c r="C159" t="s">
        <v>13</v>
      </c>
      <c r="D159" t="s">
        <v>11</v>
      </c>
    </row>
    <row r="160" spans="1:4" x14ac:dyDescent="0.2">
      <c r="A160">
        <v>193332</v>
      </c>
      <c r="B160" t="s">
        <v>15</v>
      </c>
      <c r="C160" t="s">
        <v>21</v>
      </c>
      <c r="D160" t="s">
        <v>18</v>
      </c>
    </row>
    <row r="161" spans="1:4" x14ac:dyDescent="0.2">
      <c r="A161">
        <v>146804</v>
      </c>
      <c r="B161" t="s">
        <v>12</v>
      </c>
      <c r="C161" t="s">
        <v>13</v>
      </c>
      <c r="D161" t="s">
        <v>18</v>
      </c>
    </row>
    <row r="162" spans="1:4" x14ac:dyDescent="0.2">
      <c r="A162">
        <v>188909</v>
      </c>
      <c r="B162" t="s">
        <v>12</v>
      </c>
      <c r="C162" t="s">
        <v>16</v>
      </c>
      <c r="D162" t="s">
        <v>18</v>
      </c>
    </row>
    <row r="163" spans="1:4" x14ac:dyDescent="0.2">
      <c r="A163">
        <v>165910</v>
      </c>
      <c r="B163" t="s">
        <v>23</v>
      </c>
      <c r="C163" t="s">
        <v>21</v>
      </c>
      <c r="D163" t="s">
        <v>18</v>
      </c>
    </row>
    <row r="164" spans="1:4" x14ac:dyDescent="0.2">
      <c r="A164">
        <v>136738</v>
      </c>
      <c r="B164" t="s">
        <v>15</v>
      </c>
      <c r="C164" t="s">
        <v>16</v>
      </c>
      <c r="D164" t="s">
        <v>11</v>
      </c>
    </row>
    <row r="165" spans="1:4" x14ac:dyDescent="0.2">
      <c r="A165">
        <v>144497</v>
      </c>
      <c r="B165" t="s">
        <v>15</v>
      </c>
      <c r="C165" t="s">
        <v>19</v>
      </c>
      <c r="D165" t="s">
        <v>18</v>
      </c>
    </row>
    <row r="166" spans="1:4" x14ac:dyDescent="0.2">
      <c r="A166">
        <v>135036</v>
      </c>
      <c r="B166" t="s">
        <v>15</v>
      </c>
      <c r="C166" t="s">
        <v>21</v>
      </c>
      <c r="D166" t="s">
        <v>18</v>
      </c>
    </row>
    <row r="167" spans="1:4" x14ac:dyDescent="0.2">
      <c r="A167">
        <v>166331</v>
      </c>
      <c r="B167" t="s">
        <v>15</v>
      </c>
      <c r="C167" t="s">
        <v>13</v>
      </c>
      <c r="D167" t="s">
        <v>18</v>
      </c>
    </row>
    <row r="168" spans="1:4" x14ac:dyDescent="0.2">
      <c r="A168">
        <v>139789</v>
      </c>
      <c r="B168" t="s">
        <v>23</v>
      </c>
      <c r="C168" t="s">
        <v>13</v>
      </c>
      <c r="D168" t="s">
        <v>11</v>
      </c>
    </row>
    <row r="169" spans="1:4" x14ac:dyDescent="0.2">
      <c r="A169">
        <v>118569</v>
      </c>
      <c r="B169" t="s">
        <v>12</v>
      </c>
      <c r="C169" t="s">
        <v>19</v>
      </c>
      <c r="D169" t="s">
        <v>11</v>
      </c>
    </row>
    <row r="170" spans="1:4" x14ac:dyDescent="0.2">
      <c r="A170">
        <v>155848</v>
      </c>
      <c r="B170" t="s">
        <v>12</v>
      </c>
      <c r="C170" t="s">
        <v>16</v>
      </c>
      <c r="D170" t="s">
        <v>18</v>
      </c>
    </row>
    <row r="171" spans="1:4" x14ac:dyDescent="0.2">
      <c r="A171">
        <v>152563</v>
      </c>
      <c r="B171" t="s">
        <v>15</v>
      </c>
      <c r="C171" t="s">
        <v>21</v>
      </c>
      <c r="D171" t="s">
        <v>11</v>
      </c>
    </row>
    <row r="172" spans="1:4" x14ac:dyDescent="0.2">
      <c r="A172">
        <v>115153</v>
      </c>
      <c r="B172" t="s">
        <v>12</v>
      </c>
      <c r="C172" t="s">
        <v>13</v>
      </c>
      <c r="D172" t="s">
        <v>11</v>
      </c>
    </row>
    <row r="173" spans="1:4" x14ac:dyDescent="0.2">
      <c r="A173">
        <v>125938</v>
      </c>
      <c r="B173" t="s">
        <v>23</v>
      </c>
      <c r="C173" t="s">
        <v>19</v>
      </c>
      <c r="D173" t="s">
        <v>18</v>
      </c>
    </row>
    <row r="174" spans="1:4" x14ac:dyDescent="0.2">
      <c r="A174">
        <v>122809</v>
      </c>
      <c r="B174" t="s">
        <v>23</v>
      </c>
      <c r="C174" t="s">
        <v>19</v>
      </c>
      <c r="D174" t="s">
        <v>11</v>
      </c>
    </row>
    <row r="175" spans="1:4" x14ac:dyDescent="0.2">
      <c r="A175">
        <v>181502</v>
      </c>
      <c r="B175" t="s">
        <v>23</v>
      </c>
      <c r="C175" t="s">
        <v>19</v>
      </c>
      <c r="D175" t="s">
        <v>18</v>
      </c>
    </row>
    <row r="176" spans="1:4" x14ac:dyDescent="0.2">
      <c r="A176">
        <v>182779</v>
      </c>
      <c r="B176" t="s">
        <v>15</v>
      </c>
      <c r="C176" t="s">
        <v>19</v>
      </c>
      <c r="D176" t="s">
        <v>18</v>
      </c>
    </row>
    <row r="177" spans="1:4" x14ac:dyDescent="0.2">
      <c r="A177">
        <v>155674</v>
      </c>
      <c r="B177" t="s">
        <v>15</v>
      </c>
      <c r="C177" t="s">
        <v>13</v>
      </c>
      <c r="D177" t="s">
        <v>11</v>
      </c>
    </row>
    <row r="178" spans="1:4" x14ac:dyDescent="0.2">
      <c r="A178">
        <v>182866</v>
      </c>
      <c r="B178" t="s">
        <v>23</v>
      </c>
      <c r="C178" t="s">
        <v>16</v>
      </c>
      <c r="D178" t="s">
        <v>11</v>
      </c>
    </row>
    <row r="179" spans="1:4" x14ac:dyDescent="0.2">
      <c r="A179">
        <v>148230</v>
      </c>
      <c r="B179" t="s">
        <v>12</v>
      </c>
      <c r="C179" t="s">
        <v>19</v>
      </c>
      <c r="D179" t="s">
        <v>18</v>
      </c>
    </row>
    <row r="180" spans="1:4" x14ac:dyDescent="0.2">
      <c r="A180">
        <v>126979</v>
      </c>
      <c r="B180" t="s">
        <v>23</v>
      </c>
      <c r="C180" t="s">
        <v>16</v>
      </c>
      <c r="D180" t="s">
        <v>11</v>
      </c>
    </row>
    <row r="181" spans="1:4" x14ac:dyDescent="0.2">
      <c r="A181">
        <v>135521</v>
      </c>
      <c r="B181" t="s">
        <v>12</v>
      </c>
      <c r="C181" t="s">
        <v>19</v>
      </c>
      <c r="D181" t="s">
        <v>11</v>
      </c>
    </row>
    <row r="182" spans="1:4" x14ac:dyDescent="0.2">
      <c r="A182">
        <v>185809</v>
      </c>
      <c r="B182" t="s">
        <v>23</v>
      </c>
      <c r="C182" t="s">
        <v>13</v>
      </c>
      <c r="D182" t="s">
        <v>11</v>
      </c>
    </row>
    <row r="183" spans="1:4" x14ac:dyDescent="0.2">
      <c r="A183">
        <v>171520</v>
      </c>
      <c r="B183" t="s">
        <v>15</v>
      </c>
      <c r="C183" t="s">
        <v>13</v>
      </c>
      <c r="D183" t="s">
        <v>18</v>
      </c>
    </row>
    <row r="184" spans="1:4" x14ac:dyDescent="0.2">
      <c r="A184">
        <v>122926</v>
      </c>
      <c r="B184" t="s">
        <v>15</v>
      </c>
      <c r="C184" t="s">
        <v>19</v>
      </c>
      <c r="D184" t="s">
        <v>11</v>
      </c>
    </row>
    <row r="185" spans="1:4" x14ac:dyDescent="0.2">
      <c r="A185">
        <v>150953</v>
      </c>
      <c r="B185" t="s">
        <v>15</v>
      </c>
      <c r="C185" t="s">
        <v>19</v>
      </c>
      <c r="D185" t="s">
        <v>18</v>
      </c>
    </row>
    <row r="186" spans="1:4" x14ac:dyDescent="0.2">
      <c r="A186">
        <v>115873</v>
      </c>
      <c r="B186" t="s">
        <v>23</v>
      </c>
      <c r="C186" t="s">
        <v>16</v>
      </c>
      <c r="D186" t="s">
        <v>18</v>
      </c>
    </row>
    <row r="187" spans="1:4" x14ac:dyDescent="0.2">
      <c r="A187">
        <v>115581</v>
      </c>
      <c r="B187" t="s">
        <v>12</v>
      </c>
      <c r="C187" t="s">
        <v>21</v>
      </c>
      <c r="D187" t="s">
        <v>11</v>
      </c>
    </row>
    <row r="188" spans="1:4" x14ac:dyDescent="0.2">
      <c r="A188">
        <v>183634</v>
      </c>
      <c r="B188" t="s">
        <v>12</v>
      </c>
      <c r="C188" t="s">
        <v>16</v>
      </c>
      <c r="D188" t="s">
        <v>18</v>
      </c>
    </row>
    <row r="189" spans="1:4" x14ac:dyDescent="0.2">
      <c r="A189">
        <v>122484</v>
      </c>
      <c r="B189" t="s">
        <v>23</v>
      </c>
      <c r="C189" t="s">
        <v>21</v>
      </c>
      <c r="D189" t="s">
        <v>18</v>
      </c>
    </row>
    <row r="190" spans="1:4" x14ac:dyDescent="0.2">
      <c r="A190">
        <v>183574</v>
      </c>
      <c r="B190" t="s">
        <v>23</v>
      </c>
      <c r="C190" t="s">
        <v>21</v>
      </c>
      <c r="D190" t="s">
        <v>18</v>
      </c>
    </row>
    <row r="191" spans="1:4" x14ac:dyDescent="0.2">
      <c r="A191">
        <v>185307</v>
      </c>
      <c r="B191" t="s">
        <v>23</v>
      </c>
      <c r="C191" t="s">
        <v>13</v>
      </c>
      <c r="D191" t="s">
        <v>11</v>
      </c>
    </row>
    <row r="192" spans="1:4" x14ac:dyDescent="0.2">
      <c r="A192">
        <v>118719</v>
      </c>
      <c r="B192" t="s">
        <v>12</v>
      </c>
      <c r="C192" t="s">
        <v>21</v>
      </c>
      <c r="D192" t="s">
        <v>11</v>
      </c>
    </row>
    <row r="193" spans="1:4" x14ac:dyDescent="0.2">
      <c r="A193">
        <v>134788</v>
      </c>
      <c r="B193" t="s">
        <v>23</v>
      </c>
      <c r="C193" t="s">
        <v>21</v>
      </c>
      <c r="D193" t="s">
        <v>11</v>
      </c>
    </row>
    <row r="194" spans="1:4" x14ac:dyDescent="0.2">
      <c r="A194">
        <v>140142</v>
      </c>
      <c r="B194" t="s">
        <v>12</v>
      </c>
      <c r="C194" t="s">
        <v>19</v>
      </c>
      <c r="D194" t="s">
        <v>18</v>
      </c>
    </row>
    <row r="195" spans="1:4" x14ac:dyDescent="0.2">
      <c r="A195">
        <v>153997</v>
      </c>
      <c r="B195" t="s">
        <v>23</v>
      </c>
      <c r="C195" t="s">
        <v>21</v>
      </c>
      <c r="D195" t="s">
        <v>11</v>
      </c>
    </row>
    <row r="196" spans="1:4" x14ac:dyDescent="0.2">
      <c r="A196">
        <v>123230</v>
      </c>
      <c r="B196" t="s">
        <v>12</v>
      </c>
      <c r="C196" t="s">
        <v>19</v>
      </c>
      <c r="D196" t="s">
        <v>11</v>
      </c>
    </row>
    <row r="197" spans="1:4" x14ac:dyDescent="0.2">
      <c r="A197">
        <v>154676</v>
      </c>
      <c r="B197" t="s">
        <v>15</v>
      </c>
      <c r="C197" t="s">
        <v>21</v>
      </c>
      <c r="D197" t="s">
        <v>11</v>
      </c>
    </row>
    <row r="198" spans="1:4" x14ac:dyDescent="0.2">
      <c r="A198">
        <v>152985</v>
      </c>
      <c r="B198" t="s">
        <v>12</v>
      </c>
      <c r="C198" t="s">
        <v>16</v>
      </c>
      <c r="D198" t="s">
        <v>18</v>
      </c>
    </row>
    <row r="199" spans="1:4" x14ac:dyDescent="0.2">
      <c r="A199">
        <v>175584</v>
      </c>
      <c r="B199" t="s">
        <v>15</v>
      </c>
      <c r="C199" t="s">
        <v>19</v>
      </c>
      <c r="D199" t="s">
        <v>11</v>
      </c>
    </row>
    <row r="200" spans="1:4" x14ac:dyDescent="0.2">
      <c r="A200">
        <v>147491</v>
      </c>
      <c r="B200" t="s">
        <v>12</v>
      </c>
      <c r="C200" t="s">
        <v>21</v>
      </c>
      <c r="D200" t="s">
        <v>11</v>
      </c>
    </row>
    <row r="201" spans="1:4" x14ac:dyDescent="0.2">
      <c r="A201">
        <v>198283</v>
      </c>
      <c r="B201" t="s">
        <v>12</v>
      </c>
      <c r="C201" t="s">
        <v>16</v>
      </c>
      <c r="D201" t="s">
        <v>18</v>
      </c>
    </row>
    <row r="202" spans="1:4" x14ac:dyDescent="0.2">
      <c r="A202">
        <v>141547</v>
      </c>
      <c r="B202" t="s">
        <v>23</v>
      </c>
      <c r="C202" t="s">
        <v>13</v>
      </c>
      <c r="D202" t="s">
        <v>11</v>
      </c>
    </row>
    <row r="203" spans="1:4" x14ac:dyDescent="0.2">
      <c r="A203">
        <v>156342</v>
      </c>
      <c r="B203" t="s">
        <v>23</v>
      </c>
      <c r="C203" t="s">
        <v>16</v>
      </c>
      <c r="D203" t="s">
        <v>18</v>
      </c>
    </row>
    <row r="204" spans="1:4" x14ac:dyDescent="0.2">
      <c r="A204">
        <v>186083</v>
      </c>
      <c r="B204" t="s">
        <v>15</v>
      </c>
      <c r="C204" t="s">
        <v>16</v>
      </c>
      <c r="D204" t="s">
        <v>11</v>
      </c>
    </row>
    <row r="205" spans="1:4" x14ac:dyDescent="0.2">
      <c r="A205">
        <v>171776</v>
      </c>
      <c r="B205" t="s">
        <v>12</v>
      </c>
      <c r="C205" t="s">
        <v>21</v>
      </c>
      <c r="D205" t="s">
        <v>18</v>
      </c>
    </row>
    <row r="206" spans="1:4" x14ac:dyDescent="0.2">
      <c r="A206">
        <v>134429</v>
      </c>
      <c r="B206" t="s">
        <v>23</v>
      </c>
      <c r="C206" t="s">
        <v>16</v>
      </c>
      <c r="D206" t="s">
        <v>11</v>
      </c>
    </row>
    <row r="207" spans="1:4" x14ac:dyDescent="0.2">
      <c r="A207">
        <v>172816</v>
      </c>
      <c r="B207" t="s">
        <v>12</v>
      </c>
      <c r="C207" t="s">
        <v>16</v>
      </c>
      <c r="D207" t="s">
        <v>11</v>
      </c>
    </row>
    <row r="208" spans="1:4" x14ac:dyDescent="0.2">
      <c r="A208">
        <v>136272</v>
      </c>
      <c r="B208" t="s">
        <v>15</v>
      </c>
      <c r="C208" t="s">
        <v>19</v>
      </c>
      <c r="D208" t="s">
        <v>11</v>
      </c>
    </row>
    <row r="209" spans="1:4" x14ac:dyDescent="0.2">
      <c r="A209">
        <v>193227</v>
      </c>
      <c r="B209" t="s">
        <v>15</v>
      </c>
      <c r="C209" t="s">
        <v>16</v>
      </c>
      <c r="D209" t="s">
        <v>18</v>
      </c>
    </row>
    <row r="210" spans="1:4" x14ac:dyDescent="0.2">
      <c r="A210">
        <v>165786</v>
      </c>
      <c r="B210" t="s">
        <v>23</v>
      </c>
      <c r="C210" t="s">
        <v>13</v>
      </c>
      <c r="D210" t="s">
        <v>11</v>
      </c>
    </row>
    <row r="211" spans="1:4" x14ac:dyDescent="0.2">
      <c r="A211">
        <v>174708</v>
      </c>
      <c r="B211" t="s">
        <v>23</v>
      </c>
      <c r="C211" t="s">
        <v>21</v>
      </c>
      <c r="D211" t="s">
        <v>11</v>
      </c>
    </row>
    <row r="212" spans="1:4" x14ac:dyDescent="0.2">
      <c r="A212">
        <v>142257</v>
      </c>
      <c r="B212" t="s">
        <v>12</v>
      </c>
      <c r="C212" t="s">
        <v>16</v>
      </c>
      <c r="D212" t="s">
        <v>18</v>
      </c>
    </row>
    <row r="213" spans="1:4" x14ac:dyDescent="0.2">
      <c r="A213">
        <v>126146</v>
      </c>
      <c r="B213" t="s">
        <v>23</v>
      </c>
      <c r="C213" t="s">
        <v>16</v>
      </c>
      <c r="D213" t="s">
        <v>11</v>
      </c>
    </row>
    <row r="214" spans="1:4" x14ac:dyDescent="0.2">
      <c r="A214">
        <v>129134</v>
      </c>
      <c r="B214" t="s">
        <v>12</v>
      </c>
      <c r="C214" t="s">
        <v>21</v>
      </c>
      <c r="D214" t="s">
        <v>11</v>
      </c>
    </row>
    <row r="215" spans="1:4" x14ac:dyDescent="0.2">
      <c r="A215">
        <v>129898</v>
      </c>
      <c r="B215" t="s">
        <v>15</v>
      </c>
      <c r="C215" t="s">
        <v>16</v>
      </c>
      <c r="D215" t="s">
        <v>11</v>
      </c>
    </row>
    <row r="216" spans="1:4" x14ac:dyDescent="0.2">
      <c r="A216">
        <v>189692</v>
      </c>
      <c r="B216" t="s">
        <v>15</v>
      </c>
      <c r="C216" t="s">
        <v>21</v>
      </c>
      <c r="D216" t="s">
        <v>18</v>
      </c>
    </row>
    <row r="217" spans="1:4" x14ac:dyDescent="0.2">
      <c r="A217">
        <v>154846</v>
      </c>
      <c r="B217" t="s">
        <v>15</v>
      </c>
      <c r="C217" t="s">
        <v>13</v>
      </c>
      <c r="D217" t="s">
        <v>18</v>
      </c>
    </row>
    <row r="218" spans="1:4" x14ac:dyDescent="0.2">
      <c r="A218">
        <v>122307</v>
      </c>
      <c r="B218" t="s">
        <v>15</v>
      </c>
      <c r="C218" t="s">
        <v>16</v>
      </c>
      <c r="D218" t="s">
        <v>11</v>
      </c>
    </row>
    <row r="219" spans="1:4" x14ac:dyDescent="0.2">
      <c r="A219">
        <v>182099</v>
      </c>
      <c r="B219" t="s">
        <v>15</v>
      </c>
      <c r="C219" t="s">
        <v>13</v>
      </c>
      <c r="D219" t="s">
        <v>18</v>
      </c>
    </row>
    <row r="220" spans="1:4" x14ac:dyDescent="0.2">
      <c r="A220">
        <v>159816</v>
      </c>
      <c r="B220" t="s">
        <v>12</v>
      </c>
      <c r="C220" t="s">
        <v>21</v>
      </c>
      <c r="D220" t="s">
        <v>11</v>
      </c>
    </row>
    <row r="221" spans="1:4" x14ac:dyDescent="0.2">
      <c r="A221">
        <v>165326</v>
      </c>
      <c r="B221" t="s">
        <v>12</v>
      </c>
      <c r="C221" t="s">
        <v>19</v>
      </c>
      <c r="D221" t="s">
        <v>11</v>
      </c>
    </row>
    <row r="222" spans="1:4" x14ac:dyDescent="0.2">
      <c r="A222">
        <v>185154</v>
      </c>
      <c r="B222" t="s">
        <v>23</v>
      </c>
      <c r="C222" t="s">
        <v>19</v>
      </c>
      <c r="D222" t="s">
        <v>18</v>
      </c>
    </row>
    <row r="223" spans="1:4" x14ac:dyDescent="0.2">
      <c r="A223">
        <v>141330</v>
      </c>
      <c r="B223" t="s">
        <v>23</v>
      </c>
      <c r="C223" t="s">
        <v>16</v>
      </c>
      <c r="D223" t="s">
        <v>11</v>
      </c>
    </row>
    <row r="224" spans="1:4" x14ac:dyDescent="0.2">
      <c r="A224">
        <v>158958</v>
      </c>
      <c r="B224" t="s">
        <v>23</v>
      </c>
      <c r="C224" t="s">
        <v>19</v>
      </c>
      <c r="D224" t="s">
        <v>11</v>
      </c>
    </row>
    <row r="225" spans="1:4" x14ac:dyDescent="0.2">
      <c r="A225">
        <v>155010</v>
      </c>
      <c r="B225" t="s">
        <v>12</v>
      </c>
      <c r="C225" t="s">
        <v>13</v>
      </c>
      <c r="D225" t="s">
        <v>18</v>
      </c>
    </row>
    <row r="226" spans="1:4" x14ac:dyDescent="0.2">
      <c r="A226">
        <v>135857</v>
      </c>
      <c r="B226" t="s">
        <v>12</v>
      </c>
      <c r="C226" t="s">
        <v>19</v>
      </c>
      <c r="D226" t="s">
        <v>11</v>
      </c>
    </row>
    <row r="227" spans="1:4" x14ac:dyDescent="0.2">
      <c r="A227">
        <v>147690</v>
      </c>
      <c r="B227" t="s">
        <v>23</v>
      </c>
      <c r="C227" t="s">
        <v>13</v>
      </c>
      <c r="D227" t="s">
        <v>18</v>
      </c>
    </row>
    <row r="228" spans="1:4" x14ac:dyDescent="0.2">
      <c r="A228">
        <v>130321</v>
      </c>
      <c r="B228" t="s">
        <v>15</v>
      </c>
      <c r="C228" t="s">
        <v>21</v>
      </c>
      <c r="D228" t="s">
        <v>18</v>
      </c>
    </row>
    <row r="229" spans="1:4" x14ac:dyDescent="0.2">
      <c r="A229">
        <v>196752</v>
      </c>
      <c r="B229" t="s">
        <v>12</v>
      </c>
      <c r="C229" t="s">
        <v>21</v>
      </c>
      <c r="D229" t="s">
        <v>11</v>
      </c>
    </row>
    <row r="230" spans="1:4" x14ac:dyDescent="0.2">
      <c r="A230">
        <v>181011</v>
      </c>
      <c r="B230" t="s">
        <v>23</v>
      </c>
      <c r="C230" t="s">
        <v>16</v>
      </c>
      <c r="D230" t="s">
        <v>18</v>
      </c>
    </row>
    <row r="231" spans="1:4" x14ac:dyDescent="0.2">
      <c r="A231">
        <v>139967</v>
      </c>
      <c r="B231" t="s">
        <v>23</v>
      </c>
      <c r="C231" t="s">
        <v>21</v>
      </c>
      <c r="D231" t="s">
        <v>11</v>
      </c>
    </row>
    <row r="232" spans="1:4" x14ac:dyDescent="0.2">
      <c r="A232">
        <v>162699</v>
      </c>
      <c r="B232" t="s">
        <v>23</v>
      </c>
      <c r="C232" t="s">
        <v>19</v>
      </c>
      <c r="D232" t="s">
        <v>11</v>
      </c>
    </row>
    <row r="233" spans="1:4" x14ac:dyDescent="0.2">
      <c r="A233">
        <v>119044</v>
      </c>
      <c r="B233" t="s">
        <v>23</v>
      </c>
      <c r="C233" t="s">
        <v>21</v>
      </c>
      <c r="D233" t="s">
        <v>11</v>
      </c>
    </row>
    <row r="234" spans="1:4" x14ac:dyDescent="0.2">
      <c r="A234">
        <v>121348</v>
      </c>
      <c r="B234" t="s">
        <v>23</v>
      </c>
      <c r="C234" t="s">
        <v>16</v>
      </c>
      <c r="D234" t="s">
        <v>11</v>
      </c>
    </row>
    <row r="235" spans="1:4" x14ac:dyDescent="0.2">
      <c r="A235">
        <v>163982</v>
      </c>
      <c r="B235" t="s">
        <v>12</v>
      </c>
      <c r="C235" t="s">
        <v>13</v>
      </c>
      <c r="D235" t="s">
        <v>11</v>
      </c>
    </row>
    <row r="236" spans="1:4" x14ac:dyDescent="0.2">
      <c r="A236">
        <v>185774</v>
      </c>
      <c r="B236" t="s">
        <v>23</v>
      </c>
      <c r="C236" t="s">
        <v>21</v>
      </c>
      <c r="D236" t="s">
        <v>18</v>
      </c>
    </row>
    <row r="237" spans="1:4" x14ac:dyDescent="0.2">
      <c r="A237">
        <v>144651</v>
      </c>
      <c r="B237" t="s">
        <v>23</v>
      </c>
      <c r="C237" t="s">
        <v>13</v>
      </c>
      <c r="D237" t="s">
        <v>18</v>
      </c>
    </row>
    <row r="238" spans="1:4" x14ac:dyDescent="0.2">
      <c r="A238">
        <v>195103</v>
      </c>
      <c r="B238" t="s">
        <v>23</v>
      </c>
      <c r="C238" t="s">
        <v>13</v>
      </c>
      <c r="D238" t="s">
        <v>18</v>
      </c>
    </row>
    <row r="239" spans="1:4" x14ac:dyDescent="0.2">
      <c r="A239">
        <v>123047</v>
      </c>
      <c r="B239" t="s">
        <v>15</v>
      </c>
      <c r="C239" t="s">
        <v>16</v>
      </c>
      <c r="D239" t="s">
        <v>11</v>
      </c>
    </row>
    <row r="240" spans="1:4" x14ac:dyDescent="0.2">
      <c r="A240">
        <v>123077</v>
      </c>
      <c r="B240" t="s">
        <v>12</v>
      </c>
      <c r="C240" t="s">
        <v>19</v>
      </c>
      <c r="D240" t="s">
        <v>11</v>
      </c>
    </row>
    <row r="241" spans="1:4" x14ac:dyDescent="0.2">
      <c r="A241">
        <v>171860</v>
      </c>
      <c r="B241" t="s">
        <v>23</v>
      </c>
      <c r="C241" t="s">
        <v>19</v>
      </c>
      <c r="D241" t="s">
        <v>18</v>
      </c>
    </row>
    <row r="242" spans="1:4" x14ac:dyDescent="0.2">
      <c r="A242">
        <v>149487</v>
      </c>
      <c r="B242" t="s">
        <v>23</v>
      </c>
      <c r="C242" t="s">
        <v>13</v>
      </c>
      <c r="D242" t="s">
        <v>11</v>
      </c>
    </row>
    <row r="243" spans="1:4" x14ac:dyDescent="0.2">
      <c r="A243">
        <v>168516</v>
      </c>
      <c r="B243" t="s">
        <v>12</v>
      </c>
      <c r="C243" t="s">
        <v>21</v>
      </c>
      <c r="D243" t="s">
        <v>18</v>
      </c>
    </row>
    <row r="244" spans="1:4" x14ac:dyDescent="0.2">
      <c r="A244">
        <v>177771</v>
      </c>
      <c r="B244" t="s">
        <v>15</v>
      </c>
      <c r="C244" t="s">
        <v>19</v>
      </c>
      <c r="D244" t="s">
        <v>18</v>
      </c>
    </row>
    <row r="245" spans="1:4" x14ac:dyDescent="0.2">
      <c r="A245">
        <v>172015</v>
      </c>
      <c r="B245" t="s">
        <v>12</v>
      </c>
      <c r="C245" t="s">
        <v>21</v>
      </c>
      <c r="D245" t="s">
        <v>18</v>
      </c>
    </row>
    <row r="246" spans="1:4" x14ac:dyDescent="0.2">
      <c r="A246">
        <v>118985</v>
      </c>
      <c r="B246" t="s">
        <v>12</v>
      </c>
      <c r="C246" t="s">
        <v>19</v>
      </c>
      <c r="D246" t="s">
        <v>11</v>
      </c>
    </row>
    <row r="247" spans="1:4" x14ac:dyDescent="0.2">
      <c r="A247">
        <v>112194</v>
      </c>
      <c r="B247" t="s">
        <v>23</v>
      </c>
      <c r="C247" t="s">
        <v>19</v>
      </c>
      <c r="D247" t="s">
        <v>18</v>
      </c>
    </row>
    <row r="248" spans="1:4" x14ac:dyDescent="0.2">
      <c r="A248">
        <v>113435</v>
      </c>
      <c r="B248" t="s">
        <v>15</v>
      </c>
      <c r="C248" t="s">
        <v>16</v>
      </c>
      <c r="D248" t="s">
        <v>11</v>
      </c>
    </row>
    <row r="249" spans="1:4" x14ac:dyDescent="0.2">
      <c r="A249">
        <v>159182</v>
      </c>
      <c r="B249" t="s">
        <v>12</v>
      </c>
      <c r="C249" t="s">
        <v>19</v>
      </c>
      <c r="D249" t="s">
        <v>18</v>
      </c>
    </row>
    <row r="250" spans="1:4" x14ac:dyDescent="0.2">
      <c r="A250">
        <v>199233</v>
      </c>
      <c r="B250" t="s">
        <v>15</v>
      </c>
      <c r="C250" t="s">
        <v>13</v>
      </c>
      <c r="D250" t="s">
        <v>18</v>
      </c>
    </row>
    <row r="251" spans="1:4" x14ac:dyDescent="0.2">
      <c r="A251">
        <v>137044</v>
      </c>
      <c r="B251" t="s">
        <v>15</v>
      </c>
      <c r="C251" t="s">
        <v>16</v>
      </c>
      <c r="D251" t="s">
        <v>11</v>
      </c>
    </row>
    <row r="252" spans="1:4" x14ac:dyDescent="0.2">
      <c r="A252">
        <v>154736</v>
      </c>
      <c r="B252" t="s">
        <v>12</v>
      </c>
      <c r="C252" t="s">
        <v>13</v>
      </c>
      <c r="D252" t="s">
        <v>18</v>
      </c>
    </row>
    <row r="253" spans="1:4" x14ac:dyDescent="0.2">
      <c r="A253">
        <v>141434</v>
      </c>
      <c r="B253" t="s">
        <v>15</v>
      </c>
      <c r="C253" t="s">
        <v>13</v>
      </c>
      <c r="D253" t="s">
        <v>11</v>
      </c>
    </row>
    <row r="254" spans="1:4" x14ac:dyDescent="0.2">
      <c r="A254">
        <v>155659</v>
      </c>
      <c r="B254" t="s">
        <v>12</v>
      </c>
      <c r="C254" t="s">
        <v>16</v>
      </c>
      <c r="D254" t="s">
        <v>18</v>
      </c>
    </row>
    <row r="255" spans="1:4" x14ac:dyDescent="0.2">
      <c r="A255">
        <v>168643</v>
      </c>
      <c r="B255" t="s">
        <v>23</v>
      </c>
      <c r="C255" t="s">
        <v>16</v>
      </c>
      <c r="D255" t="s">
        <v>11</v>
      </c>
    </row>
    <row r="256" spans="1:4" x14ac:dyDescent="0.2">
      <c r="A256">
        <v>175357</v>
      </c>
      <c r="B256" t="s">
        <v>12</v>
      </c>
      <c r="C256" t="s">
        <v>13</v>
      </c>
      <c r="D256" t="s">
        <v>11</v>
      </c>
    </row>
    <row r="257" spans="1:4" x14ac:dyDescent="0.2">
      <c r="A257">
        <v>137530</v>
      </c>
      <c r="B257" t="s">
        <v>12</v>
      </c>
      <c r="C257" t="s">
        <v>21</v>
      </c>
      <c r="D257" t="s">
        <v>11</v>
      </c>
    </row>
    <row r="258" spans="1:4" x14ac:dyDescent="0.2">
      <c r="A258">
        <v>153482</v>
      </c>
      <c r="B258" t="s">
        <v>15</v>
      </c>
      <c r="C258" t="s">
        <v>19</v>
      </c>
      <c r="D258" t="s">
        <v>18</v>
      </c>
    </row>
    <row r="259" spans="1:4" x14ac:dyDescent="0.2">
      <c r="A259">
        <v>112593</v>
      </c>
      <c r="B259" t="s">
        <v>12</v>
      </c>
      <c r="C259" t="s">
        <v>19</v>
      </c>
      <c r="D259" t="s">
        <v>11</v>
      </c>
    </row>
    <row r="260" spans="1:4" x14ac:dyDescent="0.2">
      <c r="A260">
        <v>110241</v>
      </c>
      <c r="B260" t="s">
        <v>15</v>
      </c>
      <c r="C260" t="s">
        <v>21</v>
      </c>
      <c r="D260" t="s">
        <v>11</v>
      </c>
    </row>
    <row r="261" spans="1:4" x14ac:dyDescent="0.2">
      <c r="A261">
        <v>144970</v>
      </c>
      <c r="B261" t="s">
        <v>23</v>
      </c>
      <c r="C261" t="s">
        <v>13</v>
      </c>
      <c r="D261" t="s">
        <v>11</v>
      </c>
    </row>
    <row r="262" spans="1:4" x14ac:dyDescent="0.2">
      <c r="A262">
        <v>114822</v>
      </c>
      <c r="B262" t="s">
        <v>15</v>
      </c>
      <c r="C262" t="s">
        <v>19</v>
      </c>
      <c r="D262" t="s">
        <v>18</v>
      </c>
    </row>
    <row r="263" spans="1:4" x14ac:dyDescent="0.2">
      <c r="A263">
        <v>153452</v>
      </c>
      <c r="B263" t="s">
        <v>12</v>
      </c>
      <c r="C263" t="s">
        <v>21</v>
      </c>
      <c r="D263" t="s">
        <v>18</v>
      </c>
    </row>
    <row r="264" spans="1:4" x14ac:dyDescent="0.2">
      <c r="A264">
        <v>144264</v>
      </c>
      <c r="B264" t="s">
        <v>15</v>
      </c>
      <c r="C264" t="s">
        <v>13</v>
      </c>
      <c r="D264" t="s">
        <v>18</v>
      </c>
    </row>
    <row r="265" spans="1:4" x14ac:dyDescent="0.2">
      <c r="A265">
        <v>128749</v>
      </c>
      <c r="B265" t="s">
        <v>12</v>
      </c>
      <c r="C265" t="s">
        <v>16</v>
      </c>
      <c r="D265" t="s">
        <v>18</v>
      </c>
    </row>
    <row r="266" spans="1:4" x14ac:dyDescent="0.2">
      <c r="A266">
        <v>147955</v>
      </c>
      <c r="B266" t="s">
        <v>12</v>
      </c>
      <c r="C266" t="s">
        <v>21</v>
      </c>
      <c r="D266" t="s">
        <v>11</v>
      </c>
    </row>
    <row r="267" spans="1:4" x14ac:dyDescent="0.2">
      <c r="A267">
        <v>142210</v>
      </c>
      <c r="B267" t="s">
        <v>23</v>
      </c>
      <c r="C267" t="s">
        <v>13</v>
      </c>
      <c r="D267" t="s">
        <v>18</v>
      </c>
    </row>
    <row r="268" spans="1:4" x14ac:dyDescent="0.2">
      <c r="A268">
        <v>110696</v>
      </c>
      <c r="B268" t="s">
        <v>23</v>
      </c>
      <c r="C268" t="s">
        <v>13</v>
      </c>
      <c r="D268" t="s">
        <v>11</v>
      </c>
    </row>
    <row r="269" spans="1:4" x14ac:dyDescent="0.2">
      <c r="A269">
        <v>111826</v>
      </c>
      <c r="B269" t="s">
        <v>15</v>
      </c>
      <c r="C269" t="s">
        <v>16</v>
      </c>
      <c r="D269" t="s">
        <v>11</v>
      </c>
    </row>
    <row r="270" spans="1:4" x14ac:dyDescent="0.2">
      <c r="A270">
        <v>118116</v>
      </c>
      <c r="B270" t="s">
        <v>12</v>
      </c>
      <c r="C270" t="s">
        <v>19</v>
      </c>
      <c r="D270" t="s">
        <v>11</v>
      </c>
    </row>
    <row r="271" spans="1:4" x14ac:dyDescent="0.2">
      <c r="A271">
        <v>152727</v>
      </c>
      <c r="B271" t="s">
        <v>15</v>
      </c>
      <c r="C271" t="s">
        <v>21</v>
      </c>
      <c r="D271" t="s">
        <v>11</v>
      </c>
    </row>
    <row r="272" spans="1:4" x14ac:dyDescent="0.2">
      <c r="A272">
        <v>198291</v>
      </c>
      <c r="B272" t="s">
        <v>12</v>
      </c>
      <c r="C272" t="s">
        <v>16</v>
      </c>
      <c r="D272" t="s">
        <v>18</v>
      </c>
    </row>
    <row r="273" spans="1:4" x14ac:dyDescent="0.2">
      <c r="A273">
        <v>136227</v>
      </c>
      <c r="B273" t="s">
        <v>12</v>
      </c>
      <c r="C273" t="s">
        <v>21</v>
      </c>
      <c r="D273" t="s">
        <v>11</v>
      </c>
    </row>
    <row r="274" spans="1:4" x14ac:dyDescent="0.2">
      <c r="A274">
        <v>144031</v>
      </c>
      <c r="B274" t="s">
        <v>23</v>
      </c>
      <c r="C274" t="s">
        <v>13</v>
      </c>
      <c r="D274" t="s">
        <v>11</v>
      </c>
    </row>
    <row r="275" spans="1:4" x14ac:dyDescent="0.2">
      <c r="A275">
        <v>198924</v>
      </c>
      <c r="B275" t="s">
        <v>23</v>
      </c>
      <c r="C275" t="s">
        <v>21</v>
      </c>
      <c r="D275" t="s">
        <v>18</v>
      </c>
    </row>
    <row r="276" spans="1:4" x14ac:dyDescent="0.2">
      <c r="A276">
        <v>187922</v>
      </c>
      <c r="B276" t="s">
        <v>12</v>
      </c>
      <c r="C276" t="s">
        <v>13</v>
      </c>
      <c r="D276" t="s">
        <v>11</v>
      </c>
    </row>
    <row r="277" spans="1:4" x14ac:dyDescent="0.2">
      <c r="A277">
        <v>168448</v>
      </c>
      <c r="B277" t="s">
        <v>12</v>
      </c>
      <c r="C277" t="s">
        <v>21</v>
      </c>
      <c r="D277" t="s">
        <v>18</v>
      </c>
    </row>
    <row r="278" spans="1:4" x14ac:dyDescent="0.2">
      <c r="A278">
        <v>192111</v>
      </c>
      <c r="B278" t="s">
        <v>15</v>
      </c>
      <c r="C278" t="s">
        <v>16</v>
      </c>
      <c r="D278" t="s">
        <v>11</v>
      </c>
    </row>
    <row r="279" spans="1:4" x14ac:dyDescent="0.2">
      <c r="A279">
        <v>185466</v>
      </c>
      <c r="B279" t="s">
        <v>23</v>
      </c>
      <c r="C279" t="s">
        <v>13</v>
      </c>
      <c r="D279" t="s">
        <v>11</v>
      </c>
    </row>
    <row r="280" spans="1:4" x14ac:dyDescent="0.2">
      <c r="A280">
        <v>174277</v>
      </c>
      <c r="B280" t="s">
        <v>12</v>
      </c>
      <c r="C280" t="s">
        <v>19</v>
      </c>
      <c r="D280" t="s">
        <v>11</v>
      </c>
    </row>
    <row r="281" spans="1:4" x14ac:dyDescent="0.2">
      <c r="A281">
        <v>158519</v>
      </c>
      <c r="B281" t="s">
        <v>15</v>
      </c>
      <c r="C281" t="s">
        <v>13</v>
      </c>
      <c r="D281" t="s">
        <v>18</v>
      </c>
    </row>
    <row r="282" spans="1:4" x14ac:dyDescent="0.2">
      <c r="A282">
        <v>178624</v>
      </c>
      <c r="B282" t="s">
        <v>12</v>
      </c>
      <c r="C282" t="s">
        <v>19</v>
      </c>
      <c r="D282" t="s">
        <v>11</v>
      </c>
    </row>
    <row r="283" spans="1:4" x14ac:dyDescent="0.2">
      <c r="A283">
        <v>123728</v>
      </c>
      <c r="B283" t="s">
        <v>23</v>
      </c>
      <c r="C283" t="s">
        <v>16</v>
      </c>
      <c r="D283" t="s">
        <v>18</v>
      </c>
    </row>
    <row r="284" spans="1:4" x14ac:dyDescent="0.2">
      <c r="A284">
        <v>197954</v>
      </c>
      <c r="B284" t="s">
        <v>15</v>
      </c>
      <c r="C284" t="s">
        <v>21</v>
      </c>
      <c r="D284" t="s">
        <v>18</v>
      </c>
    </row>
    <row r="285" spans="1:4" x14ac:dyDescent="0.2">
      <c r="A285">
        <v>133328</v>
      </c>
      <c r="B285" t="s">
        <v>12</v>
      </c>
      <c r="C285" t="s">
        <v>19</v>
      </c>
      <c r="D285" t="s">
        <v>11</v>
      </c>
    </row>
    <row r="286" spans="1:4" x14ac:dyDescent="0.2">
      <c r="A286">
        <v>145345</v>
      </c>
      <c r="B286" t="s">
        <v>23</v>
      </c>
      <c r="C286" t="s">
        <v>19</v>
      </c>
      <c r="D286" t="s">
        <v>18</v>
      </c>
    </row>
    <row r="287" spans="1:4" x14ac:dyDescent="0.2">
      <c r="A287">
        <v>116054</v>
      </c>
      <c r="B287" t="s">
        <v>12</v>
      </c>
      <c r="C287" t="s">
        <v>21</v>
      </c>
      <c r="D287" t="s">
        <v>11</v>
      </c>
    </row>
    <row r="288" spans="1:4" x14ac:dyDescent="0.2">
      <c r="A288">
        <v>173141</v>
      </c>
      <c r="B288" t="s">
        <v>12</v>
      </c>
      <c r="C288" t="s">
        <v>13</v>
      </c>
      <c r="D288" t="s">
        <v>18</v>
      </c>
    </row>
    <row r="289" spans="1:4" x14ac:dyDescent="0.2">
      <c r="A289">
        <v>178180</v>
      </c>
      <c r="B289" t="s">
        <v>12</v>
      </c>
      <c r="C289" t="s">
        <v>21</v>
      </c>
      <c r="D289" t="s">
        <v>18</v>
      </c>
    </row>
    <row r="290" spans="1:4" x14ac:dyDescent="0.2">
      <c r="A290">
        <v>129418</v>
      </c>
      <c r="B290" t="s">
        <v>12</v>
      </c>
      <c r="C290" t="s">
        <v>21</v>
      </c>
      <c r="D290" t="s">
        <v>11</v>
      </c>
    </row>
    <row r="291" spans="1:4" x14ac:dyDescent="0.2">
      <c r="A291">
        <v>188708</v>
      </c>
      <c r="B291" t="s">
        <v>12</v>
      </c>
      <c r="C291" t="s">
        <v>19</v>
      </c>
      <c r="D291" t="s">
        <v>18</v>
      </c>
    </row>
    <row r="292" spans="1:4" x14ac:dyDescent="0.2">
      <c r="A292">
        <v>132833</v>
      </c>
      <c r="B292" t="s">
        <v>12</v>
      </c>
      <c r="C292" t="s">
        <v>21</v>
      </c>
      <c r="D292" t="s">
        <v>18</v>
      </c>
    </row>
    <row r="293" spans="1:4" x14ac:dyDescent="0.2">
      <c r="A293">
        <v>146914</v>
      </c>
      <c r="B293" t="s">
        <v>15</v>
      </c>
      <c r="C293" t="s">
        <v>16</v>
      </c>
      <c r="D293" t="s">
        <v>11</v>
      </c>
    </row>
    <row r="294" spans="1:4" x14ac:dyDescent="0.2">
      <c r="A294">
        <v>113624</v>
      </c>
      <c r="B294" t="s">
        <v>12</v>
      </c>
      <c r="C294" t="s">
        <v>13</v>
      </c>
      <c r="D294" t="s">
        <v>11</v>
      </c>
    </row>
    <row r="295" spans="1:4" x14ac:dyDescent="0.2">
      <c r="A295">
        <v>180250</v>
      </c>
      <c r="B295" t="s">
        <v>15</v>
      </c>
      <c r="C295" t="s">
        <v>13</v>
      </c>
      <c r="D295" t="s">
        <v>11</v>
      </c>
    </row>
    <row r="296" spans="1:4" x14ac:dyDescent="0.2">
      <c r="A296">
        <v>137287</v>
      </c>
      <c r="B296" t="s">
        <v>23</v>
      </c>
      <c r="C296" t="s">
        <v>13</v>
      </c>
      <c r="D296" t="s">
        <v>18</v>
      </c>
    </row>
    <row r="297" spans="1:4" x14ac:dyDescent="0.2">
      <c r="A297">
        <v>150836</v>
      </c>
      <c r="B297" t="s">
        <v>23</v>
      </c>
      <c r="C297" t="s">
        <v>19</v>
      </c>
      <c r="D297" t="s">
        <v>11</v>
      </c>
    </row>
    <row r="298" spans="1:4" x14ac:dyDescent="0.2">
      <c r="A298">
        <v>151474</v>
      </c>
      <c r="B298" t="s">
        <v>23</v>
      </c>
      <c r="C298" t="s">
        <v>13</v>
      </c>
      <c r="D298" t="s">
        <v>18</v>
      </c>
    </row>
    <row r="299" spans="1:4" x14ac:dyDescent="0.2">
      <c r="A299">
        <v>119803</v>
      </c>
      <c r="B299" t="s">
        <v>15</v>
      </c>
      <c r="C299" t="s">
        <v>21</v>
      </c>
      <c r="D299" t="s">
        <v>11</v>
      </c>
    </row>
    <row r="300" spans="1:4" x14ac:dyDescent="0.2">
      <c r="A300">
        <v>115986</v>
      </c>
      <c r="B300" t="s">
        <v>12</v>
      </c>
      <c r="C300" t="s">
        <v>16</v>
      </c>
      <c r="D300" t="s">
        <v>18</v>
      </c>
    </row>
    <row r="301" spans="1:4" x14ac:dyDescent="0.2">
      <c r="A301">
        <v>181896</v>
      </c>
      <c r="B301" t="s">
        <v>15</v>
      </c>
      <c r="C301" t="s">
        <v>13</v>
      </c>
      <c r="D301" t="s">
        <v>11</v>
      </c>
    </row>
    <row r="302" spans="1:4" x14ac:dyDescent="0.2">
      <c r="A302">
        <v>115036</v>
      </c>
      <c r="B302" t="s">
        <v>15</v>
      </c>
      <c r="C302" t="s">
        <v>19</v>
      </c>
      <c r="D302" t="s">
        <v>18</v>
      </c>
    </row>
    <row r="303" spans="1:4" x14ac:dyDescent="0.2">
      <c r="A303">
        <v>179683</v>
      </c>
      <c r="B303" t="s">
        <v>12</v>
      </c>
      <c r="C303" t="s">
        <v>13</v>
      </c>
      <c r="D303" t="s">
        <v>18</v>
      </c>
    </row>
    <row r="304" spans="1:4" x14ac:dyDescent="0.2">
      <c r="A304">
        <v>151421</v>
      </c>
      <c r="B304" t="s">
        <v>15</v>
      </c>
      <c r="C304" t="s">
        <v>16</v>
      </c>
      <c r="D304" t="s">
        <v>11</v>
      </c>
    </row>
    <row r="305" spans="1:4" x14ac:dyDescent="0.2">
      <c r="A305">
        <v>169867</v>
      </c>
      <c r="B305" t="s">
        <v>15</v>
      </c>
      <c r="C305" t="s">
        <v>16</v>
      </c>
      <c r="D305" t="s">
        <v>11</v>
      </c>
    </row>
    <row r="306" spans="1:4" x14ac:dyDescent="0.2">
      <c r="A306">
        <v>191946</v>
      </c>
      <c r="B306" t="s">
        <v>12</v>
      </c>
      <c r="C306" t="s">
        <v>19</v>
      </c>
      <c r="D306" t="s">
        <v>11</v>
      </c>
    </row>
    <row r="307" spans="1:4" x14ac:dyDescent="0.2">
      <c r="A307">
        <v>165630</v>
      </c>
      <c r="B307" t="s">
        <v>12</v>
      </c>
      <c r="C307" t="s">
        <v>19</v>
      </c>
      <c r="D307" t="s">
        <v>18</v>
      </c>
    </row>
    <row r="308" spans="1:4" x14ac:dyDescent="0.2">
      <c r="A308">
        <v>173122</v>
      </c>
      <c r="B308" t="s">
        <v>23</v>
      </c>
      <c r="C308" t="s">
        <v>13</v>
      </c>
      <c r="D308" t="s">
        <v>18</v>
      </c>
    </row>
    <row r="309" spans="1:4" x14ac:dyDescent="0.2">
      <c r="A309">
        <v>137617</v>
      </c>
      <c r="B309" t="s">
        <v>12</v>
      </c>
      <c r="C309" t="s">
        <v>19</v>
      </c>
      <c r="D309" t="s">
        <v>11</v>
      </c>
    </row>
    <row r="310" spans="1:4" x14ac:dyDescent="0.2">
      <c r="A310">
        <v>181415</v>
      </c>
      <c r="B310" t="s">
        <v>12</v>
      </c>
      <c r="C310" t="s">
        <v>13</v>
      </c>
      <c r="D310" t="s">
        <v>11</v>
      </c>
    </row>
    <row r="311" spans="1:4" x14ac:dyDescent="0.2">
      <c r="A311">
        <v>141652</v>
      </c>
      <c r="B311" t="s">
        <v>23</v>
      </c>
      <c r="C311" t="s">
        <v>19</v>
      </c>
      <c r="D311" t="s">
        <v>11</v>
      </c>
    </row>
    <row r="312" spans="1:4" x14ac:dyDescent="0.2">
      <c r="A312">
        <v>161479</v>
      </c>
      <c r="B312" t="s">
        <v>12</v>
      </c>
      <c r="C312" t="s">
        <v>16</v>
      </c>
      <c r="D312" t="s">
        <v>18</v>
      </c>
    </row>
    <row r="313" spans="1:4" x14ac:dyDescent="0.2">
      <c r="A313">
        <v>152924</v>
      </c>
      <c r="B313" t="s">
        <v>23</v>
      </c>
      <c r="C313" t="s">
        <v>13</v>
      </c>
      <c r="D313" t="s">
        <v>18</v>
      </c>
    </row>
    <row r="314" spans="1:4" x14ac:dyDescent="0.2">
      <c r="A314">
        <v>176510</v>
      </c>
      <c r="B314" t="s">
        <v>12</v>
      </c>
      <c r="C314" t="s">
        <v>16</v>
      </c>
      <c r="D314" t="s">
        <v>11</v>
      </c>
    </row>
    <row r="315" spans="1:4" x14ac:dyDescent="0.2">
      <c r="A315">
        <v>156390</v>
      </c>
      <c r="B315" t="s">
        <v>12</v>
      </c>
      <c r="C315" t="s">
        <v>21</v>
      </c>
      <c r="D315" t="s">
        <v>11</v>
      </c>
    </row>
    <row r="316" spans="1:4" x14ac:dyDescent="0.2">
      <c r="A316">
        <v>177033</v>
      </c>
      <c r="B316" t="s">
        <v>12</v>
      </c>
      <c r="C316" t="s">
        <v>19</v>
      </c>
      <c r="D316" t="s">
        <v>11</v>
      </c>
    </row>
    <row r="317" spans="1:4" x14ac:dyDescent="0.2">
      <c r="A317">
        <v>133753</v>
      </c>
      <c r="B317" t="s">
        <v>12</v>
      </c>
      <c r="C317" t="s">
        <v>19</v>
      </c>
      <c r="D317" t="s">
        <v>18</v>
      </c>
    </row>
    <row r="318" spans="1:4" x14ac:dyDescent="0.2">
      <c r="A318">
        <v>165841</v>
      </c>
      <c r="B318" t="s">
        <v>23</v>
      </c>
      <c r="C318" t="s">
        <v>16</v>
      </c>
      <c r="D318" t="s">
        <v>18</v>
      </c>
    </row>
    <row r="319" spans="1:4" x14ac:dyDescent="0.2">
      <c r="A319">
        <v>183061</v>
      </c>
      <c r="B319" t="s">
        <v>23</v>
      </c>
      <c r="C319" t="s">
        <v>21</v>
      </c>
      <c r="D319" t="s">
        <v>11</v>
      </c>
    </row>
    <row r="320" spans="1:4" x14ac:dyDescent="0.2">
      <c r="A320">
        <v>125175</v>
      </c>
      <c r="B320" t="s">
        <v>15</v>
      </c>
      <c r="C320" t="s">
        <v>16</v>
      </c>
      <c r="D320" t="s">
        <v>11</v>
      </c>
    </row>
    <row r="321" spans="1:4" x14ac:dyDescent="0.2">
      <c r="A321">
        <v>115464</v>
      </c>
      <c r="B321" t="s">
        <v>12</v>
      </c>
      <c r="C321" t="s">
        <v>21</v>
      </c>
      <c r="D321" t="s">
        <v>11</v>
      </c>
    </row>
    <row r="322" spans="1:4" x14ac:dyDescent="0.2">
      <c r="A322">
        <v>117231</v>
      </c>
      <c r="B322" t="s">
        <v>23</v>
      </c>
      <c r="C322" t="s">
        <v>19</v>
      </c>
      <c r="D322" t="s">
        <v>11</v>
      </c>
    </row>
    <row r="323" spans="1:4" x14ac:dyDescent="0.2">
      <c r="A323">
        <v>154948</v>
      </c>
      <c r="B323" t="s">
        <v>12</v>
      </c>
      <c r="C323" t="s">
        <v>13</v>
      </c>
      <c r="D323" t="s">
        <v>18</v>
      </c>
    </row>
    <row r="324" spans="1:4" x14ac:dyDescent="0.2">
      <c r="A324">
        <v>197375</v>
      </c>
      <c r="B324" t="s">
        <v>12</v>
      </c>
      <c r="C324" t="s">
        <v>16</v>
      </c>
      <c r="D324" t="s">
        <v>11</v>
      </c>
    </row>
    <row r="325" spans="1:4" x14ac:dyDescent="0.2">
      <c r="A325">
        <v>191131</v>
      </c>
      <c r="B325" t="s">
        <v>15</v>
      </c>
      <c r="C325" t="s">
        <v>16</v>
      </c>
      <c r="D325" t="s">
        <v>11</v>
      </c>
    </row>
    <row r="326" spans="1:4" x14ac:dyDescent="0.2">
      <c r="A326">
        <v>131682</v>
      </c>
      <c r="B326" t="s">
        <v>12</v>
      </c>
      <c r="C326" t="s">
        <v>16</v>
      </c>
      <c r="D326" t="s">
        <v>18</v>
      </c>
    </row>
    <row r="327" spans="1:4" x14ac:dyDescent="0.2">
      <c r="A327">
        <v>196276</v>
      </c>
      <c r="B327" t="s">
        <v>12</v>
      </c>
      <c r="C327" t="s">
        <v>19</v>
      </c>
      <c r="D327" t="s">
        <v>11</v>
      </c>
    </row>
    <row r="328" spans="1:4" x14ac:dyDescent="0.2">
      <c r="A328">
        <v>190412</v>
      </c>
      <c r="B328" t="s">
        <v>12</v>
      </c>
      <c r="C328" t="s">
        <v>19</v>
      </c>
      <c r="D328" t="s">
        <v>18</v>
      </c>
    </row>
    <row r="329" spans="1:4" x14ac:dyDescent="0.2">
      <c r="A329">
        <v>149903</v>
      </c>
      <c r="B329" t="s">
        <v>23</v>
      </c>
      <c r="C329" t="s">
        <v>13</v>
      </c>
      <c r="D329" t="s">
        <v>18</v>
      </c>
    </row>
    <row r="330" spans="1:4" x14ac:dyDescent="0.2">
      <c r="A330">
        <v>189131</v>
      </c>
      <c r="B330" t="s">
        <v>15</v>
      </c>
      <c r="C330" t="s">
        <v>21</v>
      </c>
      <c r="D330" t="s">
        <v>18</v>
      </c>
    </row>
    <row r="331" spans="1:4" x14ac:dyDescent="0.2">
      <c r="A331">
        <v>148327</v>
      </c>
      <c r="B331" t="s">
        <v>15</v>
      </c>
      <c r="C331" t="s">
        <v>19</v>
      </c>
      <c r="D331" t="s">
        <v>18</v>
      </c>
    </row>
    <row r="332" spans="1:4" x14ac:dyDescent="0.2">
      <c r="A332">
        <v>189088</v>
      </c>
      <c r="B332" t="s">
        <v>15</v>
      </c>
      <c r="C332" t="s">
        <v>16</v>
      </c>
      <c r="D332" t="s">
        <v>11</v>
      </c>
    </row>
    <row r="333" spans="1:4" x14ac:dyDescent="0.2">
      <c r="A333">
        <v>143305</v>
      </c>
      <c r="B333" t="s">
        <v>12</v>
      </c>
      <c r="C333" t="s">
        <v>16</v>
      </c>
      <c r="D333" t="s">
        <v>11</v>
      </c>
    </row>
    <row r="334" spans="1:4" x14ac:dyDescent="0.2">
      <c r="A334">
        <v>180943</v>
      </c>
      <c r="B334" t="s">
        <v>23</v>
      </c>
      <c r="C334" t="s">
        <v>21</v>
      </c>
      <c r="D334" t="s">
        <v>11</v>
      </c>
    </row>
    <row r="335" spans="1:4" x14ac:dyDescent="0.2">
      <c r="A335">
        <v>152059</v>
      </c>
      <c r="B335" t="s">
        <v>23</v>
      </c>
      <c r="C335" t="s">
        <v>16</v>
      </c>
      <c r="D335" t="s">
        <v>11</v>
      </c>
    </row>
    <row r="336" spans="1:4" x14ac:dyDescent="0.2">
      <c r="A336">
        <v>133691</v>
      </c>
      <c r="B336" t="s">
        <v>23</v>
      </c>
      <c r="C336" t="s">
        <v>13</v>
      </c>
      <c r="D336" t="s">
        <v>11</v>
      </c>
    </row>
    <row r="337" spans="1:4" x14ac:dyDescent="0.2">
      <c r="A337">
        <v>161644</v>
      </c>
      <c r="B337" t="s">
        <v>23</v>
      </c>
      <c r="C337" t="s">
        <v>19</v>
      </c>
      <c r="D337" t="s">
        <v>11</v>
      </c>
    </row>
    <row r="338" spans="1:4" x14ac:dyDescent="0.2">
      <c r="A338">
        <v>132643</v>
      </c>
      <c r="B338" t="s">
        <v>23</v>
      </c>
      <c r="C338" t="s">
        <v>13</v>
      </c>
      <c r="D338" t="s">
        <v>11</v>
      </c>
    </row>
    <row r="339" spans="1:4" x14ac:dyDescent="0.2">
      <c r="A339">
        <v>162317</v>
      </c>
      <c r="B339" t="s">
        <v>12</v>
      </c>
      <c r="C339" t="s">
        <v>19</v>
      </c>
      <c r="D339" t="s">
        <v>11</v>
      </c>
    </row>
    <row r="340" spans="1:4" x14ac:dyDescent="0.2">
      <c r="A340">
        <v>128592</v>
      </c>
      <c r="B340" t="s">
        <v>12</v>
      </c>
      <c r="C340" t="s">
        <v>19</v>
      </c>
      <c r="D340" t="s">
        <v>11</v>
      </c>
    </row>
    <row r="341" spans="1:4" x14ac:dyDescent="0.2">
      <c r="A341">
        <v>192892</v>
      </c>
      <c r="B341" t="s">
        <v>23</v>
      </c>
      <c r="C341" t="s">
        <v>19</v>
      </c>
      <c r="D341" t="s">
        <v>18</v>
      </c>
    </row>
    <row r="342" spans="1:4" x14ac:dyDescent="0.2">
      <c r="A342">
        <v>197147</v>
      </c>
      <c r="B342" t="s">
        <v>12</v>
      </c>
      <c r="C342" t="s">
        <v>13</v>
      </c>
      <c r="D342" t="s">
        <v>11</v>
      </c>
    </row>
    <row r="343" spans="1:4" x14ac:dyDescent="0.2">
      <c r="A343">
        <v>130871</v>
      </c>
      <c r="B343" t="s">
        <v>15</v>
      </c>
      <c r="C343" t="s">
        <v>21</v>
      </c>
      <c r="D343" t="s">
        <v>11</v>
      </c>
    </row>
    <row r="344" spans="1:4" x14ac:dyDescent="0.2">
      <c r="A344">
        <v>184314</v>
      </c>
      <c r="B344" t="s">
        <v>15</v>
      </c>
      <c r="C344" t="s">
        <v>19</v>
      </c>
      <c r="D344" t="s">
        <v>11</v>
      </c>
    </row>
    <row r="345" spans="1:4" x14ac:dyDescent="0.2">
      <c r="A345">
        <v>131922</v>
      </c>
      <c r="B345" t="s">
        <v>15</v>
      </c>
      <c r="C345" t="s">
        <v>21</v>
      </c>
      <c r="D345" t="s">
        <v>18</v>
      </c>
    </row>
    <row r="346" spans="1:4" x14ac:dyDescent="0.2">
      <c r="A346">
        <v>130546</v>
      </c>
      <c r="B346" t="s">
        <v>12</v>
      </c>
      <c r="C346" t="s">
        <v>13</v>
      </c>
      <c r="D346" t="s">
        <v>18</v>
      </c>
    </row>
    <row r="347" spans="1:4" x14ac:dyDescent="0.2">
      <c r="A347">
        <v>167541</v>
      </c>
      <c r="B347" t="s">
        <v>12</v>
      </c>
      <c r="C347" t="s">
        <v>16</v>
      </c>
      <c r="D347" t="s">
        <v>18</v>
      </c>
    </row>
    <row r="348" spans="1:4" x14ac:dyDescent="0.2">
      <c r="A348">
        <v>165128</v>
      </c>
      <c r="B348" t="s">
        <v>12</v>
      </c>
      <c r="C348" t="s">
        <v>13</v>
      </c>
      <c r="D348" t="s">
        <v>18</v>
      </c>
    </row>
    <row r="349" spans="1:4" x14ac:dyDescent="0.2">
      <c r="A349">
        <v>126255</v>
      </c>
      <c r="B349" t="s">
        <v>15</v>
      </c>
      <c r="C349" t="s">
        <v>16</v>
      </c>
      <c r="D349" t="s">
        <v>18</v>
      </c>
    </row>
    <row r="350" spans="1:4" x14ac:dyDescent="0.2">
      <c r="A350">
        <v>176976</v>
      </c>
      <c r="B350" t="s">
        <v>15</v>
      </c>
      <c r="C350" t="s">
        <v>16</v>
      </c>
      <c r="D350" t="s">
        <v>11</v>
      </c>
    </row>
    <row r="351" spans="1:4" x14ac:dyDescent="0.2">
      <c r="A351">
        <v>185599</v>
      </c>
      <c r="B351" t="s">
        <v>15</v>
      </c>
      <c r="C351" t="s">
        <v>16</v>
      </c>
      <c r="D351" t="s">
        <v>11</v>
      </c>
    </row>
    <row r="352" spans="1:4" x14ac:dyDescent="0.2">
      <c r="A352">
        <v>167273</v>
      </c>
      <c r="B352" t="s">
        <v>12</v>
      </c>
      <c r="C352" t="s">
        <v>13</v>
      </c>
      <c r="D352" t="s">
        <v>11</v>
      </c>
    </row>
    <row r="353" spans="1:4" x14ac:dyDescent="0.2">
      <c r="A353">
        <v>189296</v>
      </c>
      <c r="B353" t="s">
        <v>23</v>
      </c>
      <c r="C353" t="s">
        <v>13</v>
      </c>
      <c r="D353" t="s">
        <v>18</v>
      </c>
    </row>
    <row r="354" spans="1:4" x14ac:dyDescent="0.2">
      <c r="A354">
        <v>125082</v>
      </c>
      <c r="B354" t="s">
        <v>15</v>
      </c>
      <c r="C354" t="s">
        <v>21</v>
      </c>
      <c r="D354" t="s">
        <v>11</v>
      </c>
    </row>
    <row r="355" spans="1:4" x14ac:dyDescent="0.2">
      <c r="A355">
        <v>116920</v>
      </c>
      <c r="B355" t="s">
        <v>23</v>
      </c>
      <c r="C355" t="s">
        <v>16</v>
      </c>
      <c r="D355" t="s">
        <v>18</v>
      </c>
    </row>
    <row r="356" spans="1:4" x14ac:dyDescent="0.2">
      <c r="A356">
        <v>111320</v>
      </c>
      <c r="B356" t="s">
        <v>12</v>
      </c>
      <c r="C356" t="s">
        <v>16</v>
      </c>
      <c r="D356" t="s">
        <v>11</v>
      </c>
    </row>
    <row r="357" spans="1:4" x14ac:dyDescent="0.2">
      <c r="A357">
        <v>172247</v>
      </c>
      <c r="B357" t="s">
        <v>12</v>
      </c>
      <c r="C357" t="s">
        <v>13</v>
      </c>
      <c r="D357" t="s">
        <v>11</v>
      </c>
    </row>
    <row r="358" spans="1:4" x14ac:dyDescent="0.2">
      <c r="A358">
        <v>143462</v>
      </c>
      <c r="B358" t="s">
        <v>23</v>
      </c>
      <c r="C358" t="s">
        <v>16</v>
      </c>
      <c r="D358" t="s">
        <v>11</v>
      </c>
    </row>
    <row r="359" spans="1:4" x14ac:dyDescent="0.2">
      <c r="A359">
        <v>125637</v>
      </c>
      <c r="B359" t="s">
        <v>15</v>
      </c>
      <c r="C359" t="s">
        <v>16</v>
      </c>
      <c r="D359" t="s">
        <v>11</v>
      </c>
    </row>
    <row r="360" spans="1:4" x14ac:dyDescent="0.2">
      <c r="A360">
        <v>115827</v>
      </c>
      <c r="B360" t="s">
        <v>12</v>
      </c>
      <c r="C360" t="s">
        <v>13</v>
      </c>
      <c r="D360" t="s">
        <v>18</v>
      </c>
    </row>
    <row r="361" spans="1:4" x14ac:dyDescent="0.2">
      <c r="A361">
        <v>183225</v>
      </c>
      <c r="B361" t="s">
        <v>15</v>
      </c>
      <c r="C361" t="s">
        <v>19</v>
      </c>
      <c r="D361" t="s">
        <v>18</v>
      </c>
    </row>
    <row r="362" spans="1:4" x14ac:dyDescent="0.2">
      <c r="A362">
        <v>133283</v>
      </c>
      <c r="B362" t="s">
        <v>23</v>
      </c>
      <c r="C362" t="s">
        <v>19</v>
      </c>
      <c r="D362" t="s">
        <v>18</v>
      </c>
    </row>
    <row r="363" spans="1:4" x14ac:dyDescent="0.2">
      <c r="A363">
        <v>164389</v>
      </c>
      <c r="B363" t="s">
        <v>15</v>
      </c>
      <c r="C363" t="s">
        <v>13</v>
      </c>
      <c r="D363" t="s">
        <v>11</v>
      </c>
    </row>
    <row r="364" spans="1:4" x14ac:dyDescent="0.2">
      <c r="A364">
        <v>163108</v>
      </c>
      <c r="B364" t="s">
        <v>15</v>
      </c>
      <c r="C364" t="s">
        <v>16</v>
      </c>
      <c r="D364" t="s">
        <v>11</v>
      </c>
    </row>
    <row r="365" spans="1:4" x14ac:dyDescent="0.2">
      <c r="A365">
        <v>160121</v>
      </c>
      <c r="B365" t="s">
        <v>12</v>
      </c>
      <c r="C365" t="s">
        <v>19</v>
      </c>
      <c r="D365" t="s">
        <v>18</v>
      </c>
    </row>
    <row r="366" spans="1:4" x14ac:dyDescent="0.2">
      <c r="A366">
        <v>141116</v>
      </c>
      <c r="B366" t="s">
        <v>15</v>
      </c>
      <c r="C366" t="s">
        <v>21</v>
      </c>
      <c r="D366" t="s">
        <v>18</v>
      </c>
    </row>
    <row r="367" spans="1:4" x14ac:dyDescent="0.2">
      <c r="A367">
        <v>157901</v>
      </c>
      <c r="B367" t="s">
        <v>23</v>
      </c>
      <c r="C367" t="s">
        <v>16</v>
      </c>
      <c r="D367" t="s">
        <v>18</v>
      </c>
    </row>
    <row r="368" spans="1:4" x14ac:dyDescent="0.2">
      <c r="A368">
        <v>165017</v>
      </c>
      <c r="B368" t="s">
        <v>12</v>
      </c>
      <c r="C368" t="s">
        <v>16</v>
      </c>
      <c r="D368" t="s">
        <v>18</v>
      </c>
    </row>
    <row r="369" spans="1:4" x14ac:dyDescent="0.2">
      <c r="A369">
        <v>165689</v>
      </c>
      <c r="B369" t="s">
        <v>12</v>
      </c>
      <c r="C369" t="s">
        <v>13</v>
      </c>
      <c r="D369" t="s">
        <v>11</v>
      </c>
    </row>
    <row r="370" spans="1:4" x14ac:dyDescent="0.2">
      <c r="A370">
        <v>172370</v>
      </c>
      <c r="B370" t="s">
        <v>23</v>
      </c>
      <c r="C370" t="s">
        <v>19</v>
      </c>
      <c r="D370" t="s">
        <v>11</v>
      </c>
    </row>
    <row r="371" spans="1:4" x14ac:dyDescent="0.2">
      <c r="A371">
        <v>149539</v>
      </c>
      <c r="B371" t="s">
        <v>12</v>
      </c>
      <c r="C371" t="s">
        <v>16</v>
      </c>
      <c r="D371" t="s">
        <v>11</v>
      </c>
    </row>
    <row r="372" spans="1:4" x14ac:dyDescent="0.2">
      <c r="A372">
        <v>149127</v>
      </c>
      <c r="B372" t="s">
        <v>23</v>
      </c>
      <c r="C372" t="s">
        <v>19</v>
      </c>
      <c r="D372" t="s">
        <v>11</v>
      </c>
    </row>
    <row r="373" spans="1:4" x14ac:dyDescent="0.2">
      <c r="A373">
        <v>199887</v>
      </c>
      <c r="B373" t="s">
        <v>23</v>
      </c>
      <c r="C373" t="s">
        <v>16</v>
      </c>
      <c r="D373" t="s">
        <v>11</v>
      </c>
    </row>
    <row r="374" spans="1:4" x14ac:dyDescent="0.2">
      <c r="A374">
        <v>166103</v>
      </c>
      <c r="B374" t="s">
        <v>15</v>
      </c>
      <c r="C374" t="s">
        <v>19</v>
      </c>
      <c r="D374" t="s">
        <v>18</v>
      </c>
    </row>
    <row r="375" spans="1:4" x14ac:dyDescent="0.2">
      <c r="A375">
        <v>144850</v>
      </c>
      <c r="B375" t="s">
        <v>12</v>
      </c>
      <c r="C375" t="s">
        <v>16</v>
      </c>
      <c r="D375" t="s">
        <v>11</v>
      </c>
    </row>
    <row r="376" spans="1:4" x14ac:dyDescent="0.2">
      <c r="A376">
        <v>139746</v>
      </c>
      <c r="B376" t="s">
        <v>23</v>
      </c>
      <c r="C376" t="s">
        <v>19</v>
      </c>
      <c r="D376" t="s">
        <v>18</v>
      </c>
    </row>
    <row r="377" spans="1:4" x14ac:dyDescent="0.2">
      <c r="A377">
        <v>177685</v>
      </c>
      <c r="B377" t="s">
        <v>15</v>
      </c>
      <c r="C377" t="s">
        <v>19</v>
      </c>
      <c r="D377" t="s">
        <v>11</v>
      </c>
    </row>
    <row r="378" spans="1:4" x14ac:dyDescent="0.2">
      <c r="A378">
        <v>166728</v>
      </c>
      <c r="B378" t="s">
        <v>23</v>
      </c>
      <c r="C378" t="s">
        <v>21</v>
      </c>
      <c r="D378" t="s">
        <v>18</v>
      </c>
    </row>
    <row r="379" spans="1:4" x14ac:dyDescent="0.2">
      <c r="A379">
        <v>116065</v>
      </c>
      <c r="B379" t="s">
        <v>12</v>
      </c>
      <c r="C379" t="s">
        <v>16</v>
      </c>
      <c r="D379" t="s">
        <v>18</v>
      </c>
    </row>
    <row r="380" spans="1:4" x14ac:dyDescent="0.2">
      <c r="A380">
        <v>110033</v>
      </c>
      <c r="B380" t="s">
        <v>15</v>
      </c>
      <c r="C380" t="s">
        <v>13</v>
      </c>
      <c r="D380" t="s">
        <v>18</v>
      </c>
    </row>
    <row r="381" spans="1:4" x14ac:dyDescent="0.2">
      <c r="A381">
        <v>164617</v>
      </c>
      <c r="B381" t="s">
        <v>23</v>
      </c>
      <c r="C381" t="s">
        <v>16</v>
      </c>
      <c r="D381" t="s">
        <v>18</v>
      </c>
    </row>
    <row r="382" spans="1:4" x14ac:dyDescent="0.2">
      <c r="A382">
        <v>112314</v>
      </c>
      <c r="B382" t="s">
        <v>15</v>
      </c>
      <c r="C382" t="s">
        <v>21</v>
      </c>
      <c r="D382" t="s">
        <v>18</v>
      </c>
    </row>
    <row r="383" spans="1:4" x14ac:dyDescent="0.2">
      <c r="A383">
        <v>130671</v>
      </c>
      <c r="B383" t="s">
        <v>15</v>
      </c>
      <c r="C383" t="s">
        <v>16</v>
      </c>
      <c r="D383" t="s">
        <v>18</v>
      </c>
    </row>
    <row r="384" spans="1:4" x14ac:dyDescent="0.2">
      <c r="A384">
        <v>176094</v>
      </c>
      <c r="B384" t="s">
        <v>23</v>
      </c>
      <c r="C384" t="s">
        <v>13</v>
      </c>
      <c r="D384" t="s">
        <v>18</v>
      </c>
    </row>
    <row r="385" spans="1:4" x14ac:dyDescent="0.2">
      <c r="A385">
        <v>133227</v>
      </c>
      <c r="B385" t="s">
        <v>23</v>
      </c>
      <c r="C385" t="s">
        <v>16</v>
      </c>
      <c r="D385" t="s">
        <v>18</v>
      </c>
    </row>
    <row r="386" spans="1:4" x14ac:dyDescent="0.2">
      <c r="A386">
        <v>170530</v>
      </c>
      <c r="B386" t="s">
        <v>23</v>
      </c>
      <c r="C386" t="s">
        <v>21</v>
      </c>
      <c r="D386" t="s">
        <v>18</v>
      </c>
    </row>
    <row r="387" spans="1:4" x14ac:dyDescent="0.2">
      <c r="A387">
        <v>195782</v>
      </c>
      <c r="B387" t="s">
        <v>12</v>
      </c>
      <c r="C387" t="s">
        <v>16</v>
      </c>
      <c r="D387" t="s">
        <v>11</v>
      </c>
    </row>
    <row r="388" spans="1:4" x14ac:dyDescent="0.2">
      <c r="A388">
        <v>113054</v>
      </c>
      <c r="B388" t="s">
        <v>12</v>
      </c>
      <c r="C388" t="s">
        <v>19</v>
      </c>
      <c r="D388" t="s">
        <v>18</v>
      </c>
    </row>
    <row r="389" spans="1:4" x14ac:dyDescent="0.2">
      <c r="A389">
        <v>198313</v>
      </c>
      <c r="B389" t="s">
        <v>12</v>
      </c>
      <c r="C389" t="s">
        <v>13</v>
      </c>
      <c r="D389" t="s">
        <v>11</v>
      </c>
    </row>
    <row r="390" spans="1:4" x14ac:dyDescent="0.2">
      <c r="A390">
        <v>158628</v>
      </c>
      <c r="B390" t="s">
        <v>23</v>
      </c>
      <c r="C390" t="s">
        <v>16</v>
      </c>
      <c r="D390" t="s">
        <v>18</v>
      </c>
    </row>
    <row r="391" spans="1:4" x14ac:dyDescent="0.2">
      <c r="A391">
        <v>154165</v>
      </c>
      <c r="B391" t="s">
        <v>23</v>
      </c>
      <c r="C391" t="s">
        <v>16</v>
      </c>
      <c r="D391" t="s">
        <v>11</v>
      </c>
    </row>
    <row r="392" spans="1:4" x14ac:dyDescent="0.2">
      <c r="A392">
        <v>122473</v>
      </c>
      <c r="B392" t="s">
        <v>12</v>
      </c>
      <c r="C392" t="s">
        <v>16</v>
      </c>
      <c r="D392" t="s">
        <v>11</v>
      </c>
    </row>
    <row r="393" spans="1:4" x14ac:dyDescent="0.2">
      <c r="A393">
        <v>150408</v>
      </c>
      <c r="B393" t="s">
        <v>15</v>
      </c>
      <c r="C393" t="s">
        <v>21</v>
      </c>
      <c r="D393" t="s">
        <v>18</v>
      </c>
    </row>
    <row r="394" spans="1:4" x14ac:dyDescent="0.2">
      <c r="A394">
        <v>178253</v>
      </c>
      <c r="B394" t="s">
        <v>15</v>
      </c>
      <c r="C394" t="s">
        <v>21</v>
      </c>
      <c r="D394" t="s">
        <v>11</v>
      </c>
    </row>
    <row r="395" spans="1:4" x14ac:dyDescent="0.2">
      <c r="A395">
        <v>182211</v>
      </c>
      <c r="B395" t="s">
        <v>12</v>
      </c>
      <c r="C395" t="s">
        <v>13</v>
      </c>
      <c r="D395" t="s">
        <v>11</v>
      </c>
    </row>
    <row r="396" spans="1:4" x14ac:dyDescent="0.2">
      <c r="A396">
        <v>157396</v>
      </c>
      <c r="B396" t="s">
        <v>23</v>
      </c>
      <c r="C396" t="s">
        <v>21</v>
      </c>
      <c r="D396" t="s">
        <v>18</v>
      </c>
    </row>
    <row r="397" spans="1:4" x14ac:dyDescent="0.2">
      <c r="A397">
        <v>152736</v>
      </c>
      <c r="B397" t="s">
        <v>15</v>
      </c>
      <c r="C397" t="s">
        <v>16</v>
      </c>
      <c r="D397" t="s">
        <v>18</v>
      </c>
    </row>
    <row r="398" spans="1:4" x14ac:dyDescent="0.2">
      <c r="A398">
        <v>168051</v>
      </c>
      <c r="B398" t="s">
        <v>23</v>
      </c>
      <c r="C398" t="s">
        <v>19</v>
      </c>
      <c r="D398" t="s">
        <v>11</v>
      </c>
    </row>
    <row r="399" spans="1:4" x14ac:dyDescent="0.2">
      <c r="A399">
        <v>119648</v>
      </c>
      <c r="B399" t="s">
        <v>12</v>
      </c>
      <c r="C399" t="s">
        <v>21</v>
      </c>
      <c r="D399" t="s">
        <v>11</v>
      </c>
    </row>
    <row r="400" spans="1:4" x14ac:dyDescent="0.2">
      <c r="A400">
        <v>130206</v>
      </c>
      <c r="B400" t="s">
        <v>15</v>
      </c>
      <c r="C400" t="s">
        <v>21</v>
      </c>
      <c r="D400" t="s">
        <v>18</v>
      </c>
    </row>
    <row r="401" spans="1:4" x14ac:dyDescent="0.2">
      <c r="A401">
        <v>153501</v>
      </c>
      <c r="B401" t="s">
        <v>12</v>
      </c>
      <c r="C401" t="s">
        <v>13</v>
      </c>
      <c r="D401" t="s">
        <v>18</v>
      </c>
    </row>
    <row r="402" spans="1:4" x14ac:dyDescent="0.2">
      <c r="A402">
        <v>196059</v>
      </c>
      <c r="B402" t="s">
        <v>23</v>
      </c>
      <c r="C402" t="s">
        <v>16</v>
      </c>
      <c r="D402" t="s">
        <v>11</v>
      </c>
    </row>
    <row r="403" spans="1:4" x14ac:dyDescent="0.2">
      <c r="A403">
        <v>153655</v>
      </c>
      <c r="B403" t="s">
        <v>15</v>
      </c>
      <c r="C403" t="s">
        <v>19</v>
      </c>
      <c r="D403" t="s">
        <v>18</v>
      </c>
    </row>
    <row r="404" spans="1:4" x14ac:dyDescent="0.2">
      <c r="A404">
        <v>191803</v>
      </c>
      <c r="B404" t="s">
        <v>12</v>
      </c>
      <c r="C404" t="s">
        <v>19</v>
      </c>
      <c r="D404" t="s">
        <v>18</v>
      </c>
    </row>
    <row r="405" spans="1:4" x14ac:dyDescent="0.2">
      <c r="A405">
        <v>145992</v>
      </c>
      <c r="B405" t="s">
        <v>15</v>
      </c>
      <c r="C405" t="s">
        <v>21</v>
      </c>
      <c r="D405" t="s">
        <v>18</v>
      </c>
    </row>
    <row r="406" spans="1:4" x14ac:dyDescent="0.2">
      <c r="A406">
        <v>118967</v>
      </c>
      <c r="B406" t="s">
        <v>23</v>
      </c>
      <c r="C406" t="s">
        <v>19</v>
      </c>
      <c r="D406" t="s">
        <v>18</v>
      </c>
    </row>
    <row r="407" spans="1:4" x14ac:dyDescent="0.2">
      <c r="A407">
        <v>125062</v>
      </c>
      <c r="B407" t="s">
        <v>23</v>
      </c>
      <c r="C407" t="s">
        <v>21</v>
      </c>
      <c r="D407" t="s">
        <v>11</v>
      </c>
    </row>
    <row r="408" spans="1:4" x14ac:dyDescent="0.2">
      <c r="A408">
        <v>165448</v>
      </c>
      <c r="B408" t="s">
        <v>23</v>
      </c>
      <c r="C408" t="s">
        <v>13</v>
      </c>
      <c r="D408" t="s">
        <v>18</v>
      </c>
    </row>
    <row r="409" spans="1:4" x14ac:dyDescent="0.2">
      <c r="A409">
        <v>160827</v>
      </c>
      <c r="B409" t="s">
        <v>15</v>
      </c>
      <c r="C409" t="s">
        <v>16</v>
      </c>
      <c r="D409" t="s">
        <v>11</v>
      </c>
    </row>
    <row r="410" spans="1:4" x14ac:dyDescent="0.2">
      <c r="A410">
        <v>125378</v>
      </c>
      <c r="B410" t="s">
        <v>12</v>
      </c>
      <c r="C410" t="s">
        <v>19</v>
      </c>
      <c r="D410" t="s">
        <v>18</v>
      </c>
    </row>
    <row r="411" spans="1:4" x14ac:dyDescent="0.2">
      <c r="A411">
        <v>185547</v>
      </c>
      <c r="B411" t="s">
        <v>23</v>
      </c>
      <c r="C411" t="s">
        <v>21</v>
      </c>
      <c r="D411" t="s">
        <v>18</v>
      </c>
    </row>
    <row r="412" spans="1:4" x14ac:dyDescent="0.2">
      <c r="A412">
        <v>191475</v>
      </c>
      <c r="B412" t="s">
        <v>23</v>
      </c>
      <c r="C412" t="s">
        <v>16</v>
      </c>
      <c r="D412" t="s">
        <v>11</v>
      </c>
    </row>
    <row r="413" spans="1:4" x14ac:dyDescent="0.2">
      <c r="A413">
        <v>193605</v>
      </c>
      <c r="B413" t="s">
        <v>12</v>
      </c>
      <c r="C413" t="s">
        <v>13</v>
      </c>
      <c r="D413" t="s">
        <v>11</v>
      </c>
    </row>
    <row r="414" spans="1:4" x14ac:dyDescent="0.2">
      <c r="A414">
        <v>193179</v>
      </c>
      <c r="B414" t="s">
        <v>15</v>
      </c>
      <c r="C414" t="s">
        <v>19</v>
      </c>
      <c r="D414" t="s">
        <v>18</v>
      </c>
    </row>
    <row r="415" spans="1:4" x14ac:dyDescent="0.2">
      <c r="A415">
        <v>131808</v>
      </c>
      <c r="B415" t="s">
        <v>12</v>
      </c>
      <c r="C415" t="s">
        <v>19</v>
      </c>
      <c r="D415" t="s">
        <v>18</v>
      </c>
    </row>
    <row r="416" spans="1:4" x14ac:dyDescent="0.2">
      <c r="A416">
        <v>134615</v>
      </c>
      <c r="B416" t="s">
        <v>23</v>
      </c>
      <c r="C416" t="s">
        <v>19</v>
      </c>
      <c r="D416" t="s">
        <v>11</v>
      </c>
    </row>
    <row r="417" spans="1:4" x14ac:dyDescent="0.2">
      <c r="A417">
        <v>142414</v>
      </c>
      <c r="B417" t="s">
        <v>23</v>
      </c>
      <c r="C417" t="s">
        <v>19</v>
      </c>
      <c r="D417" t="s">
        <v>18</v>
      </c>
    </row>
    <row r="418" spans="1:4" x14ac:dyDescent="0.2">
      <c r="A418">
        <v>152245</v>
      </c>
      <c r="B418" t="s">
        <v>23</v>
      </c>
      <c r="C418" t="s">
        <v>13</v>
      </c>
      <c r="D418" t="s">
        <v>11</v>
      </c>
    </row>
    <row r="419" spans="1:4" x14ac:dyDescent="0.2">
      <c r="A419">
        <v>186093</v>
      </c>
      <c r="B419" t="s">
        <v>23</v>
      </c>
      <c r="C419" t="s">
        <v>21</v>
      </c>
      <c r="D419" t="s">
        <v>11</v>
      </c>
    </row>
    <row r="420" spans="1:4" x14ac:dyDescent="0.2">
      <c r="A420">
        <v>123603</v>
      </c>
      <c r="B420" t="s">
        <v>23</v>
      </c>
      <c r="C420" t="s">
        <v>16</v>
      </c>
      <c r="D420" t="s">
        <v>18</v>
      </c>
    </row>
    <row r="421" spans="1:4" x14ac:dyDescent="0.2">
      <c r="A421">
        <v>178518</v>
      </c>
      <c r="B421" t="s">
        <v>23</v>
      </c>
      <c r="C421" t="s">
        <v>13</v>
      </c>
      <c r="D421" t="s">
        <v>11</v>
      </c>
    </row>
    <row r="422" spans="1:4" x14ac:dyDescent="0.2">
      <c r="A422">
        <v>185924</v>
      </c>
      <c r="B422" t="s">
        <v>23</v>
      </c>
      <c r="C422" t="s">
        <v>21</v>
      </c>
      <c r="D422" t="s">
        <v>18</v>
      </c>
    </row>
    <row r="423" spans="1:4" x14ac:dyDescent="0.2">
      <c r="A423">
        <v>161426</v>
      </c>
      <c r="B423" t="s">
        <v>15</v>
      </c>
      <c r="C423" t="s">
        <v>16</v>
      </c>
      <c r="D423" t="s">
        <v>11</v>
      </c>
    </row>
    <row r="424" spans="1:4" x14ac:dyDescent="0.2">
      <c r="A424">
        <v>179528</v>
      </c>
      <c r="B424" t="s">
        <v>15</v>
      </c>
      <c r="C424" t="s">
        <v>21</v>
      </c>
      <c r="D424" t="s">
        <v>11</v>
      </c>
    </row>
    <row r="425" spans="1:4" x14ac:dyDescent="0.2">
      <c r="A425">
        <v>152881</v>
      </c>
      <c r="B425" t="s">
        <v>15</v>
      </c>
      <c r="C425" t="s">
        <v>16</v>
      </c>
      <c r="D425" t="s">
        <v>18</v>
      </c>
    </row>
    <row r="426" spans="1:4" x14ac:dyDescent="0.2">
      <c r="A426">
        <v>158853</v>
      </c>
      <c r="B426" t="s">
        <v>15</v>
      </c>
      <c r="C426" t="s">
        <v>21</v>
      </c>
      <c r="D426" t="s">
        <v>18</v>
      </c>
    </row>
    <row r="427" spans="1:4" x14ac:dyDescent="0.2">
      <c r="A427">
        <v>186138</v>
      </c>
      <c r="B427" t="s">
        <v>15</v>
      </c>
      <c r="C427" t="s">
        <v>19</v>
      </c>
      <c r="D427" t="s">
        <v>11</v>
      </c>
    </row>
    <row r="428" spans="1:4" x14ac:dyDescent="0.2">
      <c r="A428">
        <v>183223</v>
      </c>
      <c r="B428" t="s">
        <v>23</v>
      </c>
      <c r="C428" t="s">
        <v>19</v>
      </c>
      <c r="D428" t="s">
        <v>18</v>
      </c>
    </row>
    <row r="429" spans="1:4" x14ac:dyDescent="0.2">
      <c r="A429">
        <v>113169</v>
      </c>
      <c r="B429" t="s">
        <v>15</v>
      </c>
      <c r="C429" t="s">
        <v>16</v>
      </c>
      <c r="D429" t="s">
        <v>18</v>
      </c>
    </row>
    <row r="430" spans="1:4" x14ac:dyDescent="0.2">
      <c r="A430">
        <v>138256</v>
      </c>
      <c r="B430" t="s">
        <v>23</v>
      </c>
      <c r="C430" t="s">
        <v>21</v>
      </c>
      <c r="D430" t="s">
        <v>18</v>
      </c>
    </row>
    <row r="431" spans="1:4" x14ac:dyDescent="0.2">
      <c r="A431">
        <v>115815</v>
      </c>
      <c r="B431" t="s">
        <v>23</v>
      </c>
      <c r="C431" t="s">
        <v>16</v>
      </c>
      <c r="D431" t="s">
        <v>18</v>
      </c>
    </row>
    <row r="432" spans="1:4" x14ac:dyDescent="0.2">
      <c r="A432">
        <v>162665</v>
      </c>
      <c r="B432" t="s">
        <v>12</v>
      </c>
      <c r="C432" t="s">
        <v>19</v>
      </c>
      <c r="D432" t="s">
        <v>18</v>
      </c>
    </row>
    <row r="433" spans="1:4" x14ac:dyDescent="0.2">
      <c r="A433">
        <v>135610</v>
      </c>
      <c r="B433" t="s">
        <v>23</v>
      </c>
      <c r="C433" t="s">
        <v>21</v>
      </c>
      <c r="D433" t="s">
        <v>11</v>
      </c>
    </row>
    <row r="434" spans="1:4" x14ac:dyDescent="0.2">
      <c r="A434">
        <v>164361</v>
      </c>
      <c r="B434" t="s">
        <v>23</v>
      </c>
      <c r="C434" t="s">
        <v>13</v>
      </c>
      <c r="D434" t="s">
        <v>18</v>
      </c>
    </row>
    <row r="435" spans="1:4" x14ac:dyDescent="0.2">
      <c r="A435">
        <v>112551</v>
      </c>
      <c r="B435" t="s">
        <v>15</v>
      </c>
      <c r="C435" t="s">
        <v>13</v>
      </c>
      <c r="D435" t="s">
        <v>11</v>
      </c>
    </row>
    <row r="436" spans="1:4" x14ac:dyDescent="0.2">
      <c r="A436">
        <v>184922</v>
      </c>
      <c r="B436" t="s">
        <v>12</v>
      </c>
      <c r="C436" t="s">
        <v>21</v>
      </c>
      <c r="D436" t="s">
        <v>18</v>
      </c>
    </row>
    <row r="437" spans="1:4" x14ac:dyDescent="0.2">
      <c r="A437">
        <v>159197</v>
      </c>
      <c r="B437" t="s">
        <v>23</v>
      </c>
      <c r="C437" t="s">
        <v>19</v>
      </c>
      <c r="D437" t="s">
        <v>18</v>
      </c>
    </row>
    <row r="438" spans="1:4" x14ac:dyDescent="0.2">
      <c r="A438">
        <v>162972</v>
      </c>
      <c r="B438" t="s">
        <v>12</v>
      </c>
      <c r="C438" t="s">
        <v>16</v>
      </c>
      <c r="D438" t="s">
        <v>18</v>
      </c>
    </row>
    <row r="439" spans="1:4" x14ac:dyDescent="0.2">
      <c r="A439">
        <v>194018</v>
      </c>
      <c r="B439" t="s">
        <v>23</v>
      </c>
      <c r="C439" t="s">
        <v>16</v>
      </c>
      <c r="D439" t="s">
        <v>18</v>
      </c>
    </row>
    <row r="440" spans="1:4" x14ac:dyDescent="0.2">
      <c r="A440">
        <v>128043</v>
      </c>
      <c r="B440" t="s">
        <v>23</v>
      </c>
      <c r="C440" t="s">
        <v>19</v>
      </c>
      <c r="D440" t="s">
        <v>18</v>
      </c>
    </row>
    <row r="441" spans="1:4" x14ac:dyDescent="0.2">
      <c r="A441">
        <v>194508</v>
      </c>
      <c r="B441" t="s">
        <v>12</v>
      </c>
      <c r="C441" t="s">
        <v>21</v>
      </c>
      <c r="D441" t="s">
        <v>11</v>
      </c>
    </row>
    <row r="442" spans="1:4" x14ac:dyDescent="0.2">
      <c r="A442">
        <v>125010</v>
      </c>
      <c r="B442" t="s">
        <v>15</v>
      </c>
      <c r="C442" t="s">
        <v>21</v>
      </c>
      <c r="D442" t="s">
        <v>18</v>
      </c>
    </row>
    <row r="443" spans="1:4" x14ac:dyDescent="0.2">
      <c r="A443">
        <v>157494</v>
      </c>
      <c r="B443" t="s">
        <v>15</v>
      </c>
      <c r="C443" t="s">
        <v>16</v>
      </c>
      <c r="D443" t="s">
        <v>18</v>
      </c>
    </row>
    <row r="444" spans="1:4" x14ac:dyDescent="0.2">
      <c r="A444">
        <v>195774</v>
      </c>
      <c r="B444" t="s">
        <v>15</v>
      </c>
      <c r="C444" t="s">
        <v>19</v>
      </c>
      <c r="D444" t="s">
        <v>11</v>
      </c>
    </row>
    <row r="445" spans="1:4" x14ac:dyDescent="0.2">
      <c r="A445">
        <v>133617</v>
      </c>
      <c r="B445" t="s">
        <v>15</v>
      </c>
      <c r="C445" t="s">
        <v>16</v>
      </c>
      <c r="D445" t="s">
        <v>11</v>
      </c>
    </row>
    <row r="446" spans="1:4" x14ac:dyDescent="0.2">
      <c r="A446">
        <v>176459</v>
      </c>
      <c r="B446" t="s">
        <v>23</v>
      </c>
      <c r="C446" t="s">
        <v>13</v>
      </c>
      <c r="D446" t="s">
        <v>11</v>
      </c>
    </row>
    <row r="447" spans="1:4" x14ac:dyDescent="0.2">
      <c r="A447">
        <v>138820</v>
      </c>
      <c r="B447" t="s">
        <v>15</v>
      </c>
      <c r="C447" t="s">
        <v>16</v>
      </c>
      <c r="D447" t="s">
        <v>18</v>
      </c>
    </row>
    <row r="448" spans="1:4" x14ac:dyDescent="0.2">
      <c r="A448">
        <v>152123</v>
      </c>
      <c r="B448" t="s">
        <v>15</v>
      </c>
      <c r="C448" t="s">
        <v>13</v>
      </c>
      <c r="D448" t="s">
        <v>18</v>
      </c>
    </row>
    <row r="449" spans="1:4" x14ac:dyDescent="0.2">
      <c r="A449">
        <v>165842</v>
      </c>
      <c r="B449" t="s">
        <v>23</v>
      </c>
      <c r="C449" t="s">
        <v>16</v>
      </c>
      <c r="D449" t="s">
        <v>11</v>
      </c>
    </row>
    <row r="450" spans="1:4" x14ac:dyDescent="0.2">
      <c r="A450">
        <v>160474</v>
      </c>
      <c r="B450" t="s">
        <v>12</v>
      </c>
      <c r="C450" t="s">
        <v>21</v>
      </c>
      <c r="D450" t="s">
        <v>18</v>
      </c>
    </row>
    <row r="451" spans="1:4" x14ac:dyDescent="0.2">
      <c r="A451">
        <v>198462</v>
      </c>
      <c r="B451" t="s">
        <v>12</v>
      </c>
      <c r="C451" t="s">
        <v>16</v>
      </c>
      <c r="D451" t="s">
        <v>11</v>
      </c>
    </row>
    <row r="452" spans="1:4" x14ac:dyDescent="0.2">
      <c r="A452">
        <v>194843</v>
      </c>
      <c r="B452" t="s">
        <v>12</v>
      </c>
      <c r="C452" t="s">
        <v>21</v>
      </c>
      <c r="D452" t="s">
        <v>18</v>
      </c>
    </row>
    <row r="453" spans="1:4" x14ac:dyDescent="0.2">
      <c r="A453">
        <v>150604</v>
      </c>
      <c r="B453" t="s">
        <v>15</v>
      </c>
      <c r="C453" t="s">
        <v>13</v>
      </c>
      <c r="D453" t="s">
        <v>18</v>
      </c>
    </row>
    <row r="454" spans="1:4" x14ac:dyDescent="0.2">
      <c r="A454">
        <v>190418</v>
      </c>
      <c r="B454" t="s">
        <v>12</v>
      </c>
      <c r="C454" t="s">
        <v>19</v>
      </c>
      <c r="D454" t="s">
        <v>11</v>
      </c>
    </row>
    <row r="455" spans="1:4" x14ac:dyDescent="0.2">
      <c r="A455">
        <v>133094</v>
      </c>
      <c r="B455" t="s">
        <v>12</v>
      </c>
      <c r="C455" t="s">
        <v>21</v>
      </c>
      <c r="D455" t="s">
        <v>18</v>
      </c>
    </row>
    <row r="456" spans="1:4" x14ac:dyDescent="0.2">
      <c r="A456">
        <v>189074</v>
      </c>
      <c r="B456" t="s">
        <v>12</v>
      </c>
      <c r="C456" t="s">
        <v>21</v>
      </c>
      <c r="D456" t="s">
        <v>18</v>
      </c>
    </row>
    <row r="457" spans="1:4" x14ac:dyDescent="0.2">
      <c r="A457">
        <v>152783</v>
      </c>
      <c r="B457" t="s">
        <v>15</v>
      </c>
      <c r="C457" t="s">
        <v>19</v>
      </c>
      <c r="D457" t="s">
        <v>18</v>
      </c>
    </row>
    <row r="458" spans="1:4" x14ac:dyDescent="0.2">
      <c r="A458">
        <v>152215</v>
      </c>
      <c r="B458" t="s">
        <v>15</v>
      </c>
      <c r="C458" t="s">
        <v>19</v>
      </c>
      <c r="D458" t="s">
        <v>11</v>
      </c>
    </row>
    <row r="459" spans="1:4" x14ac:dyDescent="0.2">
      <c r="A459">
        <v>174676</v>
      </c>
      <c r="B459" t="s">
        <v>12</v>
      </c>
      <c r="C459" t="s">
        <v>13</v>
      </c>
      <c r="D459" t="s">
        <v>18</v>
      </c>
    </row>
    <row r="460" spans="1:4" x14ac:dyDescent="0.2">
      <c r="A460">
        <v>147821</v>
      </c>
      <c r="B460" t="s">
        <v>15</v>
      </c>
      <c r="C460" t="s">
        <v>21</v>
      </c>
      <c r="D460" t="s">
        <v>11</v>
      </c>
    </row>
    <row r="461" spans="1:4" x14ac:dyDescent="0.2">
      <c r="A461">
        <v>113180</v>
      </c>
      <c r="B461" t="s">
        <v>12</v>
      </c>
      <c r="C461" t="s">
        <v>13</v>
      </c>
      <c r="D461" t="s">
        <v>18</v>
      </c>
    </row>
    <row r="462" spans="1:4" x14ac:dyDescent="0.2">
      <c r="A462">
        <v>147684</v>
      </c>
      <c r="B462" t="s">
        <v>12</v>
      </c>
      <c r="C462" t="s">
        <v>21</v>
      </c>
      <c r="D462" t="s">
        <v>11</v>
      </c>
    </row>
    <row r="463" spans="1:4" x14ac:dyDescent="0.2">
      <c r="A463">
        <v>110276</v>
      </c>
      <c r="B463" t="s">
        <v>12</v>
      </c>
      <c r="C463" t="s">
        <v>19</v>
      </c>
      <c r="D463" t="s">
        <v>18</v>
      </c>
    </row>
    <row r="464" spans="1:4" x14ac:dyDescent="0.2">
      <c r="A464">
        <v>119373</v>
      </c>
      <c r="B464" t="s">
        <v>15</v>
      </c>
      <c r="C464" t="s">
        <v>21</v>
      </c>
      <c r="D464" t="s">
        <v>18</v>
      </c>
    </row>
    <row r="465" spans="1:4" x14ac:dyDescent="0.2">
      <c r="A465">
        <v>130090</v>
      </c>
      <c r="B465" t="s">
        <v>12</v>
      </c>
      <c r="C465" t="s">
        <v>16</v>
      </c>
      <c r="D465" t="s">
        <v>18</v>
      </c>
    </row>
    <row r="466" spans="1:4" x14ac:dyDescent="0.2">
      <c r="A466">
        <v>168451</v>
      </c>
      <c r="B466" t="s">
        <v>23</v>
      </c>
      <c r="C466" t="s">
        <v>21</v>
      </c>
      <c r="D466" t="s">
        <v>11</v>
      </c>
    </row>
    <row r="467" spans="1:4" x14ac:dyDescent="0.2">
      <c r="A467">
        <v>196907</v>
      </c>
      <c r="B467" t="s">
        <v>12</v>
      </c>
      <c r="C467" t="s">
        <v>16</v>
      </c>
      <c r="D467" t="s">
        <v>18</v>
      </c>
    </row>
    <row r="468" spans="1:4" x14ac:dyDescent="0.2">
      <c r="A468">
        <v>153708</v>
      </c>
      <c r="B468" t="s">
        <v>23</v>
      </c>
      <c r="C468" t="s">
        <v>16</v>
      </c>
      <c r="D468" t="s">
        <v>18</v>
      </c>
    </row>
    <row r="469" spans="1:4" x14ac:dyDescent="0.2">
      <c r="A469">
        <v>116949</v>
      </c>
      <c r="B469" t="s">
        <v>15</v>
      </c>
      <c r="C469" t="s">
        <v>21</v>
      </c>
      <c r="D469" t="s">
        <v>18</v>
      </c>
    </row>
    <row r="470" spans="1:4" x14ac:dyDescent="0.2">
      <c r="A470">
        <v>128184</v>
      </c>
      <c r="B470" t="s">
        <v>15</v>
      </c>
      <c r="C470" t="s">
        <v>13</v>
      </c>
      <c r="D470" t="s">
        <v>18</v>
      </c>
    </row>
    <row r="471" spans="1:4" x14ac:dyDescent="0.2">
      <c r="A471">
        <v>190312</v>
      </c>
      <c r="B471" t="s">
        <v>12</v>
      </c>
      <c r="C471" t="s">
        <v>16</v>
      </c>
      <c r="D471" t="s">
        <v>18</v>
      </c>
    </row>
    <row r="472" spans="1:4" x14ac:dyDescent="0.2">
      <c r="A472">
        <v>195839</v>
      </c>
      <c r="B472" t="s">
        <v>15</v>
      </c>
      <c r="C472" t="s">
        <v>13</v>
      </c>
      <c r="D472" t="s">
        <v>18</v>
      </c>
    </row>
    <row r="473" spans="1:4" x14ac:dyDescent="0.2">
      <c r="A473">
        <v>197080</v>
      </c>
      <c r="B473" t="s">
        <v>12</v>
      </c>
      <c r="C473" t="s">
        <v>16</v>
      </c>
      <c r="D473" t="s">
        <v>18</v>
      </c>
    </row>
    <row r="474" spans="1:4" x14ac:dyDescent="0.2">
      <c r="A474">
        <v>126882</v>
      </c>
      <c r="B474" t="s">
        <v>12</v>
      </c>
      <c r="C474" t="s">
        <v>21</v>
      </c>
      <c r="D474" t="s">
        <v>11</v>
      </c>
    </row>
    <row r="475" spans="1:4" x14ac:dyDescent="0.2">
      <c r="A475">
        <v>121683</v>
      </c>
      <c r="B475" t="s">
        <v>15</v>
      </c>
      <c r="C475" t="s">
        <v>21</v>
      </c>
      <c r="D475" t="s">
        <v>11</v>
      </c>
    </row>
    <row r="476" spans="1:4" x14ac:dyDescent="0.2">
      <c r="A476">
        <v>114466</v>
      </c>
      <c r="B476" t="s">
        <v>23</v>
      </c>
      <c r="C476" t="s">
        <v>19</v>
      </c>
      <c r="D476" t="s">
        <v>11</v>
      </c>
    </row>
    <row r="477" spans="1:4" x14ac:dyDescent="0.2">
      <c r="A477">
        <v>133423</v>
      </c>
      <c r="B477" t="s">
        <v>15</v>
      </c>
      <c r="C477" t="s">
        <v>16</v>
      </c>
      <c r="D477" t="s">
        <v>18</v>
      </c>
    </row>
    <row r="478" spans="1:4" x14ac:dyDescent="0.2">
      <c r="A478">
        <v>129345</v>
      </c>
      <c r="B478" t="s">
        <v>23</v>
      </c>
      <c r="C478" t="s">
        <v>13</v>
      </c>
      <c r="D478" t="s">
        <v>11</v>
      </c>
    </row>
    <row r="479" spans="1:4" x14ac:dyDescent="0.2">
      <c r="A479">
        <v>182298</v>
      </c>
      <c r="B479" t="s">
        <v>15</v>
      </c>
      <c r="C479" t="s">
        <v>19</v>
      </c>
      <c r="D479" t="s">
        <v>11</v>
      </c>
    </row>
    <row r="480" spans="1:4" x14ac:dyDescent="0.2">
      <c r="A480">
        <v>115099</v>
      </c>
      <c r="B480" t="s">
        <v>23</v>
      </c>
      <c r="C480" t="s">
        <v>13</v>
      </c>
      <c r="D480" t="s">
        <v>11</v>
      </c>
    </row>
    <row r="481" spans="1:4" x14ac:dyDescent="0.2">
      <c r="A481">
        <v>123677</v>
      </c>
      <c r="B481" t="s">
        <v>15</v>
      </c>
      <c r="C481" t="s">
        <v>21</v>
      </c>
      <c r="D481" t="s">
        <v>11</v>
      </c>
    </row>
    <row r="482" spans="1:4" x14ac:dyDescent="0.2">
      <c r="A482">
        <v>156228</v>
      </c>
      <c r="B482" t="s">
        <v>12</v>
      </c>
      <c r="C482" t="s">
        <v>19</v>
      </c>
      <c r="D482" t="s">
        <v>18</v>
      </c>
    </row>
    <row r="483" spans="1:4" x14ac:dyDescent="0.2">
      <c r="A483">
        <v>130446</v>
      </c>
      <c r="B483" t="s">
        <v>12</v>
      </c>
      <c r="C483" t="s">
        <v>21</v>
      </c>
      <c r="D483" t="s">
        <v>11</v>
      </c>
    </row>
    <row r="484" spans="1:4" x14ac:dyDescent="0.2">
      <c r="A484">
        <v>139743</v>
      </c>
      <c r="B484" t="s">
        <v>23</v>
      </c>
      <c r="C484" t="s">
        <v>21</v>
      </c>
      <c r="D484" t="s">
        <v>11</v>
      </c>
    </row>
    <row r="485" spans="1:4" x14ac:dyDescent="0.2">
      <c r="A485">
        <v>137462</v>
      </c>
      <c r="B485" t="s">
        <v>15</v>
      </c>
      <c r="C485" t="s">
        <v>13</v>
      </c>
      <c r="D485" t="s">
        <v>18</v>
      </c>
    </row>
    <row r="486" spans="1:4" x14ac:dyDescent="0.2">
      <c r="A486">
        <v>180388</v>
      </c>
      <c r="B486" t="s">
        <v>12</v>
      </c>
      <c r="C486" t="s">
        <v>16</v>
      </c>
      <c r="D486" t="s">
        <v>11</v>
      </c>
    </row>
    <row r="487" spans="1:4" x14ac:dyDescent="0.2">
      <c r="A487">
        <v>193975</v>
      </c>
      <c r="B487" t="s">
        <v>23</v>
      </c>
      <c r="C487" t="s">
        <v>21</v>
      </c>
      <c r="D487" t="s">
        <v>18</v>
      </c>
    </row>
    <row r="488" spans="1:4" x14ac:dyDescent="0.2">
      <c r="A488">
        <v>126497</v>
      </c>
      <c r="B488" t="s">
        <v>15</v>
      </c>
      <c r="C488" t="s">
        <v>19</v>
      </c>
      <c r="D488" t="s">
        <v>11</v>
      </c>
    </row>
    <row r="489" spans="1:4" x14ac:dyDescent="0.2">
      <c r="A489">
        <v>165072</v>
      </c>
      <c r="B489" t="s">
        <v>23</v>
      </c>
      <c r="C489" t="s">
        <v>16</v>
      </c>
      <c r="D489" t="s">
        <v>11</v>
      </c>
    </row>
    <row r="490" spans="1:4" x14ac:dyDescent="0.2">
      <c r="A490">
        <v>146446</v>
      </c>
      <c r="B490" t="s">
        <v>23</v>
      </c>
      <c r="C490" t="s">
        <v>13</v>
      </c>
      <c r="D490" t="s">
        <v>11</v>
      </c>
    </row>
    <row r="491" spans="1:4" x14ac:dyDescent="0.2">
      <c r="A491">
        <v>174450</v>
      </c>
      <c r="B491" t="s">
        <v>12</v>
      </c>
      <c r="C491" t="s">
        <v>19</v>
      </c>
      <c r="D491" t="s">
        <v>11</v>
      </c>
    </row>
    <row r="492" spans="1:4" x14ac:dyDescent="0.2">
      <c r="A492">
        <v>130931</v>
      </c>
      <c r="B492" t="s">
        <v>23</v>
      </c>
      <c r="C492" t="s">
        <v>13</v>
      </c>
      <c r="D492" t="s">
        <v>18</v>
      </c>
    </row>
    <row r="493" spans="1:4" x14ac:dyDescent="0.2">
      <c r="A493">
        <v>196440</v>
      </c>
      <c r="B493" t="s">
        <v>23</v>
      </c>
      <c r="C493" t="s">
        <v>19</v>
      </c>
      <c r="D493" t="s">
        <v>11</v>
      </c>
    </row>
    <row r="494" spans="1:4" x14ac:dyDescent="0.2">
      <c r="A494">
        <v>113511</v>
      </c>
      <c r="B494" t="s">
        <v>12</v>
      </c>
      <c r="C494" t="s">
        <v>13</v>
      </c>
      <c r="D494" t="s">
        <v>18</v>
      </c>
    </row>
    <row r="495" spans="1:4" x14ac:dyDescent="0.2">
      <c r="A495">
        <v>163155</v>
      </c>
      <c r="B495" t="s">
        <v>12</v>
      </c>
      <c r="C495" t="s">
        <v>16</v>
      </c>
      <c r="D495" t="s">
        <v>11</v>
      </c>
    </row>
    <row r="496" spans="1:4" x14ac:dyDescent="0.2">
      <c r="A496">
        <v>143152</v>
      </c>
      <c r="B496" t="s">
        <v>12</v>
      </c>
      <c r="C496" t="s">
        <v>16</v>
      </c>
      <c r="D496" t="s">
        <v>18</v>
      </c>
    </row>
    <row r="497" spans="1:4" x14ac:dyDescent="0.2">
      <c r="A497">
        <v>178198</v>
      </c>
      <c r="B497" t="s">
        <v>15</v>
      </c>
      <c r="C497" t="s">
        <v>21</v>
      </c>
      <c r="D497" t="s">
        <v>11</v>
      </c>
    </row>
    <row r="498" spans="1:4" x14ac:dyDescent="0.2">
      <c r="A498">
        <v>173253</v>
      </c>
      <c r="B498" t="s">
        <v>15</v>
      </c>
      <c r="C498" t="s">
        <v>19</v>
      </c>
      <c r="D498" t="s">
        <v>18</v>
      </c>
    </row>
    <row r="499" spans="1:4" x14ac:dyDescent="0.2">
      <c r="A499">
        <v>131726</v>
      </c>
      <c r="B499" t="s">
        <v>15</v>
      </c>
      <c r="C499" t="s">
        <v>21</v>
      </c>
      <c r="D499" t="s">
        <v>18</v>
      </c>
    </row>
    <row r="500" spans="1:4" x14ac:dyDescent="0.2">
      <c r="A500">
        <v>153970</v>
      </c>
      <c r="B500" t="s">
        <v>23</v>
      </c>
      <c r="C500" t="s">
        <v>16</v>
      </c>
      <c r="D500" t="s">
        <v>18</v>
      </c>
    </row>
    <row r="501" spans="1:4" x14ac:dyDescent="0.2">
      <c r="A501">
        <v>150686</v>
      </c>
      <c r="B501" t="s">
        <v>15</v>
      </c>
      <c r="C501" t="s">
        <v>21</v>
      </c>
      <c r="D501" t="s">
        <v>11</v>
      </c>
    </row>
    <row r="502" spans="1:4" x14ac:dyDescent="0.2">
      <c r="A502">
        <v>175349</v>
      </c>
      <c r="B502" t="s">
        <v>12</v>
      </c>
      <c r="C502" t="s">
        <v>19</v>
      </c>
      <c r="D502" t="s">
        <v>11</v>
      </c>
    </row>
    <row r="503" spans="1:4" x14ac:dyDescent="0.2">
      <c r="A503">
        <v>127292</v>
      </c>
      <c r="B503" t="s">
        <v>12</v>
      </c>
      <c r="C503" t="s">
        <v>16</v>
      </c>
      <c r="D503" t="s">
        <v>11</v>
      </c>
    </row>
    <row r="504" spans="1:4" x14ac:dyDescent="0.2">
      <c r="A504">
        <v>152568</v>
      </c>
      <c r="B504" t="s">
        <v>15</v>
      </c>
      <c r="C504" t="s">
        <v>19</v>
      </c>
      <c r="D504" t="s">
        <v>18</v>
      </c>
    </row>
    <row r="505" spans="1:4" x14ac:dyDescent="0.2">
      <c r="A505">
        <v>135414</v>
      </c>
      <c r="B505" t="s">
        <v>12</v>
      </c>
      <c r="C505" t="s">
        <v>19</v>
      </c>
      <c r="D505" t="s">
        <v>18</v>
      </c>
    </row>
    <row r="506" spans="1:4" x14ac:dyDescent="0.2">
      <c r="A506">
        <v>110319</v>
      </c>
      <c r="B506" t="s">
        <v>23</v>
      </c>
      <c r="C506" t="s">
        <v>13</v>
      </c>
      <c r="D506" t="s">
        <v>11</v>
      </c>
    </row>
    <row r="507" spans="1:4" x14ac:dyDescent="0.2">
      <c r="A507">
        <v>174321</v>
      </c>
      <c r="B507" t="s">
        <v>15</v>
      </c>
      <c r="C507" t="s">
        <v>16</v>
      </c>
      <c r="D507" t="s">
        <v>18</v>
      </c>
    </row>
    <row r="508" spans="1:4" x14ac:dyDescent="0.2">
      <c r="A508">
        <v>143069</v>
      </c>
      <c r="B508" t="s">
        <v>23</v>
      </c>
      <c r="C508" t="s">
        <v>21</v>
      </c>
      <c r="D508" t="s">
        <v>11</v>
      </c>
    </row>
    <row r="509" spans="1:4" x14ac:dyDescent="0.2">
      <c r="A509">
        <v>155092</v>
      </c>
      <c r="B509" t="s">
        <v>23</v>
      </c>
      <c r="C509" t="s">
        <v>21</v>
      </c>
      <c r="D509" t="s">
        <v>18</v>
      </c>
    </row>
    <row r="510" spans="1:4" x14ac:dyDescent="0.2">
      <c r="A510">
        <v>114253</v>
      </c>
      <c r="B510" t="s">
        <v>15</v>
      </c>
      <c r="C510" t="s">
        <v>21</v>
      </c>
      <c r="D510" t="s">
        <v>11</v>
      </c>
    </row>
    <row r="511" spans="1:4" x14ac:dyDescent="0.2">
      <c r="A511">
        <v>177321</v>
      </c>
      <c r="B511" t="s">
        <v>15</v>
      </c>
      <c r="C511" t="s">
        <v>13</v>
      </c>
      <c r="D511" t="s">
        <v>11</v>
      </c>
    </row>
    <row r="512" spans="1:4" x14ac:dyDescent="0.2">
      <c r="A512">
        <v>130550</v>
      </c>
      <c r="B512" t="s">
        <v>12</v>
      </c>
      <c r="C512" t="s">
        <v>19</v>
      </c>
      <c r="D512" t="s">
        <v>18</v>
      </c>
    </row>
    <row r="513" spans="1:4" x14ac:dyDescent="0.2">
      <c r="A513">
        <v>152773</v>
      </c>
      <c r="B513" t="s">
        <v>12</v>
      </c>
      <c r="C513" t="s">
        <v>21</v>
      </c>
      <c r="D513" t="s">
        <v>11</v>
      </c>
    </row>
    <row r="514" spans="1:4" x14ac:dyDescent="0.2">
      <c r="A514">
        <v>175790</v>
      </c>
      <c r="B514" t="s">
        <v>12</v>
      </c>
      <c r="C514" t="s">
        <v>21</v>
      </c>
      <c r="D514" t="s">
        <v>18</v>
      </c>
    </row>
    <row r="515" spans="1:4" x14ac:dyDescent="0.2">
      <c r="A515">
        <v>126957</v>
      </c>
      <c r="B515" t="s">
        <v>23</v>
      </c>
      <c r="C515" t="s">
        <v>13</v>
      </c>
      <c r="D515" t="s">
        <v>11</v>
      </c>
    </row>
    <row r="516" spans="1:4" x14ac:dyDescent="0.2">
      <c r="A516">
        <v>178874</v>
      </c>
      <c r="B516" t="s">
        <v>23</v>
      </c>
      <c r="C516" t="s">
        <v>16</v>
      </c>
      <c r="D516" t="s">
        <v>11</v>
      </c>
    </row>
    <row r="517" spans="1:4" x14ac:dyDescent="0.2">
      <c r="A517">
        <v>195207</v>
      </c>
      <c r="B517" t="s">
        <v>23</v>
      </c>
      <c r="C517" t="s">
        <v>19</v>
      </c>
      <c r="D517" t="s">
        <v>18</v>
      </c>
    </row>
    <row r="518" spans="1:4" x14ac:dyDescent="0.2">
      <c r="A518">
        <v>157384</v>
      </c>
      <c r="B518" t="s">
        <v>23</v>
      </c>
      <c r="C518" t="s">
        <v>16</v>
      </c>
      <c r="D518" t="s">
        <v>18</v>
      </c>
    </row>
    <row r="519" spans="1:4" x14ac:dyDescent="0.2">
      <c r="A519">
        <v>110980</v>
      </c>
      <c r="B519" t="s">
        <v>12</v>
      </c>
      <c r="C519" t="s">
        <v>19</v>
      </c>
      <c r="D519" t="s">
        <v>11</v>
      </c>
    </row>
    <row r="520" spans="1:4" x14ac:dyDescent="0.2">
      <c r="A520">
        <v>144539</v>
      </c>
      <c r="B520" t="s">
        <v>23</v>
      </c>
      <c r="C520" t="s">
        <v>13</v>
      </c>
      <c r="D520" t="s">
        <v>11</v>
      </c>
    </row>
    <row r="521" spans="1:4" x14ac:dyDescent="0.2">
      <c r="A521">
        <v>156638</v>
      </c>
      <c r="B521" t="s">
        <v>12</v>
      </c>
      <c r="C521" t="s">
        <v>16</v>
      </c>
      <c r="D521" t="s">
        <v>18</v>
      </c>
    </row>
    <row r="522" spans="1:4" x14ac:dyDescent="0.2">
      <c r="A522">
        <v>135717</v>
      </c>
      <c r="B522" t="s">
        <v>12</v>
      </c>
      <c r="C522" t="s">
        <v>13</v>
      </c>
      <c r="D522" t="s">
        <v>11</v>
      </c>
    </row>
    <row r="523" spans="1:4" x14ac:dyDescent="0.2">
      <c r="A523">
        <v>152395</v>
      </c>
      <c r="B523" t="s">
        <v>23</v>
      </c>
      <c r="C523" t="s">
        <v>21</v>
      </c>
      <c r="D523" t="s">
        <v>11</v>
      </c>
    </row>
    <row r="524" spans="1:4" x14ac:dyDescent="0.2">
      <c r="A524">
        <v>160346</v>
      </c>
      <c r="B524" t="s">
        <v>23</v>
      </c>
      <c r="C524" t="s">
        <v>13</v>
      </c>
      <c r="D524" t="s">
        <v>11</v>
      </c>
    </row>
    <row r="525" spans="1:4" x14ac:dyDescent="0.2">
      <c r="A525">
        <v>142963</v>
      </c>
      <c r="B525" t="s">
        <v>12</v>
      </c>
      <c r="C525" t="s">
        <v>21</v>
      </c>
      <c r="D525" t="s">
        <v>11</v>
      </c>
    </row>
    <row r="526" spans="1:4" x14ac:dyDescent="0.2">
      <c r="A526">
        <v>155793</v>
      </c>
      <c r="B526" t="s">
        <v>12</v>
      </c>
      <c r="C526" t="s">
        <v>19</v>
      </c>
      <c r="D526" t="s">
        <v>11</v>
      </c>
    </row>
    <row r="527" spans="1:4" x14ac:dyDescent="0.2">
      <c r="A527">
        <v>124413</v>
      </c>
      <c r="B527" t="s">
        <v>23</v>
      </c>
      <c r="C527" t="s">
        <v>13</v>
      </c>
      <c r="D527" t="s">
        <v>11</v>
      </c>
    </row>
    <row r="528" spans="1:4" x14ac:dyDescent="0.2">
      <c r="A528">
        <v>160541</v>
      </c>
      <c r="B528" t="s">
        <v>23</v>
      </c>
      <c r="C528" t="s">
        <v>19</v>
      </c>
      <c r="D528" t="s">
        <v>11</v>
      </c>
    </row>
    <row r="529" spans="1:4" x14ac:dyDescent="0.2">
      <c r="A529">
        <v>114964</v>
      </c>
      <c r="B529" t="s">
        <v>12</v>
      </c>
      <c r="C529" t="s">
        <v>16</v>
      </c>
      <c r="D529" t="s">
        <v>18</v>
      </c>
    </row>
    <row r="530" spans="1:4" x14ac:dyDescent="0.2">
      <c r="A530">
        <v>199673</v>
      </c>
      <c r="B530" t="s">
        <v>23</v>
      </c>
      <c r="C530" t="s">
        <v>16</v>
      </c>
      <c r="D530" t="s">
        <v>11</v>
      </c>
    </row>
    <row r="531" spans="1:4" x14ac:dyDescent="0.2">
      <c r="A531">
        <v>141355</v>
      </c>
      <c r="B531" t="s">
        <v>23</v>
      </c>
      <c r="C531" t="s">
        <v>13</v>
      </c>
      <c r="D531" t="s">
        <v>18</v>
      </c>
    </row>
    <row r="532" spans="1:4" x14ac:dyDescent="0.2">
      <c r="A532">
        <v>144362</v>
      </c>
      <c r="B532" t="s">
        <v>23</v>
      </c>
      <c r="C532" t="s">
        <v>16</v>
      </c>
      <c r="D532" t="s">
        <v>18</v>
      </c>
    </row>
    <row r="533" spans="1:4" x14ac:dyDescent="0.2">
      <c r="A533">
        <v>144721</v>
      </c>
      <c r="B533" t="s">
        <v>23</v>
      </c>
      <c r="C533" t="s">
        <v>13</v>
      </c>
      <c r="D533" t="s">
        <v>11</v>
      </c>
    </row>
    <row r="534" spans="1:4" x14ac:dyDescent="0.2">
      <c r="A534">
        <v>139337</v>
      </c>
      <c r="B534" t="s">
        <v>12</v>
      </c>
      <c r="C534" t="s">
        <v>19</v>
      </c>
      <c r="D534" t="s">
        <v>18</v>
      </c>
    </row>
    <row r="535" spans="1:4" x14ac:dyDescent="0.2">
      <c r="A535">
        <v>167218</v>
      </c>
      <c r="B535" t="s">
        <v>15</v>
      </c>
      <c r="C535" t="s">
        <v>21</v>
      </c>
      <c r="D535" t="s">
        <v>11</v>
      </c>
    </row>
    <row r="536" spans="1:4" x14ac:dyDescent="0.2">
      <c r="A536">
        <v>119583</v>
      </c>
      <c r="B536" t="s">
        <v>23</v>
      </c>
      <c r="C536" t="s">
        <v>19</v>
      </c>
      <c r="D536" t="s">
        <v>11</v>
      </c>
    </row>
    <row r="537" spans="1:4" x14ac:dyDescent="0.2">
      <c r="A537">
        <v>195223</v>
      </c>
      <c r="B537" t="s">
        <v>12</v>
      </c>
      <c r="C537" t="s">
        <v>21</v>
      </c>
      <c r="D537" t="s">
        <v>11</v>
      </c>
    </row>
    <row r="538" spans="1:4" x14ac:dyDescent="0.2">
      <c r="A538">
        <v>175927</v>
      </c>
      <c r="B538" t="s">
        <v>23</v>
      </c>
      <c r="C538" t="s">
        <v>16</v>
      </c>
      <c r="D538" t="s">
        <v>11</v>
      </c>
    </row>
    <row r="539" spans="1:4" x14ac:dyDescent="0.2">
      <c r="A539">
        <v>130120</v>
      </c>
      <c r="B539" t="s">
        <v>15</v>
      </c>
      <c r="C539" t="s">
        <v>13</v>
      </c>
      <c r="D539" t="s">
        <v>11</v>
      </c>
    </row>
    <row r="540" spans="1:4" x14ac:dyDescent="0.2">
      <c r="A540">
        <v>141261</v>
      </c>
      <c r="B540" t="s">
        <v>15</v>
      </c>
      <c r="C540" t="s">
        <v>19</v>
      </c>
      <c r="D540" t="s">
        <v>18</v>
      </c>
    </row>
    <row r="541" spans="1:4" x14ac:dyDescent="0.2">
      <c r="A541">
        <v>186584</v>
      </c>
      <c r="B541" t="s">
        <v>12</v>
      </c>
      <c r="C541" t="s">
        <v>21</v>
      </c>
      <c r="D541" t="s">
        <v>18</v>
      </c>
    </row>
    <row r="542" spans="1:4" x14ac:dyDescent="0.2">
      <c r="A542">
        <v>120793</v>
      </c>
      <c r="B542" t="s">
        <v>12</v>
      </c>
      <c r="C542" t="s">
        <v>16</v>
      </c>
      <c r="D542" t="s">
        <v>11</v>
      </c>
    </row>
    <row r="543" spans="1:4" x14ac:dyDescent="0.2">
      <c r="A543">
        <v>155385</v>
      </c>
      <c r="B543" t="s">
        <v>12</v>
      </c>
      <c r="C543" t="s">
        <v>19</v>
      </c>
      <c r="D543" t="s">
        <v>11</v>
      </c>
    </row>
    <row r="544" spans="1:4" x14ac:dyDescent="0.2">
      <c r="A544">
        <v>151124</v>
      </c>
      <c r="B544" t="s">
        <v>23</v>
      </c>
      <c r="C544" t="s">
        <v>13</v>
      </c>
      <c r="D544" t="s">
        <v>11</v>
      </c>
    </row>
    <row r="545" spans="1:4" x14ac:dyDescent="0.2">
      <c r="A545">
        <v>179168</v>
      </c>
      <c r="B545" t="s">
        <v>15</v>
      </c>
      <c r="C545" t="s">
        <v>13</v>
      </c>
      <c r="D545" t="s">
        <v>11</v>
      </c>
    </row>
    <row r="546" spans="1:4" x14ac:dyDescent="0.2">
      <c r="A546">
        <v>162419</v>
      </c>
      <c r="B546" t="s">
        <v>23</v>
      </c>
      <c r="C546" t="s">
        <v>16</v>
      </c>
      <c r="D546" t="s">
        <v>18</v>
      </c>
    </row>
    <row r="547" spans="1:4" x14ac:dyDescent="0.2">
      <c r="A547">
        <v>113067</v>
      </c>
      <c r="B547" t="s">
        <v>23</v>
      </c>
      <c r="C547" t="s">
        <v>13</v>
      </c>
      <c r="D547" t="s">
        <v>11</v>
      </c>
    </row>
    <row r="548" spans="1:4" x14ac:dyDescent="0.2">
      <c r="A548">
        <v>178104</v>
      </c>
      <c r="B548" t="s">
        <v>23</v>
      </c>
      <c r="C548" t="s">
        <v>16</v>
      </c>
      <c r="D548" t="s">
        <v>11</v>
      </c>
    </row>
    <row r="549" spans="1:4" x14ac:dyDescent="0.2">
      <c r="A549">
        <v>138903</v>
      </c>
      <c r="B549" t="s">
        <v>15</v>
      </c>
      <c r="C549" t="s">
        <v>13</v>
      </c>
      <c r="D549" t="s">
        <v>11</v>
      </c>
    </row>
    <row r="550" spans="1:4" x14ac:dyDescent="0.2">
      <c r="A550">
        <v>116993</v>
      </c>
      <c r="B550" t="s">
        <v>23</v>
      </c>
      <c r="C550" t="s">
        <v>21</v>
      </c>
      <c r="D550" t="s">
        <v>11</v>
      </c>
    </row>
    <row r="551" spans="1:4" x14ac:dyDescent="0.2">
      <c r="A551">
        <v>111935</v>
      </c>
      <c r="B551" t="s">
        <v>23</v>
      </c>
      <c r="C551" t="s">
        <v>21</v>
      </c>
      <c r="D551" t="s">
        <v>11</v>
      </c>
    </row>
    <row r="552" spans="1:4" x14ac:dyDescent="0.2">
      <c r="A552">
        <v>115210</v>
      </c>
      <c r="B552" t="s">
        <v>23</v>
      </c>
      <c r="C552" t="s">
        <v>16</v>
      </c>
      <c r="D552" t="s">
        <v>11</v>
      </c>
    </row>
    <row r="553" spans="1:4" x14ac:dyDescent="0.2">
      <c r="A553">
        <v>173296</v>
      </c>
      <c r="B553" t="s">
        <v>12</v>
      </c>
      <c r="C553" t="s">
        <v>21</v>
      </c>
      <c r="D553" t="s">
        <v>11</v>
      </c>
    </row>
    <row r="554" spans="1:4" x14ac:dyDescent="0.2">
      <c r="A554">
        <v>110709</v>
      </c>
      <c r="B554" t="s">
        <v>12</v>
      </c>
      <c r="C554" t="s">
        <v>21</v>
      </c>
      <c r="D554" t="s">
        <v>11</v>
      </c>
    </row>
    <row r="555" spans="1:4" x14ac:dyDescent="0.2">
      <c r="A555">
        <v>134034</v>
      </c>
      <c r="B555" t="s">
        <v>23</v>
      </c>
      <c r="C555" t="s">
        <v>19</v>
      </c>
      <c r="D555" t="s">
        <v>18</v>
      </c>
    </row>
    <row r="556" spans="1:4" x14ac:dyDescent="0.2">
      <c r="A556">
        <v>165430</v>
      </c>
      <c r="B556" t="s">
        <v>23</v>
      </c>
      <c r="C556" t="s">
        <v>21</v>
      </c>
      <c r="D556" t="s">
        <v>18</v>
      </c>
    </row>
    <row r="557" spans="1:4" x14ac:dyDescent="0.2">
      <c r="A557">
        <v>192396</v>
      </c>
      <c r="B557" t="s">
        <v>15</v>
      </c>
      <c r="C557" t="s">
        <v>13</v>
      </c>
      <c r="D557" t="s">
        <v>11</v>
      </c>
    </row>
    <row r="558" spans="1:4" x14ac:dyDescent="0.2">
      <c r="A558">
        <v>115581</v>
      </c>
      <c r="B558" t="s">
        <v>15</v>
      </c>
      <c r="C558" t="s">
        <v>19</v>
      </c>
      <c r="D558" t="s">
        <v>11</v>
      </c>
    </row>
    <row r="559" spans="1:4" x14ac:dyDescent="0.2">
      <c r="A559">
        <v>149662</v>
      </c>
      <c r="B559" t="s">
        <v>15</v>
      </c>
      <c r="C559" t="s">
        <v>21</v>
      </c>
      <c r="D559" t="s">
        <v>18</v>
      </c>
    </row>
    <row r="560" spans="1:4" x14ac:dyDescent="0.2">
      <c r="A560">
        <v>169368</v>
      </c>
      <c r="B560" t="s">
        <v>23</v>
      </c>
      <c r="C560" t="s">
        <v>13</v>
      </c>
      <c r="D560" t="s">
        <v>18</v>
      </c>
    </row>
    <row r="561" spans="1:4" x14ac:dyDescent="0.2">
      <c r="A561">
        <v>173174</v>
      </c>
      <c r="B561" t="s">
        <v>23</v>
      </c>
      <c r="C561" t="s">
        <v>16</v>
      </c>
      <c r="D561" t="s">
        <v>11</v>
      </c>
    </row>
    <row r="562" spans="1:4" x14ac:dyDescent="0.2">
      <c r="A562">
        <v>153411</v>
      </c>
      <c r="B562" t="s">
        <v>15</v>
      </c>
      <c r="C562" t="s">
        <v>13</v>
      </c>
      <c r="D562" t="s">
        <v>18</v>
      </c>
    </row>
    <row r="563" spans="1:4" x14ac:dyDescent="0.2">
      <c r="A563">
        <v>135465</v>
      </c>
      <c r="B563" t="s">
        <v>23</v>
      </c>
      <c r="C563" t="s">
        <v>21</v>
      </c>
      <c r="D563" t="s">
        <v>18</v>
      </c>
    </row>
    <row r="564" spans="1:4" x14ac:dyDescent="0.2">
      <c r="A564">
        <v>151005</v>
      </c>
      <c r="B564" t="s">
        <v>15</v>
      </c>
      <c r="C564" t="s">
        <v>16</v>
      </c>
      <c r="D564" t="s">
        <v>11</v>
      </c>
    </row>
    <row r="565" spans="1:4" x14ac:dyDescent="0.2">
      <c r="A565">
        <v>172517</v>
      </c>
      <c r="B565" t="s">
        <v>12</v>
      </c>
      <c r="C565" t="s">
        <v>16</v>
      </c>
      <c r="D565" t="s">
        <v>11</v>
      </c>
    </row>
    <row r="566" spans="1:4" x14ac:dyDescent="0.2">
      <c r="A566">
        <v>113368</v>
      </c>
      <c r="B566" t="s">
        <v>23</v>
      </c>
      <c r="C566" t="s">
        <v>19</v>
      </c>
      <c r="D566" t="s">
        <v>11</v>
      </c>
    </row>
    <row r="567" spans="1:4" x14ac:dyDescent="0.2">
      <c r="A567">
        <v>112801</v>
      </c>
      <c r="B567" t="s">
        <v>23</v>
      </c>
      <c r="C567" t="s">
        <v>19</v>
      </c>
      <c r="D567" t="s">
        <v>18</v>
      </c>
    </row>
    <row r="568" spans="1:4" x14ac:dyDescent="0.2">
      <c r="A568">
        <v>163286</v>
      </c>
      <c r="B568" t="s">
        <v>15</v>
      </c>
      <c r="C568" t="s">
        <v>19</v>
      </c>
      <c r="D568" t="s">
        <v>11</v>
      </c>
    </row>
    <row r="569" spans="1:4" x14ac:dyDescent="0.2">
      <c r="A569">
        <v>175963</v>
      </c>
      <c r="B569" t="s">
        <v>23</v>
      </c>
      <c r="C569" t="s">
        <v>21</v>
      </c>
      <c r="D569" t="s">
        <v>18</v>
      </c>
    </row>
    <row r="570" spans="1:4" x14ac:dyDescent="0.2">
      <c r="A570">
        <v>119258</v>
      </c>
      <c r="B570" t="s">
        <v>12</v>
      </c>
      <c r="C570" t="s">
        <v>13</v>
      </c>
      <c r="D570" t="s">
        <v>11</v>
      </c>
    </row>
    <row r="571" spans="1:4" x14ac:dyDescent="0.2">
      <c r="A571">
        <v>131817</v>
      </c>
      <c r="B571" t="s">
        <v>23</v>
      </c>
      <c r="C571" t="s">
        <v>13</v>
      </c>
      <c r="D571" t="s">
        <v>11</v>
      </c>
    </row>
    <row r="572" spans="1:4" x14ac:dyDescent="0.2">
      <c r="A572">
        <v>193731</v>
      </c>
      <c r="B572" t="s">
        <v>12</v>
      </c>
      <c r="C572" t="s">
        <v>13</v>
      </c>
      <c r="D572" t="s">
        <v>18</v>
      </c>
    </row>
    <row r="573" spans="1:4" x14ac:dyDescent="0.2">
      <c r="A573">
        <v>175087</v>
      </c>
      <c r="B573" t="s">
        <v>23</v>
      </c>
      <c r="C573" t="s">
        <v>13</v>
      </c>
      <c r="D573" t="s">
        <v>11</v>
      </c>
    </row>
    <row r="574" spans="1:4" x14ac:dyDescent="0.2">
      <c r="A574">
        <v>129041</v>
      </c>
      <c r="B574" t="s">
        <v>15</v>
      </c>
      <c r="C574" t="s">
        <v>16</v>
      </c>
      <c r="D574" t="s">
        <v>18</v>
      </c>
    </row>
    <row r="575" spans="1:4" x14ac:dyDescent="0.2">
      <c r="A575">
        <v>194723</v>
      </c>
      <c r="B575" t="s">
        <v>15</v>
      </c>
      <c r="C575" t="s">
        <v>13</v>
      </c>
      <c r="D575" t="s">
        <v>11</v>
      </c>
    </row>
    <row r="576" spans="1:4" x14ac:dyDescent="0.2">
      <c r="A576">
        <v>178350</v>
      </c>
      <c r="B576" t="s">
        <v>23</v>
      </c>
      <c r="C576" t="s">
        <v>13</v>
      </c>
      <c r="D576" t="s">
        <v>11</v>
      </c>
    </row>
    <row r="577" spans="1:4" x14ac:dyDescent="0.2">
      <c r="A577">
        <v>137798</v>
      </c>
      <c r="B577" t="s">
        <v>23</v>
      </c>
      <c r="C577" t="s">
        <v>19</v>
      </c>
      <c r="D577" t="s">
        <v>11</v>
      </c>
    </row>
    <row r="578" spans="1:4" x14ac:dyDescent="0.2">
      <c r="A578">
        <v>158893</v>
      </c>
      <c r="B578" t="s">
        <v>15</v>
      </c>
      <c r="C578" t="s">
        <v>16</v>
      </c>
      <c r="D578" t="s">
        <v>18</v>
      </c>
    </row>
    <row r="579" spans="1:4" x14ac:dyDescent="0.2">
      <c r="A579">
        <v>149201</v>
      </c>
      <c r="B579" t="s">
        <v>12</v>
      </c>
      <c r="C579" t="s">
        <v>13</v>
      </c>
      <c r="D579" t="s">
        <v>18</v>
      </c>
    </row>
    <row r="580" spans="1:4" x14ac:dyDescent="0.2">
      <c r="A580">
        <v>169631</v>
      </c>
      <c r="B580" t="s">
        <v>23</v>
      </c>
      <c r="C580" t="s">
        <v>16</v>
      </c>
      <c r="D580" t="s">
        <v>11</v>
      </c>
    </row>
    <row r="581" spans="1:4" x14ac:dyDescent="0.2">
      <c r="A581">
        <v>168106</v>
      </c>
      <c r="B581" t="s">
        <v>15</v>
      </c>
      <c r="C581" t="s">
        <v>21</v>
      </c>
      <c r="D581" t="s">
        <v>11</v>
      </c>
    </row>
    <row r="582" spans="1:4" x14ac:dyDescent="0.2">
      <c r="A582">
        <v>177650</v>
      </c>
      <c r="B582" t="s">
        <v>23</v>
      </c>
      <c r="C582" t="s">
        <v>16</v>
      </c>
      <c r="D582" t="s">
        <v>18</v>
      </c>
    </row>
    <row r="583" spans="1:4" x14ac:dyDescent="0.2">
      <c r="A583">
        <v>154029</v>
      </c>
      <c r="B583" t="s">
        <v>15</v>
      </c>
      <c r="C583" t="s">
        <v>19</v>
      </c>
      <c r="D583" t="s">
        <v>18</v>
      </c>
    </row>
    <row r="584" spans="1:4" x14ac:dyDescent="0.2">
      <c r="A584">
        <v>130738</v>
      </c>
      <c r="B584" t="s">
        <v>12</v>
      </c>
      <c r="C584" t="s">
        <v>16</v>
      </c>
      <c r="D584" t="s">
        <v>18</v>
      </c>
    </row>
    <row r="585" spans="1:4" x14ac:dyDescent="0.2">
      <c r="A585">
        <v>140879</v>
      </c>
      <c r="B585" t="s">
        <v>23</v>
      </c>
      <c r="C585" t="s">
        <v>19</v>
      </c>
      <c r="D585" t="s">
        <v>18</v>
      </c>
    </row>
    <row r="586" spans="1:4" x14ac:dyDescent="0.2">
      <c r="A586">
        <v>151900</v>
      </c>
      <c r="B586" t="s">
        <v>12</v>
      </c>
      <c r="C586" t="s">
        <v>21</v>
      </c>
      <c r="D586" t="s">
        <v>18</v>
      </c>
    </row>
    <row r="587" spans="1:4" x14ac:dyDescent="0.2">
      <c r="A587">
        <v>187604</v>
      </c>
      <c r="B587" t="s">
        <v>12</v>
      </c>
      <c r="C587" t="s">
        <v>21</v>
      </c>
      <c r="D587" t="s">
        <v>11</v>
      </c>
    </row>
    <row r="588" spans="1:4" x14ac:dyDescent="0.2">
      <c r="A588">
        <v>174627</v>
      </c>
      <c r="B588" t="s">
        <v>23</v>
      </c>
      <c r="C588" t="s">
        <v>21</v>
      </c>
      <c r="D588" t="s">
        <v>11</v>
      </c>
    </row>
    <row r="589" spans="1:4" x14ac:dyDescent="0.2">
      <c r="A589">
        <v>133654</v>
      </c>
      <c r="B589" t="s">
        <v>12</v>
      </c>
      <c r="C589" t="s">
        <v>19</v>
      </c>
      <c r="D589" t="s">
        <v>18</v>
      </c>
    </row>
    <row r="590" spans="1:4" x14ac:dyDescent="0.2">
      <c r="A590">
        <v>180951</v>
      </c>
      <c r="B590" t="s">
        <v>23</v>
      </c>
      <c r="C590" t="s">
        <v>16</v>
      </c>
      <c r="D590" t="s">
        <v>18</v>
      </c>
    </row>
    <row r="591" spans="1:4" x14ac:dyDescent="0.2">
      <c r="A591">
        <v>110578</v>
      </c>
      <c r="B591" t="s">
        <v>23</v>
      </c>
      <c r="C591" t="s">
        <v>13</v>
      </c>
      <c r="D591" t="s">
        <v>11</v>
      </c>
    </row>
    <row r="592" spans="1:4" x14ac:dyDescent="0.2">
      <c r="A592">
        <v>192711</v>
      </c>
      <c r="B592" t="s">
        <v>23</v>
      </c>
      <c r="C592" t="s">
        <v>16</v>
      </c>
      <c r="D592" t="s">
        <v>18</v>
      </c>
    </row>
    <row r="593" spans="1:4" x14ac:dyDescent="0.2">
      <c r="A593">
        <v>154096</v>
      </c>
      <c r="B593" t="s">
        <v>15</v>
      </c>
      <c r="C593" t="s">
        <v>13</v>
      </c>
      <c r="D593" t="s">
        <v>18</v>
      </c>
    </row>
    <row r="594" spans="1:4" x14ac:dyDescent="0.2">
      <c r="A594">
        <v>124265</v>
      </c>
      <c r="B594" t="s">
        <v>23</v>
      </c>
      <c r="C594" t="s">
        <v>13</v>
      </c>
      <c r="D594" t="s">
        <v>18</v>
      </c>
    </row>
    <row r="595" spans="1:4" x14ac:dyDescent="0.2">
      <c r="A595">
        <v>120576</v>
      </c>
      <c r="B595" t="s">
        <v>23</v>
      </c>
      <c r="C595" t="s">
        <v>21</v>
      </c>
      <c r="D595" t="s">
        <v>11</v>
      </c>
    </row>
    <row r="596" spans="1:4" x14ac:dyDescent="0.2">
      <c r="A596">
        <v>166314</v>
      </c>
      <c r="B596" t="s">
        <v>12</v>
      </c>
      <c r="C596" t="s">
        <v>16</v>
      </c>
      <c r="D596" t="s">
        <v>11</v>
      </c>
    </row>
    <row r="597" spans="1:4" x14ac:dyDescent="0.2">
      <c r="A597">
        <v>138145</v>
      </c>
      <c r="B597" t="s">
        <v>12</v>
      </c>
      <c r="C597" t="s">
        <v>13</v>
      </c>
      <c r="D597" t="s">
        <v>18</v>
      </c>
    </row>
    <row r="598" spans="1:4" x14ac:dyDescent="0.2">
      <c r="A598">
        <v>192789</v>
      </c>
      <c r="B598" t="s">
        <v>12</v>
      </c>
      <c r="C598" t="s">
        <v>21</v>
      </c>
      <c r="D598" t="s">
        <v>11</v>
      </c>
    </row>
    <row r="599" spans="1:4" x14ac:dyDescent="0.2">
      <c r="A599">
        <v>150907</v>
      </c>
      <c r="B599" t="s">
        <v>23</v>
      </c>
      <c r="C599" t="s">
        <v>16</v>
      </c>
      <c r="D599" t="s">
        <v>11</v>
      </c>
    </row>
    <row r="600" spans="1:4" x14ac:dyDescent="0.2">
      <c r="A600">
        <v>182011</v>
      </c>
      <c r="B600" t="s">
        <v>12</v>
      </c>
      <c r="C600" t="s">
        <v>16</v>
      </c>
      <c r="D600" t="s">
        <v>18</v>
      </c>
    </row>
    <row r="601" spans="1:4" x14ac:dyDescent="0.2">
      <c r="A601">
        <v>167179</v>
      </c>
      <c r="B601" t="s">
        <v>15</v>
      </c>
      <c r="C601" t="s">
        <v>21</v>
      </c>
      <c r="D601" t="s">
        <v>18</v>
      </c>
    </row>
    <row r="602" spans="1:4" x14ac:dyDescent="0.2">
      <c r="A602">
        <v>116390</v>
      </c>
      <c r="B602" t="s">
        <v>23</v>
      </c>
      <c r="C602" t="s">
        <v>21</v>
      </c>
      <c r="D602" t="s">
        <v>18</v>
      </c>
    </row>
    <row r="603" spans="1:4" x14ac:dyDescent="0.2">
      <c r="A603">
        <v>119757</v>
      </c>
      <c r="B603" t="s">
        <v>15</v>
      </c>
      <c r="C603" t="s">
        <v>21</v>
      </c>
      <c r="D603" t="s">
        <v>11</v>
      </c>
    </row>
    <row r="604" spans="1:4" x14ac:dyDescent="0.2">
      <c r="A604">
        <v>139269</v>
      </c>
      <c r="B604" t="s">
        <v>15</v>
      </c>
      <c r="C604" t="s">
        <v>13</v>
      </c>
      <c r="D604" t="s">
        <v>11</v>
      </c>
    </row>
    <row r="605" spans="1:4" x14ac:dyDescent="0.2">
      <c r="A605">
        <v>135624</v>
      </c>
      <c r="B605" t="s">
        <v>23</v>
      </c>
      <c r="C605" t="s">
        <v>19</v>
      </c>
      <c r="D605" t="s">
        <v>11</v>
      </c>
    </row>
    <row r="606" spans="1:4" x14ac:dyDescent="0.2">
      <c r="A606">
        <v>171860</v>
      </c>
      <c r="B606" t="s">
        <v>15</v>
      </c>
      <c r="C606" t="s">
        <v>21</v>
      </c>
      <c r="D606" t="s">
        <v>18</v>
      </c>
    </row>
    <row r="607" spans="1:4" x14ac:dyDescent="0.2">
      <c r="A607">
        <v>185187</v>
      </c>
      <c r="B607" t="s">
        <v>12</v>
      </c>
      <c r="C607" t="s">
        <v>21</v>
      </c>
      <c r="D607" t="s">
        <v>18</v>
      </c>
    </row>
    <row r="608" spans="1:4" x14ac:dyDescent="0.2">
      <c r="A608">
        <v>163977</v>
      </c>
      <c r="B608" t="s">
        <v>15</v>
      </c>
      <c r="C608" t="s">
        <v>16</v>
      </c>
      <c r="D608" t="s">
        <v>11</v>
      </c>
    </row>
    <row r="609" spans="1:4" x14ac:dyDescent="0.2">
      <c r="A609">
        <v>128784</v>
      </c>
      <c r="B609" t="s">
        <v>12</v>
      </c>
      <c r="C609" t="s">
        <v>21</v>
      </c>
      <c r="D609" t="s">
        <v>18</v>
      </c>
    </row>
    <row r="610" spans="1:4" x14ac:dyDescent="0.2">
      <c r="A610">
        <v>161283</v>
      </c>
      <c r="B610" t="s">
        <v>12</v>
      </c>
      <c r="C610" t="s">
        <v>21</v>
      </c>
      <c r="D610" t="s">
        <v>11</v>
      </c>
    </row>
    <row r="611" spans="1:4" x14ac:dyDescent="0.2">
      <c r="A611">
        <v>166588</v>
      </c>
      <c r="B611" t="s">
        <v>23</v>
      </c>
      <c r="C611" t="s">
        <v>16</v>
      </c>
      <c r="D611" t="s">
        <v>18</v>
      </c>
    </row>
    <row r="612" spans="1:4" x14ac:dyDescent="0.2">
      <c r="A612">
        <v>111384</v>
      </c>
      <c r="B612" t="s">
        <v>15</v>
      </c>
      <c r="C612" t="s">
        <v>19</v>
      </c>
      <c r="D612" t="s">
        <v>11</v>
      </c>
    </row>
    <row r="613" spans="1:4" x14ac:dyDescent="0.2">
      <c r="A613">
        <v>144945</v>
      </c>
      <c r="B613" t="s">
        <v>12</v>
      </c>
      <c r="C613" t="s">
        <v>13</v>
      </c>
      <c r="D613" t="s">
        <v>11</v>
      </c>
    </row>
    <row r="614" spans="1:4" x14ac:dyDescent="0.2">
      <c r="A614">
        <v>145405</v>
      </c>
      <c r="B614" t="s">
        <v>12</v>
      </c>
      <c r="C614" t="s">
        <v>13</v>
      </c>
      <c r="D614" t="s">
        <v>11</v>
      </c>
    </row>
    <row r="615" spans="1:4" x14ac:dyDescent="0.2">
      <c r="A615">
        <v>140480</v>
      </c>
      <c r="B615" t="s">
        <v>12</v>
      </c>
      <c r="C615" t="s">
        <v>19</v>
      </c>
      <c r="D615" t="s">
        <v>18</v>
      </c>
    </row>
    <row r="616" spans="1:4" x14ac:dyDescent="0.2">
      <c r="A616">
        <v>117707</v>
      </c>
      <c r="B616" t="s">
        <v>15</v>
      </c>
      <c r="C616" t="s">
        <v>21</v>
      </c>
      <c r="D616" t="s">
        <v>11</v>
      </c>
    </row>
    <row r="617" spans="1:4" x14ac:dyDescent="0.2">
      <c r="A617">
        <v>182158</v>
      </c>
      <c r="B617" t="s">
        <v>12</v>
      </c>
      <c r="C617" t="s">
        <v>21</v>
      </c>
      <c r="D617" t="s">
        <v>11</v>
      </c>
    </row>
    <row r="618" spans="1:4" x14ac:dyDescent="0.2">
      <c r="A618">
        <v>151032</v>
      </c>
      <c r="B618" t="s">
        <v>23</v>
      </c>
      <c r="C618" t="s">
        <v>19</v>
      </c>
      <c r="D618" t="s">
        <v>11</v>
      </c>
    </row>
    <row r="619" spans="1:4" x14ac:dyDescent="0.2">
      <c r="A619">
        <v>138160</v>
      </c>
      <c r="B619" t="s">
        <v>12</v>
      </c>
      <c r="C619" t="s">
        <v>21</v>
      </c>
      <c r="D619" t="s">
        <v>18</v>
      </c>
    </row>
    <row r="620" spans="1:4" x14ac:dyDescent="0.2">
      <c r="A620">
        <v>132647</v>
      </c>
      <c r="B620" t="s">
        <v>23</v>
      </c>
      <c r="C620" t="s">
        <v>21</v>
      </c>
      <c r="D620" t="s">
        <v>18</v>
      </c>
    </row>
    <row r="621" spans="1:4" x14ac:dyDescent="0.2">
      <c r="A621">
        <v>154713</v>
      </c>
      <c r="B621" t="s">
        <v>12</v>
      </c>
      <c r="C621" t="s">
        <v>13</v>
      </c>
      <c r="D621" t="s">
        <v>18</v>
      </c>
    </row>
    <row r="622" spans="1:4" x14ac:dyDescent="0.2">
      <c r="A622">
        <v>157629</v>
      </c>
      <c r="B622" t="s">
        <v>23</v>
      </c>
      <c r="C622" t="s">
        <v>13</v>
      </c>
      <c r="D622" t="s">
        <v>11</v>
      </c>
    </row>
    <row r="623" spans="1:4" x14ac:dyDescent="0.2">
      <c r="A623">
        <v>165679</v>
      </c>
      <c r="B623" t="s">
        <v>15</v>
      </c>
      <c r="C623" t="s">
        <v>13</v>
      </c>
      <c r="D623" t="s">
        <v>11</v>
      </c>
    </row>
    <row r="624" spans="1:4" x14ac:dyDescent="0.2">
      <c r="A624">
        <v>127978</v>
      </c>
      <c r="B624" t="s">
        <v>15</v>
      </c>
      <c r="C624" t="s">
        <v>16</v>
      </c>
      <c r="D624" t="s">
        <v>18</v>
      </c>
    </row>
    <row r="625" spans="1:4" x14ac:dyDescent="0.2">
      <c r="A625">
        <v>191923</v>
      </c>
      <c r="B625" t="s">
        <v>23</v>
      </c>
      <c r="C625" t="s">
        <v>13</v>
      </c>
      <c r="D625" t="s">
        <v>11</v>
      </c>
    </row>
    <row r="626" spans="1:4" x14ac:dyDescent="0.2">
      <c r="A626">
        <v>179488</v>
      </c>
      <c r="B626" t="s">
        <v>15</v>
      </c>
      <c r="C626" t="s">
        <v>19</v>
      </c>
      <c r="D626" t="s">
        <v>18</v>
      </c>
    </row>
    <row r="627" spans="1:4" x14ac:dyDescent="0.2">
      <c r="A627">
        <v>196100</v>
      </c>
      <c r="B627" t="s">
        <v>12</v>
      </c>
      <c r="C627" t="s">
        <v>13</v>
      </c>
      <c r="D627" t="s">
        <v>18</v>
      </c>
    </row>
    <row r="628" spans="1:4" x14ac:dyDescent="0.2">
      <c r="A628">
        <v>114396</v>
      </c>
      <c r="B628" t="s">
        <v>12</v>
      </c>
      <c r="C628" t="s">
        <v>13</v>
      </c>
      <c r="D628" t="s">
        <v>18</v>
      </c>
    </row>
    <row r="629" spans="1:4" x14ac:dyDescent="0.2">
      <c r="A629">
        <v>126954</v>
      </c>
      <c r="B629" t="s">
        <v>12</v>
      </c>
      <c r="C629" t="s">
        <v>16</v>
      </c>
      <c r="D629" t="s">
        <v>11</v>
      </c>
    </row>
    <row r="630" spans="1:4" x14ac:dyDescent="0.2">
      <c r="A630">
        <v>161127</v>
      </c>
      <c r="B630" t="s">
        <v>12</v>
      </c>
      <c r="C630" t="s">
        <v>16</v>
      </c>
      <c r="D630" t="s">
        <v>11</v>
      </c>
    </row>
    <row r="631" spans="1:4" x14ac:dyDescent="0.2">
      <c r="A631">
        <v>192871</v>
      </c>
      <c r="B631" t="s">
        <v>15</v>
      </c>
      <c r="C631" t="s">
        <v>21</v>
      </c>
      <c r="D631" t="s">
        <v>11</v>
      </c>
    </row>
    <row r="632" spans="1:4" x14ac:dyDescent="0.2">
      <c r="A632">
        <v>196774</v>
      </c>
      <c r="B632" t="s">
        <v>15</v>
      </c>
      <c r="C632" t="s">
        <v>21</v>
      </c>
      <c r="D632" t="s">
        <v>11</v>
      </c>
    </row>
    <row r="633" spans="1:4" x14ac:dyDescent="0.2">
      <c r="A633">
        <v>179265</v>
      </c>
      <c r="B633" t="s">
        <v>12</v>
      </c>
      <c r="C633" t="s">
        <v>16</v>
      </c>
      <c r="D633" t="s">
        <v>18</v>
      </c>
    </row>
    <row r="634" spans="1:4" x14ac:dyDescent="0.2">
      <c r="A634">
        <v>127161</v>
      </c>
      <c r="B634" t="s">
        <v>12</v>
      </c>
      <c r="C634" t="s">
        <v>16</v>
      </c>
      <c r="D634" t="s">
        <v>18</v>
      </c>
    </row>
    <row r="635" spans="1:4" x14ac:dyDescent="0.2">
      <c r="A635">
        <v>167455</v>
      </c>
      <c r="B635" t="s">
        <v>12</v>
      </c>
      <c r="C635" t="s">
        <v>13</v>
      </c>
      <c r="D635" t="s">
        <v>11</v>
      </c>
    </row>
    <row r="636" spans="1:4" x14ac:dyDescent="0.2">
      <c r="A636">
        <v>126083</v>
      </c>
      <c r="B636" t="s">
        <v>23</v>
      </c>
      <c r="C636" t="s">
        <v>13</v>
      </c>
      <c r="D636" t="s">
        <v>11</v>
      </c>
    </row>
    <row r="637" spans="1:4" x14ac:dyDescent="0.2">
      <c r="A637">
        <v>191442</v>
      </c>
      <c r="B637" t="s">
        <v>23</v>
      </c>
      <c r="C637" t="s">
        <v>16</v>
      </c>
      <c r="D637" t="s">
        <v>18</v>
      </c>
    </row>
    <row r="638" spans="1:4" x14ac:dyDescent="0.2">
      <c r="A638">
        <v>157324</v>
      </c>
      <c r="B638" t="s">
        <v>23</v>
      </c>
      <c r="C638" t="s">
        <v>16</v>
      </c>
      <c r="D638" t="s">
        <v>11</v>
      </c>
    </row>
    <row r="639" spans="1:4" x14ac:dyDescent="0.2">
      <c r="A639">
        <v>196863</v>
      </c>
      <c r="B639" t="s">
        <v>12</v>
      </c>
      <c r="C639" t="s">
        <v>21</v>
      </c>
      <c r="D639" t="s">
        <v>11</v>
      </c>
    </row>
    <row r="640" spans="1:4" x14ac:dyDescent="0.2">
      <c r="A640">
        <v>125834</v>
      </c>
      <c r="B640" t="s">
        <v>12</v>
      </c>
      <c r="C640" t="s">
        <v>13</v>
      </c>
      <c r="D640" t="s">
        <v>18</v>
      </c>
    </row>
    <row r="641" spans="1:4" x14ac:dyDescent="0.2">
      <c r="A641">
        <v>160648</v>
      </c>
      <c r="B641" t="s">
        <v>15</v>
      </c>
      <c r="C641" t="s">
        <v>19</v>
      </c>
      <c r="D641" t="s">
        <v>11</v>
      </c>
    </row>
    <row r="642" spans="1:4" x14ac:dyDescent="0.2">
      <c r="A642">
        <v>177124</v>
      </c>
      <c r="B642" t="s">
        <v>15</v>
      </c>
      <c r="C642" t="s">
        <v>16</v>
      </c>
      <c r="D642" t="s">
        <v>11</v>
      </c>
    </row>
    <row r="643" spans="1:4" x14ac:dyDescent="0.2">
      <c r="A643">
        <v>130113</v>
      </c>
      <c r="B643" t="s">
        <v>15</v>
      </c>
      <c r="C643" t="s">
        <v>21</v>
      </c>
      <c r="D643" t="s">
        <v>18</v>
      </c>
    </row>
    <row r="644" spans="1:4" x14ac:dyDescent="0.2">
      <c r="A644">
        <v>149104</v>
      </c>
      <c r="B644" t="s">
        <v>23</v>
      </c>
      <c r="C644" t="s">
        <v>16</v>
      </c>
      <c r="D644" t="s">
        <v>11</v>
      </c>
    </row>
    <row r="645" spans="1:4" x14ac:dyDescent="0.2">
      <c r="A645">
        <v>131351</v>
      </c>
      <c r="B645" t="s">
        <v>23</v>
      </c>
      <c r="C645" t="s">
        <v>21</v>
      </c>
      <c r="D645" t="s">
        <v>11</v>
      </c>
    </row>
    <row r="646" spans="1:4" x14ac:dyDescent="0.2">
      <c r="A646">
        <v>163127</v>
      </c>
      <c r="B646" t="s">
        <v>12</v>
      </c>
      <c r="C646" t="s">
        <v>19</v>
      </c>
      <c r="D646" t="s">
        <v>11</v>
      </c>
    </row>
    <row r="647" spans="1:4" x14ac:dyDescent="0.2">
      <c r="A647">
        <v>145944</v>
      </c>
      <c r="B647" t="s">
        <v>12</v>
      </c>
      <c r="C647" t="s">
        <v>13</v>
      </c>
      <c r="D647" t="s">
        <v>18</v>
      </c>
    </row>
    <row r="648" spans="1:4" x14ac:dyDescent="0.2">
      <c r="A648">
        <v>178288</v>
      </c>
      <c r="B648" t="s">
        <v>12</v>
      </c>
      <c r="C648" t="s">
        <v>19</v>
      </c>
      <c r="D648" t="s">
        <v>18</v>
      </c>
    </row>
    <row r="649" spans="1:4" x14ac:dyDescent="0.2">
      <c r="A649">
        <v>120721</v>
      </c>
      <c r="B649" t="s">
        <v>15</v>
      </c>
      <c r="C649" t="s">
        <v>19</v>
      </c>
      <c r="D649" t="s">
        <v>18</v>
      </c>
    </row>
    <row r="650" spans="1:4" x14ac:dyDescent="0.2">
      <c r="A650">
        <v>198257</v>
      </c>
      <c r="B650" t="s">
        <v>12</v>
      </c>
      <c r="C650" t="s">
        <v>16</v>
      </c>
      <c r="D650" t="s">
        <v>18</v>
      </c>
    </row>
    <row r="651" spans="1:4" x14ac:dyDescent="0.2">
      <c r="A651">
        <v>144938</v>
      </c>
      <c r="B651" t="s">
        <v>23</v>
      </c>
      <c r="C651" t="s">
        <v>19</v>
      </c>
      <c r="D651" t="s">
        <v>11</v>
      </c>
    </row>
    <row r="652" spans="1:4" x14ac:dyDescent="0.2">
      <c r="A652">
        <v>180786</v>
      </c>
      <c r="B652" t="s">
        <v>23</v>
      </c>
      <c r="C652" t="s">
        <v>19</v>
      </c>
      <c r="D652" t="s">
        <v>11</v>
      </c>
    </row>
    <row r="653" spans="1:4" x14ac:dyDescent="0.2">
      <c r="A653">
        <v>174984</v>
      </c>
      <c r="B653" t="s">
        <v>15</v>
      </c>
      <c r="C653" t="s">
        <v>21</v>
      </c>
      <c r="D653" t="s">
        <v>11</v>
      </c>
    </row>
    <row r="654" spans="1:4" x14ac:dyDescent="0.2">
      <c r="A654">
        <v>164338</v>
      </c>
      <c r="B654" t="s">
        <v>15</v>
      </c>
      <c r="C654" t="s">
        <v>19</v>
      </c>
      <c r="D654" t="s">
        <v>18</v>
      </c>
    </row>
    <row r="655" spans="1:4" x14ac:dyDescent="0.2">
      <c r="A655">
        <v>194730</v>
      </c>
      <c r="B655" t="s">
        <v>12</v>
      </c>
      <c r="C655" t="s">
        <v>13</v>
      </c>
      <c r="D655" t="s">
        <v>11</v>
      </c>
    </row>
    <row r="656" spans="1:4" x14ac:dyDescent="0.2">
      <c r="A656">
        <v>184387</v>
      </c>
      <c r="B656" t="s">
        <v>23</v>
      </c>
      <c r="C656" t="s">
        <v>16</v>
      </c>
      <c r="D656" t="s">
        <v>11</v>
      </c>
    </row>
    <row r="657" spans="1:4" x14ac:dyDescent="0.2">
      <c r="A657">
        <v>122405</v>
      </c>
      <c r="B657" t="s">
        <v>23</v>
      </c>
      <c r="C657" t="s">
        <v>13</v>
      </c>
      <c r="D657" t="s">
        <v>11</v>
      </c>
    </row>
    <row r="658" spans="1:4" x14ac:dyDescent="0.2">
      <c r="A658">
        <v>155287</v>
      </c>
      <c r="B658" t="s">
        <v>15</v>
      </c>
      <c r="C658" t="s">
        <v>16</v>
      </c>
      <c r="D658" t="s">
        <v>18</v>
      </c>
    </row>
    <row r="659" spans="1:4" x14ac:dyDescent="0.2">
      <c r="A659">
        <v>135629</v>
      </c>
      <c r="B659" t="s">
        <v>15</v>
      </c>
      <c r="C659" t="s">
        <v>16</v>
      </c>
      <c r="D659" t="s">
        <v>18</v>
      </c>
    </row>
    <row r="660" spans="1:4" x14ac:dyDescent="0.2">
      <c r="A660">
        <v>161695</v>
      </c>
      <c r="B660" t="s">
        <v>12</v>
      </c>
      <c r="C660" t="s">
        <v>16</v>
      </c>
      <c r="D660" t="s">
        <v>11</v>
      </c>
    </row>
    <row r="661" spans="1:4" x14ac:dyDescent="0.2">
      <c r="A661">
        <v>188585</v>
      </c>
      <c r="B661" t="s">
        <v>15</v>
      </c>
      <c r="C661" t="s">
        <v>19</v>
      </c>
      <c r="D661" t="s">
        <v>18</v>
      </c>
    </row>
    <row r="662" spans="1:4" x14ac:dyDescent="0.2">
      <c r="A662">
        <v>199050</v>
      </c>
      <c r="B662" t="s">
        <v>12</v>
      </c>
      <c r="C662" t="s">
        <v>21</v>
      </c>
      <c r="D662" t="s">
        <v>11</v>
      </c>
    </row>
    <row r="663" spans="1:4" x14ac:dyDescent="0.2">
      <c r="A663">
        <v>126957</v>
      </c>
      <c r="B663" t="s">
        <v>23</v>
      </c>
      <c r="C663" t="s">
        <v>16</v>
      </c>
      <c r="D663" t="s">
        <v>11</v>
      </c>
    </row>
    <row r="664" spans="1:4" x14ac:dyDescent="0.2">
      <c r="A664">
        <v>140298</v>
      </c>
      <c r="B664" t="s">
        <v>15</v>
      </c>
      <c r="C664" t="s">
        <v>16</v>
      </c>
      <c r="D664" t="s">
        <v>11</v>
      </c>
    </row>
    <row r="665" spans="1:4" x14ac:dyDescent="0.2">
      <c r="A665">
        <v>143161</v>
      </c>
      <c r="B665" t="s">
        <v>15</v>
      </c>
      <c r="C665" t="s">
        <v>16</v>
      </c>
      <c r="D665" t="s">
        <v>18</v>
      </c>
    </row>
    <row r="666" spans="1:4" x14ac:dyDescent="0.2">
      <c r="A666">
        <v>126549</v>
      </c>
      <c r="B666" t="s">
        <v>23</v>
      </c>
      <c r="C666" t="s">
        <v>16</v>
      </c>
      <c r="D666" t="s">
        <v>18</v>
      </c>
    </row>
    <row r="667" spans="1:4" x14ac:dyDescent="0.2">
      <c r="A667">
        <v>199013</v>
      </c>
      <c r="B667" t="s">
        <v>12</v>
      </c>
      <c r="C667" t="s">
        <v>21</v>
      </c>
      <c r="D667" t="s">
        <v>11</v>
      </c>
    </row>
    <row r="668" spans="1:4" x14ac:dyDescent="0.2">
      <c r="A668">
        <v>120994</v>
      </c>
      <c r="B668" t="s">
        <v>15</v>
      </c>
      <c r="C668" t="s">
        <v>21</v>
      </c>
      <c r="D668" t="s">
        <v>11</v>
      </c>
    </row>
    <row r="669" spans="1:4" x14ac:dyDescent="0.2">
      <c r="A669">
        <v>123549</v>
      </c>
      <c r="B669" t="s">
        <v>15</v>
      </c>
      <c r="C669" t="s">
        <v>13</v>
      </c>
      <c r="D669" t="s">
        <v>11</v>
      </c>
    </row>
    <row r="670" spans="1:4" x14ac:dyDescent="0.2">
      <c r="A670">
        <v>191501</v>
      </c>
      <c r="B670" t="s">
        <v>15</v>
      </c>
      <c r="C670" t="s">
        <v>13</v>
      </c>
      <c r="D670" t="s">
        <v>11</v>
      </c>
    </row>
    <row r="671" spans="1:4" x14ac:dyDescent="0.2">
      <c r="A671">
        <v>137441</v>
      </c>
      <c r="B671" t="s">
        <v>15</v>
      </c>
      <c r="C671" t="s">
        <v>16</v>
      </c>
      <c r="D671" t="s">
        <v>11</v>
      </c>
    </row>
    <row r="672" spans="1:4" x14ac:dyDescent="0.2">
      <c r="A672">
        <v>174639</v>
      </c>
      <c r="B672" t="s">
        <v>15</v>
      </c>
      <c r="C672" t="s">
        <v>21</v>
      </c>
      <c r="D672" t="s">
        <v>11</v>
      </c>
    </row>
    <row r="673" spans="1:4" x14ac:dyDescent="0.2">
      <c r="A673">
        <v>126334</v>
      </c>
      <c r="B673" t="s">
        <v>23</v>
      </c>
      <c r="C673" t="s">
        <v>21</v>
      </c>
      <c r="D673" t="s">
        <v>11</v>
      </c>
    </row>
    <row r="674" spans="1:4" x14ac:dyDescent="0.2">
      <c r="A674">
        <v>158294</v>
      </c>
      <c r="B674" t="s">
        <v>12</v>
      </c>
      <c r="C674" t="s">
        <v>16</v>
      </c>
      <c r="D674" t="s">
        <v>11</v>
      </c>
    </row>
    <row r="675" spans="1:4" x14ac:dyDescent="0.2">
      <c r="A675">
        <v>171653</v>
      </c>
      <c r="B675" t="s">
        <v>12</v>
      </c>
      <c r="C675" t="s">
        <v>19</v>
      </c>
      <c r="D675" t="s">
        <v>11</v>
      </c>
    </row>
    <row r="676" spans="1:4" x14ac:dyDescent="0.2">
      <c r="A676">
        <v>113784</v>
      </c>
      <c r="B676" t="s">
        <v>15</v>
      </c>
      <c r="C676" t="s">
        <v>21</v>
      </c>
      <c r="D676" t="s">
        <v>11</v>
      </c>
    </row>
    <row r="677" spans="1:4" x14ac:dyDescent="0.2">
      <c r="A677">
        <v>195374</v>
      </c>
      <c r="B677" t="s">
        <v>15</v>
      </c>
      <c r="C677" t="s">
        <v>21</v>
      </c>
      <c r="D677" t="s">
        <v>18</v>
      </c>
    </row>
    <row r="678" spans="1:4" x14ac:dyDescent="0.2">
      <c r="A678">
        <v>171712</v>
      </c>
      <c r="B678" t="s">
        <v>12</v>
      </c>
      <c r="C678" t="s">
        <v>21</v>
      </c>
      <c r="D678" t="s">
        <v>11</v>
      </c>
    </row>
    <row r="679" spans="1:4" x14ac:dyDescent="0.2">
      <c r="A679">
        <v>148331</v>
      </c>
      <c r="B679" t="s">
        <v>15</v>
      </c>
      <c r="C679" t="s">
        <v>19</v>
      </c>
      <c r="D679" t="s">
        <v>18</v>
      </c>
    </row>
    <row r="680" spans="1:4" x14ac:dyDescent="0.2">
      <c r="A680">
        <v>123478</v>
      </c>
      <c r="B680" t="s">
        <v>15</v>
      </c>
      <c r="C680" t="s">
        <v>16</v>
      </c>
      <c r="D680" t="s">
        <v>11</v>
      </c>
    </row>
    <row r="681" spans="1:4" x14ac:dyDescent="0.2">
      <c r="A681">
        <v>164043</v>
      </c>
      <c r="B681" t="s">
        <v>23</v>
      </c>
      <c r="C681" t="s">
        <v>19</v>
      </c>
      <c r="D681" t="s">
        <v>11</v>
      </c>
    </row>
    <row r="682" spans="1:4" x14ac:dyDescent="0.2">
      <c r="A682">
        <v>158938</v>
      </c>
      <c r="B682" t="s">
        <v>23</v>
      </c>
      <c r="C682" t="s">
        <v>16</v>
      </c>
      <c r="D682" t="s">
        <v>18</v>
      </c>
    </row>
    <row r="683" spans="1:4" x14ac:dyDescent="0.2">
      <c r="A683">
        <v>118260</v>
      </c>
      <c r="B683" t="s">
        <v>12</v>
      </c>
      <c r="C683" t="s">
        <v>13</v>
      </c>
      <c r="D683" t="s">
        <v>11</v>
      </c>
    </row>
    <row r="684" spans="1:4" x14ac:dyDescent="0.2">
      <c r="A684">
        <v>168970</v>
      </c>
      <c r="B684" t="s">
        <v>12</v>
      </c>
      <c r="C684" t="s">
        <v>16</v>
      </c>
      <c r="D684" t="s">
        <v>11</v>
      </c>
    </row>
    <row r="685" spans="1:4" x14ac:dyDescent="0.2">
      <c r="A685">
        <v>160301</v>
      </c>
      <c r="B685" t="s">
        <v>12</v>
      </c>
      <c r="C685" t="s">
        <v>21</v>
      </c>
      <c r="D685" t="s">
        <v>11</v>
      </c>
    </row>
    <row r="686" spans="1:4" x14ac:dyDescent="0.2">
      <c r="A686">
        <v>134598</v>
      </c>
      <c r="B686" t="s">
        <v>15</v>
      </c>
      <c r="C686" t="s">
        <v>13</v>
      </c>
      <c r="D686" t="s">
        <v>18</v>
      </c>
    </row>
    <row r="687" spans="1:4" x14ac:dyDescent="0.2">
      <c r="A687">
        <v>140548</v>
      </c>
      <c r="B687" t="s">
        <v>23</v>
      </c>
      <c r="C687" t="s">
        <v>21</v>
      </c>
      <c r="D687" t="s">
        <v>18</v>
      </c>
    </row>
    <row r="688" spans="1:4" x14ac:dyDescent="0.2">
      <c r="A688">
        <v>119282</v>
      </c>
      <c r="B688" t="s">
        <v>23</v>
      </c>
      <c r="C688" t="s">
        <v>13</v>
      </c>
      <c r="D688" t="s">
        <v>11</v>
      </c>
    </row>
    <row r="689" spans="1:4" x14ac:dyDescent="0.2">
      <c r="A689">
        <v>155744</v>
      </c>
      <c r="B689" t="s">
        <v>12</v>
      </c>
      <c r="C689" t="s">
        <v>13</v>
      </c>
      <c r="D689" t="s">
        <v>18</v>
      </c>
    </row>
    <row r="690" spans="1:4" x14ac:dyDescent="0.2">
      <c r="A690">
        <v>188805</v>
      </c>
      <c r="B690" t="s">
        <v>23</v>
      </c>
      <c r="C690" t="s">
        <v>13</v>
      </c>
      <c r="D690" t="s">
        <v>18</v>
      </c>
    </row>
    <row r="691" spans="1:4" x14ac:dyDescent="0.2">
      <c r="A691">
        <v>194198</v>
      </c>
      <c r="B691" t="s">
        <v>23</v>
      </c>
      <c r="C691" t="s">
        <v>21</v>
      </c>
      <c r="D691" t="s">
        <v>18</v>
      </c>
    </row>
    <row r="692" spans="1:4" x14ac:dyDescent="0.2">
      <c r="A692">
        <v>158917</v>
      </c>
      <c r="B692" t="s">
        <v>23</v>
      </c>
      <c r="C692" t="s">
        <v>16</v>
      </c>
      <c r="D692" t="s">
        <v>18</v>
      </c>
    </row>
    <row r="693" spans="1:4" x14ac:dyDescent="0.2">
      <c r="A693">
        <v>119182</v>
      </c>
      <c r="B693" t="s">
        <v>15</v>
      </c>
      <c r="C693" t="s">
        <v>13</v>
      </c>
      <c r="D693" t="s">
        <v>18</v>
      </c>
    </row>
    <row r="694" spans="1:4" x14ac:dyDescent="0.2">
      <c r="A694">
        <v>177843</v>
      </c>
      <c r="B694" t="s">
        <v>15</v>
      </c>
      <c r="C694" t="s">
        <v>13</v>
      </c>
      <c r="D694" t="s">
        <v>18</v>
      </c>
    </row>
    <row r="695" spans="1:4" x14ac:dyDescent="0.2">
      <c r="A695">
        <v>175135</v>
      </c>
      <c r="B695" t="s">
        <v>23</v>
      </c>
      <c r="C695" t="s">
        <v>16</v>
      </c>
      <c r="D695" t="s">
        <v>11</v>
      </c>
    </row>
    <row r="696" spans="1:4" x14ac:dyDescent="0.2">
      <c r="A696">
        <v>162886</v>
      </c>
      <c r="B696" t="s">
        <v>12</v>
      </c>
      <c r="C696" t="s">
        <v>21</v>
      </c>
      <c r="D696" t="s">
        <v>11</v>
      </c>
    </row>
    <row r="697" spans="1:4" x14ac:dyDescent="0.2">
      <c r="A697">
        <v>162663</v>
      </c>
      <c r="B697" t="s">
        <v>23</v>
      </c>
      <c r="C697" t="s">
        <v>19</v>
      </c>
      <c r="D697" t="s">
        <v>11</v>
      </c>
    </row>
    <row r="698" spans="1:4" x14ac:dyDescent="0.2">
      <c r="A698">
        <v>148513</v>
      </c>
      <c r="B698" t="s">
        <v>23</v>
      </c>
      <c r="C698" t="s">
        <v>16</v>
      </c>
      <c r="D698" t="s">
        <v>18</v>
      </c>
    </row>
    <row r="699" spans="1:4" x14ac:dyDescent="0.2">
      <c r="A699">
        <v>127550</v>
      </c>
      <c r="B699" t="s">
        <v>15</v>
      </c>
      <c r="C699" t="s">
        <v>13</v>
      </c>
      <c r="D699" t="s">
        <v>18</v>
      </c>
    </row>
    <row r="700" spans="1:4" x14ac:dyDescent="0.2">
      <c r="A700">
        <v>123557</v>
      </c>
      <c r="B700" t="s">
        <v>15</v>
      </c>
      <c r="C700" t="s">
        <v>16</v>
      </c>
      <c r="D700" t="s">
        <v>11</v>
      </c>
    </row>
    <row r="701" spans="1:4" x14ac:dyDescent="0.2">
      <c r="A701">
        <v>140118</v>
      </c>
      <c r="B701" t="s">
        <v>12</v>
      </c>
      <c r="C701" t="s">
        <v>21</v>
      </c>
      <c r="D701" t="s">
        <v>11</v>
      </c>
    </row>
    <row r="702" spans="1:4" x14ac:dyDescent="0.2">
      <c r="A702">
        <v>172912</v>
      </c>
      <c r="B702" t="s">
        <v>23</v>
      </c>
      <c r="C702" t="s">
        <v>21</v>
      </c>
      <c r="D702" t="s">
        <v>18</v>
      </c>
    </row>
    <row r="703" spans="1:4" x14ac:dyDescent="0.2">
      <c r="A703">
        <v>155610</v>
      </c>
      <c r="B703" t="s">
        <v>15</v>
      </c>
      <c r="C703" t="s">
        <v>21</v>
      </c>
      <c r="D703" t="s">
        <v>11</v>
      </c>
    </row>
    <row r="704" spans="1:4" x14ac:dyDescent="0.2">
      <c r="A704">
        <v>160544</v>
      </c>
      <c r="B704" t="s">
        <v>12</v>
      </c>
      <c r="C704" t="s">
        <v>21</v>
      </c>
      <c r="D704" t="s">
        <v>18</v>
      </c>
    </row>
    <row r="705" spans="1:4" x14ac:dyDescent="0.2">
      <c r="A705">
        <v>177721</v>
      </c>
      <c r="B705" t="s">
        <v>12</v>
      </c>
      <c r="C705" t="s">
        <v>16</v>
      </c>
      <c r="D705" t="s">
        <v>18</v>
      </c>
    </row>
    <row r="706" spans="1:4" x14ac:dyDescent="0.2">
      <c r="A706">
        <v>199735</v>
      </c>
      <c r="B706" t="s">
        <v>15</v>
      </c>
      <c r="C706" t="s">
        <v>16</v>
      </c>
      <c r="D706" t="s">
        <v>18</v>
      </c>
    </row>
    <row r="707" spans="1:4" x14ac:dyDescent="0.2">
      <c r="A707">
        <v>164553</v>
      </c>
      <c r="B707" t="s">
        <v>23</v>
      </c>
      <c r="C707" t="s">
        <v>13</v>
      </c>
      <c r="D707" t="s">
        <v>11</v>
      </c>
    </row>
    <row r="708" spans="1:4" x14ac:dyDescent="0.2">
      <c r="A708">
        <v>160829</v>
      </c>
      <c r="B708" t="s">
        <v>15</v>
      </c>
      <c r="C708" t="s">
        <v>19</v>
      </c>
      <c r="D708" t="s">
        <v>11</v>
      </c>
    </row>
    <row r="709" spans="1:4" x14ac:dyDescent="0.2">
      <c r="A709">
        <v>189316</v>
      </c>
      <c r="B709" t="s">
        <v>12</v>
      </c>
      <c r="C709" t="s">
        <v>21</v>
      </c>
      <c r="D709" t="s">
        <v>11</v>
      </c>
    </row>
    <row r="710" spans="1:4" x14ac:dyDescent="0.2">
      <c r="A710">
        <v>110815</v>
      </c>
      <c r="B710" t="s">
        <v>23</v>
      </c>
      <c r="C710" t="s">
        <v>19</v>
      </c>
      <c r="D710" t="s">
        <v>11</v>
      </c>
    </row>
    <row r="711" spans="1:4" x14ac:dyDescent="0.2">
      <c r="A711">
        <v>173823</v>
      </c>
      <c r="B711" t="s">
        <v>23</v>
      </c>
      <c r="C711" t="s">
        <v>19</v>
      </c>
      <c r="D711" t="s">
        <v>18</v>
      </c>
    </row>
    <row r="712" spans="1:4" x14ac:dyDescent="0.2">
      <c r="A712">
        <v>189791</v>
      </c>
      <c r="B712" t="s">
        <v>23</v>
      </c>
      <c r="C712" t="s">
        <v>21</v>
      </c>
      <c r="D712" t="s">
        <v>11</v>
      </c>
    </row>
    <row r="713" spans="1:4" x14ac:dyDescent="0.2">
      <c r="A713">
        <v>180074</v>
      </c>
      <c r="B713" t="s">
        <v>15</v>
      </c>
      <c r="C713" t="s">
        <v>13</v>
      </c>
      <c r="D713" t="s">
        <v>18</v>
      </c>
    </row>
    <row r="714" spans="1:4" x14ac:dyDescent="0.2">
      <c r="A714">
        <v>131689</v>
      </c>
      <c r="B714" t="s">
        <v>15</v>
      </c>
      <c r="C714" t="s">
        <v>13</v>
      </c>
      <c r="D714" t="s">
        <v>11</v>
      </c>
    </row>
    <row r="715" spans="1:4" x14ac:dyDescent="0.2">
      <c r="A715">
        <v>145573</v>
      </c>
      <c r="B715" t="s">
        <v>12</v>
      </c>
      <c r="C715" t="s">
        <v>13</v>
      </c>
      <c r="D715" t="s">
        <v>11</v>
      </c>
    </row>
    <row r="716" spans="1:4" x14ac:dyDescent="0.2">
      <c r="A716">
        <v>196508</v>
      </c>
      <c r="B716" t="s">
        <v>23</v>
      </c>
      <c r="C716" t="s">
        <v>13</v>
      </c>
      <c r="D716" t="s">
        <v>18</v>
      </c>
    </row>
    <row r="717" spans="1:4" x14ac:dyDescent="0.2">
      <c r="A717">
        <v>159831</v>
      </c>
      <c r="B717" t="s">
        <v>12</v>
      </c>
      <c r="C717" t="s">
        <v>21</v>
      </c>
      <c r="D717" t="s">
        <v>11</v>
      </c>
    </row>
    <row r="718" spans="1:4" x14ac:dyDescent="0.2">
      <c r="A718">
        <v>154409</v>
      </c>
      <c r="B718" t="s">
        <v>12</v>
      </c>
      <c r="C718" t="s">
        <v>21</v>
      </c>
      <c r="D718" t="s">
        <v>11</v>
      </c>
    </row>
    <row r="719" spans="1:4" x14ac:dyDescent="0.2">
      <c r="A719">
        <v>151330</v>
      </c>
      <c r="B719" t="s">
        <v>12</v>
      </c>
      <c r="C719" t="s">
        <v>21</v>
      </c>
      <c r="D719" t="s">
        <v>11</v>
      </c>
    </row>
    <row r="720" spans="1:4" x14ac:dyDescent="0.2">
      <c r="A720">
        <v>178721</v>
      </c>
      <c r="B720" t="s">
        <v>15</v>
      </c>
      <c r="C720" t="s">
        <v>19</v>
      </c>
      <c r="D720" t="s">
        <v>11</v>
      </c>
    </row>
    <row r="721" spans="1:4" x14ac:dyDescent="0.2">
      <c r="A721">
        <v>190370</v>
      </c>
      <c r="B721" t="s">
        <v>15</v>
      </c>
      <c r="C721" t="s">
        <v>13</v>
      </c>
      <c r="D721" t="s">
        <v>18</v>
      </c>
    </row>
    <row r="722" spans="1:4" x14ac:dyDescent="0.2">
      <c r="A722">
        <v>171778</v>
      </c>
      <c r="B722" t="s">
        <v>23</v>
      </c>
      <c r="C722" t="s">
        <v>13</v>
      </c>
      <c r="D722" t="s">
        <v>11</v>
      </c>
    </row>
    <row r="723" spans="1:4" x14ac:dyDescent="0.2">
      <c r="A723">
        <v>181634</v>
      </c>
      <c r="B723" t="s">
        <v>23</v>
      </c>
      <c r="C723" t="s">
        <v>19</v>
      </c>
      <c r="D723" t="s">
        <v>11</v>
      </c>
    </row>
    <row r="724" spans="1:4" x14ac:dyDescent="0.2">
      <c r="A724">
        <v>146294</v>
      </c>
      <c r="B724" t="s">
        <v>23</v>
      </c>
      <c r="C724" t="s">
        <v>19</v>
      </c>
      <c r="D724" t="s">
        <v>11</v>
      </c>
    </row>
    <row r="725" spans="1:4" x14ac:dyDescent="0.2">
      <c r="A725">
        <v>113594</v>
      </c>
      <c r="B725" t="s">
        <v>23</v>
      </c>
      <c r="C725" t="s">
        <v>16</v>
      </c>
      <c r="D725" t="s">
        <v>11</v>
      </c>
    </row>
    <row r="726" spans="1:4" x14ac:dyDescent="0.2">
      <c r="A726">
        <v>153294</v>
      </c>
      <c r="B726" t="s">
        <v>15</v>
      </c>
      <c r="C726" t="s">
        <v>16</v>
      </c>
      <c r="D726" t="s">
        <v>18</v>
      </c>
    </row>
    <row r="727" spans="1:4" x14ac:dyDescent="0.2">
      <c r="A727">
        <v>191154</v>
      </c>
      <c r="B727" t="s">
        <v>12</v>
      </c>
      <c r="C727" t="s">
        <v>16</v>
      </c>
      <c r="D727" t="s">
        <v>11</v>
      </c>
    </row>
    <row r="728" spans="1:4" x14ac:dyDescent="0.2">
      <c r="A728">
        <v>154870</v>
      </c>
      <c r="B728" t="s">
        <v>15</v>
      </c>
      <c r="C728" t="s">
        <v>19</v>
      </c>
      <c r="D728" t="s">
        <v>18</v>
      </c>
    </row>
    <row r="729" spans="1:4" x14ac:dyDescent="0.2">
      <c r="A729">
        <v>145558</v>
      </c>
      <c r="B729" t="s">
        <v>15</v>
      </c>
      <c r="C729" t="s">
        <v>13</v>
      </c>
      <c r="D729" t="s">
        <v>18</v>
      </c>
    </row>
    <row r="730" spans="1:4" x14ac:dyDescent="0.2">
      <c r="A730">
        <v>135809</v>
      </c>
      <c r="B730" t="s">
        <v>15</v>
      </c>
      <c r="C730" t="s">
        <v>19</v>
      </c>
      <c r="D730" t="s">
        <v>18</v>
      </c>
    </row>
    <row r="731" spans="1:4" x14ac:dyDescent="0.2">
      <c r="A731">
        <v>156148</v>
      </c>
      <c r="B731" t="s">
        <v>23</v>
      </c>
      <c r="C731" t="s">
        <v>19</v>
      </c>
      <c r="D731" t="s">
        <v>18</v>
      </c>
    </row>
    <row r="732" spans="1:4" x14ac:dyDescent="0.2">
      <c r="A732">
        <v>171191</v>
      </c>
      <c r="B732" t="s">
        <v>23</v>
      </c>
      <c r="C732" t="s">
        <v>13</v>
      </c>
      <c r="D732" t="s">
        <v>11</v>
      </c>
    </row>
    <row r="733" spans="1:4" x14ac:dyDescent="0.2">
      <c r="A733">
        <v>115810</v>
      </c>
      <c r="B733" t="s">
        <v>12</v>
      </c>
      <c r="C733" t="s">
        <v>19</v>
      </c>
      <c r="D733" t="s">
        <v>11</v>
      </c>
    </row>
    <row r="734" spans="1:4" x14ac:dyDescent="0.2">
      <c r="A734">
        <v>115533</v>
      </c>
      <c r="B734" t="s">
        <v>23</v>
      </c>
      <c r="C734" t="s">
        <v>21</v>
      </c>
      <c r="D734" t="s">
        <v>18</v>
      </c>
    </row>
    <row r="735" spans="1:4" x14ac:dyDescent="0.2">
      <c r="A735">
        <v>191827</v>
      </c>
      <c r="B735" t="s">
        <v>23</v>
      </c>
      <c r="C735" t="s">
        <v>13</v>
      </c>
      <c r="D735" t="s">
        <v>18</v>
      </c>
    </row>
    <row r="736" spans="1:4" x14ac:dyDescent="0.2">
      <c r="A736">
        <v>115156</v>
      </c>
      <c r="B736" t="s">
        <v>23</v>
      </c>
      <c r="C736" t="s">
        <v>21</v>
      </c>
      <c r="D736" t="s">
        <v>18</v>
      </c>
    </row>
    <row r="737" spans="1:4" x14ac:dyDescent="0.2">
      <c r="A737">
        <v>148849</v>
      </c>
      <c r="B737" t="s">
        <v>23</v>
      </c>
      <c r="C737" t="s">
        <v>19</v>
      </c>
      <c r="D737" t="s">
        <v>18</v>
      </c>
    </row>
    <row r="738" spans="1:4" x14ac:dyDescent="0.2">
      <c r="A738">
        <v>121239</v>
      </c>
      <c r="B738" t="s">
        <v>15</v>
      </c>
      <c r="C738" t="s">
        <v>16</v>
      </c>
      <c r="D738" t="s">
        <v>18</v>
      </c>
    </row>
    <row r="739" spans="1:4" x14ac:dyDescent="0.2">
      <c r="A739">
        <v>147878</v>
      </c>
      <c r="B739" t="s">
        <v>23</v>
      </c>
      <c r="C739" t="s">
        <v>13</v>
      </c>
      <c r="D739" t="s">
        <v>11</v>
      </c>
    </row>
    <row r="740" spans="1:4" x14ac:dyDescent="0.2">
      <c r="A740">
        <v>163043</v>
      </c>
      <c r="B740" t="s">
        <v>15</v>
      </c>
      <c r="C740" t="s">
        <v>16</v>
      </c>
      <c r="D740" t="s">
        <v>11</v>
      </c>
    </row>
    <row r="741" spans="1:4" x14ac:dyDescent="0.2">
      <c r="A741">
        <v>198302</v>
      </c>
      <c r="B741" t="s">
        <v>23</v>
      </c>
      <c r="C741" t="s">
        <v>16</v>
      </c>
      <c r="D741" t="s">
        <v>11</v>
      </c>
    </row>
    <row r="742" spans="1:4" x14ac:dyDescent="0.2">
      <c r="A742">
        <v>191418</v>
      </c>
      <c r="B742" t="s">
        <v>15</v>
      </c>
      <c r="C742" t="s">
        <v>16</v>
      </c>
      <c r="D742" t="s">
        <v>11</v>
      </c>
    </row>
    <row r="743" spans="1:4" x14ac:dyDescent="0.2">
      <c r="A743">
        <v>175324</v>
      </c>
      <c r="B743" t="s">
        <v>15</v>
      </c>
      <c r="C743" t="s">
        <v>13</v>
      </c>
      <c r="D743" t="s">
        <v>18</v>
      </c>
    </row>
    <row r="744" spans="1:4" x14ac:dyDescent="0.2">
      <c r="A744">
        <v>168949</v>
      </c>
      <c r="B744" t="s">
        <v>12</v>
      </c>
      <c r="C744" t="s">
        <v>16</v>
      </c>
      <c r="D744" t="s">
        <v>18</v>
      </c>
    </row>
    <row r="745" spans="1:4" x14ac:dyDescent="0.2">
      <c r="A745">
        <v>132443</v>
      </c>
      <c r="B745" t="s">
        <v>15</v>
      </c>
      <c r="C745" t="s">
        <v>21</v>
      </c>
      <c r="D745" t="s">
        <v>18</v>
      </c>
    </row>
    <row r="746" spans="1:4" x14ac:dyDescent="0.2">
      <c r="A746">
        <v>142665</v>
      </c>
      <c r="B746" t="s">
        <v>12</v>
      </c>
      <c r="C746" t="s">
        <v>21</v>
      </c>
      <c r="D746" t="s">
        <v>18</v>
      </c>
    </row>
    <row r="747" spans="1:4" x14ac:dyDescent="0.2">
      <c r="A747">
        <v>171112</v>
      </c>
      <c r="B747" t="s">
        <v>23</v>
      </c>
      <c r="C747" t="s">
        <v>21</v>
      </c>
      <c r="D747" t="s">
        <v>11</v>
      </c>
    </row>
    <row r="748" spans="1:4" x14ac:dyDescent="0.2">
      <c r="A748">
        <v>164994</v>
      </c>
      <c r="B748" t="s">
        <v>15</v>
      </c>
      <c r="C748" t="s">
        <v>13</v>
      </c>
      <c r="D748" t="s">
        <v>18</v>
      </c>
    </row>
    <row r="749" spans="1:4" x14ac:dyDescent="0.2">
      <c r="A749">
        <v>197700</v>
      </c>
      <c r="B749" t="s">
        <v>12</v>
      </c>
      <c r="C749" t="s">
        <v>13</v>
      </c>
      <c r="D749" t="s">
        <v>11</v>
      </c>
    </row>
    <row r="750" spans="1:4" x14ac:dyDescent="0.2">
      <c r="A750">
        <v>162699</v>
      </c>
      <c r="B750" t="s">
        <v>12</v>
      </c>
      <c r="C750" t="s">
        <v>16</v>
      </c>
      <c r="D750" t="s">
        <v>11</v>
      </c>
    </row>
    <row r="751" spans="1:4" x14ac:dyDescent="0.2">
      <c r="A751">
        <v>166102</v>
      </c>
      <c r="B751" t="s">
        <v>12</v>
      </c>
      <c r="C751" t="s">
        <v>21</v>
      </c>
      <c r="D751" t="s">
        <v>18</v>
      </c>
    </row>
    <row r="752" spans="1:4" x14ac:dyDescent="0.2">
      <c r="A752">
        <v>125196</v>
      </c>
      <c r="B752" t="s">
        <v>23</v>
      </c>
      <c r="C752" t="s">
        <v>19</v>
      </c>
      <c r="D752" t="s">
        <v>11</v>
      </c>
    </row>
    <row r="753" spans="1:4" x14ac:dyDescent="0.2">
      <c r="A753">
        <v>190769</v>
      </c>
      <c r="B753" t="s">
        <v>23</v>
      </c>
      <c r="C753" t="s">
        <v>13</v>
      </c>
      <c r="D753" t="s">
        <v>11</v>
      </c>
    </row>
    <row r="754" spans="1:4" x14ac:dyDescent="0.2">
      <c r="A754">
        <v>192908</v>
      </c>
      <c r="B754" t="s">
        <v>15</v>
      </c>
      <c r="C754" t="s">
        <v>16</v>
      </c>
      <c r="D754" t="s">
        <v>11</v>
      </c>
    </row>
    <row r="755" spans="1:4" x14ac:dyDescent="0.2">
      <c r="A755">
        <v>190000</v>
      </c>
      <c r="B755" t="s">
        <v>23</v>
      </c>
      <c r="C755" t="s">
        <v>13</v>
      </c>
      <c r="D755" t="s">
        <v>18</v>
      </c>
    </row>
    <row r="756" spans="1:4" x14ac:dyDescent="0.2">
      <c r="A756">
        <v>117812</v>
      </c>
      <c r="B756" t="s">
        <v>23</v>
      </c>
      <c r="C756" t="s">
        <v>16</v>
      </c>
      <c r="D756" t="s">
        <v>11</v>
      </c>
    </row>
    <row r="757" spans="1:4" x14ac:dyDescent="0.2">
      <c r="A757">
        <v>158258</v>
      </c>
      <c r="B757" t="s">
        <v>15</v>
      </c>
      <c r="C757" t="s">
        <v>13</v>
      </c>
      <c r="D757" t="s">
        <v>11</v>
      </c>
    </row>
    <row r="758" spans="1:4" x14ac:dyDescent="0.2">
      <c r="A758">
        <v>136575</v>
      </c>
      <c r="B758" t="s">
        <v>23</v>
      </c>
      <c r="C758" t="s">
        <v>19</v>
      </c>
      <c r="D758" t="s">
        <v>18</v>
      </c>
    </row>
    <row r="759" spans="1:4" x14ac:dyDescent="0.2">
      <c r="A759">
        <v>152880</v>
      </c>
      <c r="B759" t="s">
        <v>15</v>
      </c>
      <c r="C759" t="s">
        <v>19</v>
      </c>
      <c r="D759" t="s">
        <v>11</v>
      </c>
    </row>
    <row r="760" spans="1:4" x14ac:dyDescent="0.2">
      <c r="A760">
        <v>112839</v>
      </c>
      <c r="B760" t="s">
        <v>23</v>
      </c>
      <c r="C760" t="s">
        <v>19</v>
      </c>
      <c r="D760" t="s">
        <v>11</v>
      </c>
    </row>
    <row r="761" spans="1:4" x14ac:dyDescent="0.2">
      <c r="A761">
        <v>190584</v>
      </c>
      <c r="B761" t="s">
        <v>15</v>
      </c>
      <c r="C761" t="s">
        <v>21</v>
      </c>
      <c r="D761" t="s">
        <v>18</v>
      </c>
    </row>
    <row r="762" spans="1:4" x14ac:dyDescent="0.2">
      <c r="A762">
        <v>171598</v>
      </c>
      <c r="B762" t="s">
        <v>12</v>
      </c>
      <c r="C762" t="s">
        <v>21</v>
      </c>
      <c r="D762" t="s">
        <v>18</v>
      </c>
    </row>
    <row r="763" spans="1:4" x14ac:dyDescent="0.2">
      <c r="A763">
        <v>169545</v>
      </c>
      <c r="B763" t="s">
        <v>12</v>
      </c>
      <c r="C763" t="s">
        <v>13</v>
      </c>
      <c r="D763" t="s">
        <v>18</v>
      </c>
    </row>
    <row r="764" spans="1:4" x14ac:dyDescent="0.2">
      <c r="A764">
        <v>132704</v>
      </c>
      <c r="B764" t="s">
        <v>23</v>
      </c>
      <c r="C764" t="s">
        <v>13</v>
      </c>
      <c r="D764" t="s">
        <v>18</v>
      </c>
    </row>
    <row r="765" spans="1:4" x14ac:dyDescent="0.2">
      <c r="A765">
        <v>168639</v>
      </c>
      <c r="B765" t="s">
        <v>23</v>
      </c>
      <c r="C765" t="s">
        <v>21</v>
      </c>
      <c r="D765" t="s">
        <v>18</v>
      </c>
    </row>
    <row r="766" spans="1:4" x14ac:dyDescent="0.2">
      <c r="A766">
        <v>163062</v>
      </c>
      <c r="B766" t="s">
        <v>23</v>
      </c>
      <c r="C766" t="s">
        <v>21</v>
      </c>
      <c r="D766" t="s">
        <v>18</v>
      </c>
    </row>
    <row r="767" spans="1:4" x14ac:dyDescent="0.2">
      <c r="A767">
        <v>186783</v>
      </c>
      <c r="B767" t="s">
        <v>15</v>
      </c>
      <c r="C767" t="s">
        <v>19</v>
      </c>
      <c r="D767" t="s">
        <v>11</v>
      </c>
    </row>
    <row r="768" spans="1:4" x14ac:dyDescent="0.2">
      <c r="A768">
        <v>130656</v>
      </c>
      <c r="B768" t="s">
        <v>12</v>
      </c>
      <c r="C768" t="s">
        <v>13</v>
      </c>
      <c r="D768" t="s">
        <v>18</v>
      </c>
    </row>
    <row r="769" spans="1:4" x14ac:dyDescent="0.2">
      <c r="A769">
        <v>111930</v>
      </c>
      <c r="B769" t="s">
        <v>23</v>
      </c>
      <c r="C769" t="s">
        <v>16</v>
      </c>
      <c r="D769" t="s">
        <v>11</v>
      </c>
    </row>
    <row r="770" spans="1:4" x14ac:dyDescent="0.2">
      <c r="A770">
        <v>115305</v>
      </c>
      <c r="B770" t="s">
        <v>23</v>
      </c>
      <c r="C770" t="s">
        <v>16</v>
      </c>
      <c r="D770" t="s">
        <v>11</v>
      </c>
    </row>
    <row r="771" spans="1:4" x14ac:dyDescent="0.2">
      <c r="A771">
        <v>167689</v>
      </c>
      <c r="B771" t="s">
        <v>23</v>
      </c>
      <c r="C771" t="s">
        <v>19</v>
      </c>
      <c r="D771" t="s">
        <v>11</v>
      </c>
    </row>
    <row r="772" spans="1:4" x14ac:dyDescent="0.2">
      <c r="A772">
        <v>110451</v>
      </c>
      <c r="B772" t="s">
        <v>12</v>
      </c>
      <c r="C772" t="s">
        <v>13</v>
      </c>
      <c r="D772" t="s">
        <v>18</v>
      </c>
    </row>
    <row r="773" spans="1:4" x14ac:dyDescent="0.2">
      <c r="A773">
        <v>189534</v>
      </c>
      <c r="B773" t="s">
        <v>12</v>
      </c>
      <c r="C773" t="s">
        <v>19</v>
      </c>
      <c r="D773" t="s">
        <v>18</v>
      </c>
    </row>
    <row r="774" spans="1:4" x14ac:dyDescent="0.2">
      <c r="A774">
        <v>153881</v>
      </c>
      <c r="B774" t="s">
        <v>12</v>
      </c>
      <c r="C774" t="s">
        <v>13</v>
      </c>
      <c r="D774" t="s">
        <v>18</v>
      </c>
    </row>
    <row r="775" spans="1:4" x14ac:dyDescent="0.2">
      <c r="A775">
        <v>112314</v>
      </c>
      <c r="B775" t="s">
        <v>12</v>
      </c>
      <c r="C775" t="s">
        <v>13</v>
      </c>
      <c r="D775" t="s">
        <v>18</v>
      </c>
    </row>
    <row r="776" spans="1:4" x14ac:dyDescent="0.2">
      <c r="A776">
        <v>134948</v>
      </c>
      <c r="B776" t="s">
        <v>12</v>
      </c>
      <c r="C776" t="s">
        <v>19</v>
      </c>
      <c r="D776" t="s">
        <v>18</v>
      </c>
    </row>
    <row r="777" spans="1:4" x14ac:dyDescent="0.2">
      <c r="A777">
        <v>152468</v>
      </c>
      <c r="B777" t="s">
        <v>23</v>
      </c>
      <c r="C777" t="s">
        <v>13</v>
      </c>
      <c r="D777" t="s">
        <v>18</v>
      </c>
    </row>
    <row r="778" spans="1:4" x14ac:dyDescent="0.2">
      <c r="A778">
        <v>148553</v>
      </c>
      <c r="B778" t="s">
        <v>23</v>
      </c>
      <c r="C778" t="s">
        <v>13</v>
      </c>
      <c r="D778" t="s">
        <v>18</v>
      </c>
    </row>
    <row r="779" spans="1:4" x14ac:dyDescent="0.2">
      <c r="A779">
        <v>121643</v>
      </c>
      <c r="B779" t="s">
        <v>23</v>
      </c>
      <c r="C779" t="s">
        <v>21</v>
      </c>
      <c r="D779" t="s">
        <v>11</v>
      </c>
    </row>
    <row r="780" spans="1:4" x14ac:dyDescent="0.2">
      <c r="A780">
        <v>167351</v>
      </c>
      <c r="B780" t="s">
        <v>15</v>
      </c>
      <c r="C780" t="s">
        <v>21</v>
      </c>
      <c r="D780" t="s">
        <v>11</v>
      </c>
    </row>
    <row r="781" spans="1:4" x14ac:dyDescent="0.2">
      <c r="A781">
        <v>199976</v>
      </c>
      <c r="B781" t="s">
        <v>23</v>
      </c>
      <c r="C781" t="s">
        <v>21</v>
      </c>
      <c r="D781" t="s">
        <v>11</v>
      </c>
    </row>
    <row r="782" spans="1:4" x14ac:dyDescent="0.2">
      <c r="A782">
        <v>172344</v>
      </c>
      <c r="B782" t="s">
        <v>12</v>
      </c>
      <c r="C782" t="s">
        <v>13</v>
      </c>
      <c r="D782" t="s">
        <v>18</v>
      </c>
    </row>
    <row r="783" spans="1:4" x14ac:dyDescent="0.2">
      <c r="A783">
        <v>157499</v>
      </c>
      <c r="B783" t="s">
        <v>15</v>
      </c>
      <c r="C783" t="s">
        <v>16</v>
      </c>
      <c r="D783" t="s">
        <v>11</v>
      </c>
    </row>
    <row r="784" spans="1:4" x14ac:dyDescent="0.2">
      <c r="A784">
        <v>173866</v>
      </c>
      <c r="B784" t="s">
        <v>12</v>
      </c>
      <c r="C784" t="s">
        <v>19</v>
      </c>
      <c r="D784" t="s">
        <v>18</v>
      </c>
    </row>
    <row r="785" spans="1:4" x14ac:dyDescent="0.2">
      <c r="A785">
        <v>134989</v>
      </c>
      <c r="B785" t="s">
        <v>23</v>
      </c>
      <c r="C785" t="s">
        <v>13</v>
      </c>
      <c r="D785" t="s">
        <v>18</v>
      </c>
    </row>
    <row r="786" spans="1:4" x14ac:dyDescent="0.2">
      <c r="A786">
        <v>162691</v>
      </c>
      <c r="B786" t="s">
        <v>23</v>
      </c>
      <c r="C786" t="s">
        <v>13</v>
      </c>
      <c r="D786" t="s">
        <v>18</v>
      </c>
    </row>
    <row r="787" spans="1:4" x14ac:dyDescent="0.2">
      <c r="A787">
        <v>187196</v>
      </c>
      <c r="B787" t="s">
        <v>15</v>
      </c>
      <c r="C787" t="s">
        <v>21</v>
      </c>
      <c r="D787" t="s">
        <v>11</v>
      </c>
    </row>
    <row r="788" spans="1:4" x14ac:dyDescent="0.2">
      <c r="A788">
        <v>121378</v>
      </c>
      <c r="B788" t="s">
        <v>12</v>
      </c>
      <c r="C788" t="s">
        <v>16</v>
      </c>
      <c r="D788" t="s">
        <v>18</v>
      </c>
    </row>
    <row r="789" spans="1:4" x14ac:dyDescent="0.2">
      <c r="A789">
        <v>142482</v>
      </c>
      <c r="B789" t="s">
        <v>23</v>
      </c>
      <c r="C789" t="s">
        <v>19</v>
      </c>
      <c r="D789" t="s">
        <v>11</v>
      </c>
    </row>
    <row r="790" spans="1:4" x14ac:dyDescent="0.2">
      <c r="A790">
        <v>176723</v>
      </c>
      <c r="B790" t="s">
        <v>15</v>
      </c>
      <c r="C790" t="s">
        <v>13</v>
      </c>
      <c r="D790" t="s">
        <v>11</v>
      </c>
    </row>
    <row r="791" spans="1:4" x14ac:dyDescent="0.2">
      <c r="A791">
        <v>132654</v>
      </c>
      <c r="B791" t="s">
        <v>15</v>
      </c>
      <c r="C791" t="s">
        <v>16</v>
      </c>
      <c r="D791" t="s">
        <v>11</v>
      </c>
    </row>
    <row r="792" spans="1:4" x14ac:dyDescent="0.2">
      <c r="A792">
        <v>169453</v>
      </c>
      <c r="B792" t="s">
        <v>12</v>
      </c>
      <c r="C792" t="s">
        <v>16</v>
      </c>
      <c r="D792" t="s">
        <v>11</v>
      </c>
    </row>
    <row r="793" spans="1:4" x14ac:dyDescent="0.2">
      <c r="A793">
        <v>165328</v>
      </c>
      <c r="B793" t="s">
        <v>12</v>
      </c>
      <c r="C793" t="s">
        <v>13</v>
      </c>
      <c r="D793" t="s">
        <v>18</v>
      </c>
    </row>
    <row r="794" spans="1:4" x14ac:dyDescent="0.2">
      <c r="A794">
        <v>189998</v>
      </c>
      <c r="B794" t="s">
        <v>23</v>
      </c>
      <c r="C794" t="s">
        <v>19</v>
      </c>
      <c r="D794" t="s">
        <v>18</v>
      </c>
    </row>
    <row r="795" spans="1:4" x14ac:dyDescent="0.2">
      <c r="A795">
        <v>171481</v>
      </c>
      <c r="B795" t="s">
        <v>23</v>
      </c>
      <c r="C795" t="s">
        <v>13</v>
      </c>
      <c r="D795" t="s">
        <v>11</v>
      </c>
    </row>
    <row r="796" spans="1:4" x14ac:dyDescent="0.2">
      <c r="A796">
        <v>166674</v>
      </c>
      <c r="B796" t="s">
        <v>15</v>
      </c>
      <c r="C796" t="s">
        <v>16</v>
      </c>
      <c r="D796" t="s">
        <v>18</v>
      </c>
    </row>
    <row r="797" spans="1:4" x14ac:dyDescent="0.2">
      <c r="A797">
        <v>110674</v>
      </c>
      <c r="B797" t="s">
        <v>15</v>
      </c>
      <c r="C797" t="s">
        <v>16</v>
      </c>
      <c r="D797" t="s">
        <v>18</v>
      </c>
    </row>
    <row r="798" spans="1:4" x14ac:dyDescent="0.2">
      <c r="A798">
        <v>110417</v>
      </c>
      <c r="B798" t="s">
        <v>15</v>
      </c>
      <c r="C798" t="s">
        <v>19</v>
      </c>
      <c r="D798" t="s">
        <v>18</v>
      </c>
    </row>
    <row r="799" spans="1:4" x14ac:dyDescent="0.2">
      <c r="A799">
        <v>166698</v>
      </c>
      <c r="B799" t="s">
        <v>15</v>
      </c>
      <c r="C799" t="s">
        <v>19</v>
      </c>
      <c r="D799" t="s">
        <v>11</v>
      </c>
    </row>
    <row r="800" spans="1:4" x14ac:dyDescent="0.2">
      <c r="A800">
        <v>179623</v>
      </c>
      <c r="B800" t="s">
        <v>15</v>
      </c>
      <c r="C800" t="s">
        <v>21</v>
      </c>
      <c r="D800" t="s">
        <v>18</v>
      </c>
    </row>
    <row r="801" spans="1:4" x14ac:dyDescent="0.2">
      <c r="A801">
        <v>196326</v>
      </c>
      <c r="B801" t="s">
        <v>12</v>
      </c>
      <c r="C801" t="s">
        <v>16</v>
      </c>
      <c r="D801" t="s">
        <v>18</v>
      </c>
    </row>
    <row r="802" spans="1:4" x14ac:dyDescent="0.2">
      <c r="A802">
        <v>175453</v>
      </c>
      <c r="B802" t="s">
        <v>15</v>
      </c>
      <c r="C802" t="s">
        <v>16</v>
      </c>
      <c r="D802" t="s">
        <v>11</v>
      </c>
    </row>
    <row r="803" spans="1:4" x14ac:dyDescent="0.2">
      <c r="A803">
        <v>153183</v>
      </c>
      <c r="B803" t="s">
        <v>12</v>
      </c>
      <c r="C803" t="s">
        <v>13</v>
      </c>
      <c r="D803" t="s">
        <v>11</v>
      </c>
    </row>
    <row r="804" spans="1:4" x14ac:dyDescent="0.2">
      <c r="A804">
        <v>195160</v>
      </c>
      <c r="B804" t="s">
        <v>15</v>
      </c>
      <c r="C804" t="s">
        <v>19</v>
      </c>
      <c r="D804" t="s">
        <v>18</v>
      </c>
    </row>
    <row r="805" spans="1:4" x14ac:dyDescent="0.2">
      <c r="A805">
        <v>116201</v>
      </c>
      <c r="B805" t="s">
        <v>15</v>
      </c>
      <c r="C805" t="s">
        <v>19</v>
      </c>
      <c r="D805" t="s">
        <v>11</v>
      </c>
    </row>
    <row r="806" spans="1:4" x14ac:dyDescent="0.2">
      <c r="A806">
        <v>188566</v>
      </c>
      <c r="B806" t="s">
        <v>12</v>
      </c>
      <c r="C806" t="s">
        <v>13</v>
      </c>
      <c r="D806" t="s">
        <v>18</v>
      </c>
    </row>
    <row r="807" spans="1:4" x14ac:dyDescent="0.2">
      <c r="A807">
        <v>151362</v>
      </c>
      <c r="B807" t="s">
        <v>12</v>
      </c>
      <c r="C807" t="s">
        <v>13</v>
      </c>
      <c r="D807" t="s">
        <v>11</v>
      </c>
    </row>
    <row r="808" spans="1:4" x14ac:dyDescent="0.2">
      <c r="A808">
        <v>189612</v>
      </c>
      <c r="B808" t="s">
        <v>23</v>
      </c>
      <c r="C808" t="s">
        <v>13</v>
      </c>
      <c r="D808" t="s">
        <v>18</v>
      </c>
    </row>
    <row r="809" spans="1:4" x14ac:dyDescent="0.2">
      <c r="A809">
        <v>144433</v>
      </c>
      <c r="B809" t="s">
        <v>15</v>
      </c>
      <c r="C809" t="s">
        <v>16</v>
      </c>
      <c r="D809" t="s">
        <v>11</v>
      </c>
    </row>
    <row r="810" spans="1:4" x14ac:dyDescent="0.2">
      <c r="A810">
        <v>157449</v>
      </c>
      <c r="B810" t="s">
        <v>15</v>
      </c>
      <c r="C810" t="s">
        <v>21</v>
      </c>
      <c r="D810" t="s">
        <v>11</v>
      </c>
    </row>
    <row r="811" spans="1:4" x14ac:dyDescent="0.2">
      <c r="A811">
        <v>165623</v>
      </c>
      <c r="B811" t="s">
        <v>23</v>
      </c>
      <c r="C811" t="s">
        <v>21</v>
      </c>
      <c r="D811" t="s">
        <v>11</v>
      </c>
    </row>
    <row r="812" spans="1:4" x14ac:dyDescent="0.2">
      <c r="A812">
        <v>137925</v>
      </c>
      <c r="B812" t="s">
        <v>12</v>
      </c>
      <c r="C812" t="s">
        <v>19</v>
      </c>
      <c r="D812" t="s">
        <v>11</v>
      </c>
    </row>
    <row r="813" spans="1:4" x14ac:dyDescent="0.2">
      <c r="A813">
        <v>115111</v>
      </c>
      <c r="B813" t="s">
        <v>12</v>
      </c>
      <c r="C813" t="s">
        <v>13</v>
      </c>
      <c r="D813" t="s">
        <v>11</v>
      </c>
    </row>
    <row r="814" spans="1:4" x14ac:dyDescent="0.2">
      <c r="A814">
        <v>171502</v>
      </c>
      <c r="B814" t="s">
        <v>12</v>
      </c>
      <c r="C814" t="s">
        <v>16</v>
      </c>
      <c r="D814" t="s">
        <v>18</v>
      </c>
    </row>
    <row r="815" spans="1:4" x14ac:dyDescent="0.2">
      <c r="A815">
        <v>193698</v>
      </c>
      <c r="B815" t="s">
        <v>12</v>
      </c>
      <c r="C815" t="s">
        <v>19</v>
      </c>
      <c r="D815" t="s">
        <v>11</v>
      </c>
    </row>
    <row r="816" spans="1:4" x14ac:dyDescent="0.2">
      <c r="A816">
        <v>151572</v>
      </c>
      <c r="B816" t="s">
        <v>15</v>
      </c>
      <c r="C816" t="s">
        <v>21</v>
      </c>
      <c r="D816" t="s">
        <v>18</v>
      </c>
    </row>
    <row r="817" spans="1:4" x14ac:dyDescent="0.2">
      <c r="A817">
        <v>158886</v>
      </c>
      <c r="B817" t="s">
        <v>12</v>
      </c>
      <c r="C817" t="s">
        <v>16</v>
      </c>
      <c r="D817" t="s">
        <v>18</v>
      </c>
    </row>
    <row r="818" spans="1:4" x14ac:dyDescent="0.2">
      <c r="A818">
        <v>111012</v>
      </c>
      <c r="B818" t="s">
        <v>12</v>
      </c>
      <c r="C818" t="s">
        <v>21</v>
      </c>
      <c r="D818" t="s">
        <v>11</v>
      </c>
    </row>
    <row r="819" spans="1:4" x14ac:dyDescent="0.2">
      <c r="A819">
        <v>143251</v>
      </c>
      <c r="B819" t="s">
        <v>15</v>
      </c>
      <c r="C819" t="s">
        <v>16</v>
      </c>
      <c r="D819" t="s">
        <v>11</v>
      </c>
    </row>
    <row r="820" spans="1:4" x14ac:dyDescent="0.2">
      <c r="A820">
        <v>178611</v>
      </c>
      <c r="B820" t="s">
        <v>12</v>
      </c>
      <c r="C820" t="s">
        <v>16</v>
      </c>
      <c r="D820" t="s">
        <v>18</v>
      </c>
    </row>
    <row r="821" spans="1:4" x14ac:dyDescent="0.2">
      <c r="A821">
        <v>114824</v>
      </c>
      <c r="B821" t="s">
        <v>23</v>
      </c>
      <c r="C821" t="s">
        <v>13</v>
      </c>
      <c r="D821" t="s">
        <v>18</v>
      </c>
    </row>
    <row r="822" spans="1:4" x14ac:dyDescent="0.2">
      <c r="A822">
        <v>168713</v>
      </c>
      <c r="B822" t="s">
        <v>23</v>
      </c>
      <c r="C822" t="s">
        <v>19</v>
      </c>
      <c r="D822" t="s">
        <v>18</v>
      </c>
    </row>
    <row r="823" spans="1:4" x14ac:dyDescent="0.2">
      <c r="A823">
        <v>140868</v>
      </c>
      <c r="B823" t="s">
        <v>15</v>
      </c>
      <c r="C823" t="s">
        <v>13</v>
      </c>
      <c r="D823" t="s">
        <v>11</v>
      </c>
    </row>
    <row r="824" spans="1:4" x14ac:dyDescent="0.2">
      <c r="A824">
        <v>146780</v>
      </c>
      <c r="B824" t="s">
        <v>15</v>
      </c>
      <c r="C824" t="s">
        <v>21</v>
      </c>
      <c r="D824" t="s">
        <v>11</v>
      </c>
    </row>
    <row r="825" spans="1:4" x14ac:dyDescent="0.2">
      <c r="A825">
        <v>172105</v>
      </c>
      <c r="B825" t="s">
        <v>23</v>
      </c>
      <c r="C825" t="s">
        <v>13</v>
      </c>
      <c r="D825" t="s">
        <v>18</v>
      </c>
    </row>
    <row r="826" spans="1:4" x14ac:dyDescent="0.2">
      <c r="A826">
        <v>111455</v>
      </c>
      <c r="B826" t="s">
        <v>23</v>
      </c>
      <c r="C826" t="s">
        <v>21</v>
      </c>
      <c r="D826" t="s">
        <v>18</v>
      </c>
    </row>
    <row r="827" spans="1:4" x14ac:dyDescent="0.2">
      <c r="A827">
        <v>129927</v>
      </c>
      <c r="B827" t="s">
        <v>23</v>
      </c>
      <c r="C827" t="s">
        <v>16</v>
      </c>
      <c r="D827" t="s">
        <v>11</v>
      </c>
    </row>
    <row r="828" spans="1:4" x14ac:dyDescent="0.2">
      <c r="A828">
        <v>139494</v>
      </c>
      <c r="B828" t="s">
        <v>12</v>
      </c>
      <c r="C828" t="s">
        <v>13</v>
      </c>
      <c r="D828" t="s">
        <v>11</v>
      </c>
    </row>
    <row r="829" spans="1:4" x14ac:dyDescent="0.2">
      <c r="A829">
        <v>163982</v>
      </c>
      <c r="B829" t="s">
        <v>15</v>
      </c>
      <c r="C829" t="s">
        <v>13</v>
      </c>
      <c r="D829" t="s">
        <v>11</v>
      </c>
    </row>
    <row r="830" spans="1:4" x14ac:dyDescent="0.2">
      <c r="A830">
        <v>112511</v>
      </c>
      <c r="B830" t="s">
        <v>12</v>
      </c>
      <c r="C830" t="s">
        <v>19</v>
      </c>
      <c r="D830" t="s">
        <v>18</v>
      </c>
    </row>
    <row r="831" spans="1:4" x14ac:dyDescent="0.2">
      <c r="A831">
        <v>146982</v>
      </c>
      <c r="B831" t="s">
        <v>12</v>
      </c>
      <c r="C831" t="s">
        <v>19</v>
      </c>
      <c r="D831" t="s">
        <v>18</v>
      </c>
    </row>
    <row r="832" spans="1:4" x14ac:dyDescent="0.2">
      <c r="A832">
        <v>171517</v>
      </c>
      <c r="B832" t="s">
        <v>12</v>
      </c>
      <c r="C832" t="s">
        <v>19</v>
      </c>
      <c r="D832" t="s">
        <v>18</v>
      </c>
    </row>
    <row r="833" spans="1:4" x14ac:dyDescent="0.2">
      <c r="A833">
        <v>181233</v>
      </c>
      <c r="B833" t="s">
        <v>23</v>
      </c>
      <c r="C833" t="s">
        <v>16</v>
      </c>
      <c r="D833" t="s">
        <v>11</v>
      </c>
    </row>
    <row r="834" spans="1:4" x14ac:dyDescent="0.2">
      <c r="A834">
        <v>147559</v>
      </c>
      <c r="B834" t="s">
        <v>23</v>
      </c>
      <c r="C834" t="s">
        <v>21</v>
      </c>
      <c r="D834" t="s">
        <v>11</v>
      </c>
    </row>
    <row r="835" spans="1:4" x14ac:dyDescent="0.2">
      <c r="A835">
        <v>158151</v>
      </c>
      <c r="B835" t="s">
        <v>15</v>
      </c>
      <c r="C835" t="s">
        <v>19</v>
      </c>
      <c r="D835" t="s">
        <v>11</v>
      </c>
    </row>
    <row r="836" spans="1:4" x14ac:dyDescent="0.2">
      <c r="A836">
        <v>199194</v>
      </c>
      <c r="B836" t="s">
        <v>23</v>
      </c>
      <c r="C836" t="s">
        <v>16</v>
      </c>
      <c r="D836" t="s">
        <v>18</v>
      </c>
    </row>
    <row r="837" spans="1:4" x14ac:dyDescent="0.2">
      <c r="A837">
        <v>187447</v>
      </c>
      <c r="B837" t="s">
        <v>23</v>
      </c>
      <c r="C837" t="s">
        <v>21</v>
      </c>
      <c r="D837" t="s">
        <v>18</v>
      </c>
    </row>
    <row r="838" spans="1:4" x14ac:dyDescent="0.2">
      <c r="A838">
        <v>175725</v>
      </c>
      <c r="B838" t="s">
        <v>15</v>
      </c>
      <c r="C838" t="s">
        <v>19</v>
      </c>
      <c r="D838" t="s">
        <v>18</v>
      </c>
    </row>
    <row r="839" spans="1:4" x14ac:dyDescent="0.2">
      <c r="A839">
        <v>131107</v>
      </c>
      <c r="B839" t="s">
        <v>15</v>
      </c>
      <c r="C839" t="s">
        <v>19</v>
      </c>
      <c r="D839" t="s">
        <v>11</v>
      </c>
    </row>
    <row r="840" spans="1:4" x14ac:dyDescent="0.2">
      <c r="A840">
        <v>186541</v>
      </c>
      <c r="B840" t="s">
        <v>23</v>
      </c>
      <c r="C840" t="s">
        <v>19</v>
      </c>
      <c r="D840" t="s">
        <v>18</v>
      </c>
    </row>
    <row r="841" spans="1:4" x14ac:dyDescent="0.2">
      <c r="A841">
        <v>192046</v>
      </c>
      <c r="B841" t="s">
        <v>12</v>
      </c>
      <c r="C841" t="s">
        <v>13</v>
      </c>
      <c r="D841" t="s">
        <v>18</v>
      </c>
    </row>
    <row r="842" spans="1:4" x14ac:dyDescent="0.2">
      <c r="A842">
        <v>147306</v>
      </c>
      <c r="B842" t="s">
        <v>15</v>
      </c>
      <c r="C842" t="s">
        <v>21</v>
      </c>
      <c r="D842" t="s">
        <v>11</v>
      </c>
    </row>
    <row r="843" spans="1:4" x14ac:dyDescent="0.2">
      <c r="A843">
        <v>145684</v>
      </c>
      <c r="B843" t="s">
        <v>15</v>
      </c>
      <c r="C843" t="s">
        <v>21</v>
      </c>
      <c r="D843" t="s">
        <v>18</v>
      </c>
    </row>
    <row r="844" spans="1:4" x14ac:dyDescent="0.2">
      <c r="A844">
        <v>118867</v>
      </c>
      <c r="B844" t="s">
        <v>12</v>
      </c>
      <c r="C844" t="s">
        <v>13</v>
      </c>
      <c r="D844" t="s">
        <v>11</v>
      </c>
    </row>
    <row r="845" spans="1:4" x14ac:dyDescent="0.2">
      <c r="A845">
        <v>143823</v>
      </c>
      <c r="B845" t="s">
        <v>12</v>
      </c>
      <c r="C845" t="s">
        <v>19</v>
      </c>
      <c r="D845" t="s">
        <v>18</v>
      </c>
    </row>
    <row r="846" spans="1:4" x14ac:dyDescent="0.2">
      <c r="A846">
        <v>194433</v>
      </c>
      <c r="B846" t="s">
        <v>15</v>
      </c>
      <c r="C846" t="s">
        <v>19</v>
      </c>
      <c r="D846" t="s">
        <v>11</v>
      </c>
    </row>
    <row r="847" spans="1:4" x14ac:dyDescent="0.2">
      <c r="A847">
        <v>180551</v>
      </c>
      <c r="B847" t="s">
        <v>15</v>
      </c>
      <c r="C847" t="s">
        <v>21</v>
      </c>
      <c r="D847" t="s">
        <v>11</v>
      </c>
    </row>
    <row r="848" spans="1:4" x14ac:dyDescent="0.2">
      <c r="A848">
        <v>180029</v>
      </c>
      <c r="B848" t="s">
        <v>15</v>
      </c>
      <c r="C848" t="s">
        <v>13</v>
      </c>
      <c r="D848" t="s">
        <v>11</v>
      </c>
    </row>
    <row r="849" spans="1:4" x14ac:dyDescent="0.2">
      <c r="A849">
        <v>158671</v>
      </c>
      <c r="B849" t="s">
        <v>12</v>
      </c>
      <c r="C849" t="s">
        <v>16</v>
      </c>
      <c r="D849" t="s">
        <v>18</v>
      </c>
    </row>
    <row r="850" spans="1:4" x14ac:dyDescent="0.2">
      <c r="A850">
        <v>196932</v>
      </c>
      <c r="B850" t="s">
        <v>23</v>
      </c>
      <c r="C850" t="s">
        <v>19</v>
      </c>
      <c r="D850" t="s">
        <v>11</v>
      </c>
    </row>
    <row r="851" spans="1:4" x14ac:dyDescent="0.2">
      <c r="A851">
        <v>188730</v>
      </c>
      <c r="B851" t="s">
        <v>12</v>
      </c>
      <c r="C851" t="s">
        <v>13</v>
      </c>
      <c r="D851" t="s">
        <v>18</v>
      </c>
    </row>
    <row r="852" spans="1:4" x14ac:dyDescent="0.2">
      <c r="A852">
        <v>189853</v>
      </c>
      <c r="B852" t="s">
        <v>15</v>
      </c>
      <c r="C852" t="s">
        <v>13</v>
      </c>
      <c r="D852" t="s">
        <v>11</v>
      </c>
    </row>
    <row r="853" spans="1:4" x14ac:dyDescent="0.2">
      <c r="A853">
        <v>169236</v>
      </c>
      <c r="B853" t="s">
        <v>15</v>
      </c>
      <c r="C853" t="s">
        <v>19</v>
      </c>
      <c r="D853" t="s">
        <v>18</v>
      </c>
    </row>
    <row r="854" spans="1:4" x14ac:dyDescent="0.2">
      <c r="A854">
        <v>157660</v>
      </c>
      <c r="B854" t="s">
        <v>12</v>
      </c>
      <c r="C854" t="s">
        <v>19</v>
      </c>
      <c r="D854" t="s">
        <v>11</v>
      </c>
    </row>
    <row r="855" spans="1:4" x14ac:dyDescent="0.2">
      <c r="A855">
        <v>119645</v>
      </c>
      <c r="B855" t="s">
        <v>23</v>
      </c>
      <c r="C855" t="s">
        <v>19</v>
      </c>
      <c r="D855" t="s">
        <v>11</v>
      </c>
    </row>
    <row r="856" spans="1:4" x14ac:dyDescent="0.2">
      <c r="A856">
        <v>142356</v>
      </c>
      <c r="B856" t="s">
        <v>12</v>
      </c>
      <c r="C856" t="s">
        <v>13</v>
      </c>
      <c r="D856" t="s">
        <v>11</v>
      </c>
    </row>
    <row r="857" spans="1:4" x14ac:dyDescent="0.2">
      <c r="A857">
        <v>122078</v>
      </c>
      <c r="B857" t="s">
        <v>12</v>
      </c>
      <c r="C857" t="s">
        <v>19</v>
      </c>
      <c r="D857" t="s">
        <v>11</v>
      </c>
    </row>
    <row r="858" spans="1:4" x14ac:dyDescent="0.2">
      <c r="A858">
        <v>161248</v>
      </c>
      <c r="B858" t="s">
        <v>15</v>
      </c>
      <c r="C858" t="s">
        <v>21</v>
      </c>
      <c r="D858" t="s">
        <v>11</v>
      </c>
    </row>
    <row r="859" spans="1:4" x14ac:dyDescent="0.2">
      <c r="A859">
        <v>171394</v>
      </c>
      <c r="B859" t="s">
        <v>15</v>
      </c>
      <c r="C859" t="s">
        <v>21</v>
      </c>
      <c r="D859" t="s">
        <v>11</v>
      </c>
    </row>
    <row r="860" spans="1:4" x14ac:dyDescent="0.2">
      <c r="A860">
        <v>151362</v>
      </c>
      <c r="B860" t="s">
        <v>23</v>
      </c>
      <c r="C860" t="s">
        <v>16</v>
      </c>
      <c r="D860" t="s">
        <v>11</v>
      </c>
    </row>
    <row r="861" spans="1:4" x14ac:dyDescent="0.2">
      <c r="A861">
        <v>171225</v>
      </c>
      <c r="B861" t="s">
        <v>12</v>
      </c>
      <c r="C861" t="s">
        <v>19</v>
      </c>
      <c r="D861" t="s">
        <v>11</v>
      </c>
    </row>
    <row r="862" spans="1:4" x14ac:dyDescent="0.2">
      <c r="A862">
        <v>147968</v>
      </c>
      <c r="B862" t="s">
        <v>15</v>
      </c>
      <c r="C862" t="s">
        <v>13</v>
      </c>
      <c r="D862" t="s">
        <v>11</v>
      </c>
    </row>
    <row r="863" spans="1:4" x14ac:dyDescent="0.2">
      <c r="A863">
        <v>135533</v>
      </c>
      <c r="B863" t="s">
        <v>15</v>
      </c>
      <c r="C863" t="s">
        <v>21</v>
      </c>
      <c r="D863" t="s">
        <v>18</v>
      </c>
    </row>
    <row r="864" spans="1:4" x14ac:dyDescent="0.2">
      <c r="A864">
        <v>175517</v>
      </c>
      <c r="B864" t="s">
        <v>23</v>
      </c>
      <c r="C864" t="s">
        <v>13</v>
      </c>
      <c r="D864" t="s">
        <v>11</v>
      </c>
    </row>
    <row r="865" spans="1:4" x14ac:dyDescent="0.2">
      <c r="A865">
        <v>194339</v>
      </c>
      <c r="B865" t="s">
        <v>12</v>
      </c>
      <c r="C865" t="s">
        <v>19</v>
      </c>
      <c r="D865" t="s">
        <v>11</v>
      </c>
    </row>
    <row r="866" spans="1:4" x14ac:dyDescent="0.2">
      <c r="A866">
        <v>181234</v>
      </c>
      <c r="B866" t="s">
        <v>23</v>
      </c>
      <c r="C866" t="s">
        <v>21</v>
      </c>
      <c r="D866" t="s">
        <v>18</v>
      </c>
    </row>
    <row r="867" spans="1:4" x14ac:dyDescent="0.2">
      <c r="A867">
        <v>128647</v>
      </c>
      <c r="B867" t="s">
        <v>23</v>
      </c>
      <c r="C867" t="s">
        <v>19</v>
      </c>
      <c r="D867" t="s">
        <v>11</v>
      </c>
    </row>
    <row r="868" spans="1:4" x14ac:dyDescent="0.2">
      <c r="A868">
        <v>178865</v>
      </c>
      <c r="B868" t="s">
        <v>12</v>
      </c>
      <c r="C868" t="s">
        <v>13</v>
      </c>
      <c r="D868" t="s">
        <v>18</v>
      </c>
    </row>
    <row r="869" spans="1:4" x14ac:dyDescent="0.2">
      <c r="A869">
        <v>131452</v>
      </c>
      <c r="B869" t="s">
        <v>12</v>
      </c>
      <c r="C869" t="s">
        <v>21</v>
      </c>
      <c r="D869" t="s">
        <v>11</v>
      </c>
    </row>
    <row r="870" spans="1:4" x14ac:dyDescent="0.2">
      <c r="A870">
        <v>146158</v>
      </c>
      <c r="B870" t="s">
        <v>12</v>
      </c>
      <c r="C870" t="s">
        <v>13</v>
      </c>
      <c r="D870" t="s">
        <v>18</v>
      </c>
    </row>
    <row r="871" spans="1:4" x14ac:dyDescent="0.2">
      <c r="A871">
        <v>144475</v>
      </c>
      <c r="B871" t="s">
        <v>12</v>
      </c>
      <c r="C871" t="s">
        <v>19</v>
      </c>
      <c r="D871" t="s">
        <v>11</v>
      </c>
    </row>
    <row r="872" spans="1:4" x14ac:dyDescent="0.2">
      <c r="A872">
        <v>120176</v>
      </c>
      <c r="B872" t="s">
        <v>12</v>
      </c>
      <c r="C872" t="s">
        <v>16</v>
      </c>
      <c r="D872" t="s">
        <v>11</v>
      </c>
    </row>
    <row r="873" spans="1:4" x14ac:dyDescent="0.2">
      <c r="A873">
        <v>156007</v>
      </c>
      <c r="B873" t="s">
        <v>15</v>
      </c>
      <c r="C873" t="s">
        <v>21</v>
      </c>
      <c r="D873" t="s">
        <v>18</v>
      </c>
    </row>
    <row r="874" spans="1:4" x14ac:dyDescent="0.2">
      <c r="A874">
        <v>138628</v>
      </c>
      <c r="B874" t="s">
        <v>15</v>
      </c>
      <c r="C874" t="s">
        <v>13</v>
      </c>
      <c r="D874" t="s">
        <v>11</v>
      </c>
    </row>
    <row r="875" spans="1:4" x14ac:dyDescent="0.2">
      <c r="A875">
        <v>178302</v>
      </c>
      <c r="B875" t="s">
        <v>12</v>
      </c>
      <c r="C875" t="s">
        <v>19</v>
      </c>
      <c r="D875" t="s">
        <v>18</v>
      </c>
    </row>
    <row r="876" spans="1:4" x14ac:dyDescent="0.2">
      <c r="A876">
        <v>144073</v>
      </c>
      <c r="B876" t="s">
        <v>12</v>
      </c>
      <c r="C876" t="s">
        <v>19</v>
      </c>
      <c r="D876" t="s">
        <v>11</v>
      </c>
    </row>
    <row r="877" spans="1:4" x14ac:dyDescent="0.2">
      <c r="A877">
        <v>186997</v>
      </c>
      <c r="B877" t="s">
        <v>15</v>
      </c>
      <c r="C877" t="s">
        <v>21</v>
      </c>
      <c r="D877" t="s">
        <v>18</v>
      </c>
    </row>
    <row r="878" spans="1:4" x14ac:dyDescent="0.2">
      <c r="A878">
        <v>173396</v>
      </c>
      <c r="B878" t="s">
        <v>15</v>
      </c>
      <c r="C878" t="s">
        <v>13</v>
      </c>
      <c r="D878" t="s">
        <v>11</v>
      </c>
    </row>
    <row r="879" spans="1:4" x14ac:dyDescent="0.2">
      <c r="A879">
        <v>115038</v>
      </c>
      <c r="B879" t="s">
        <v>15</v>
      </c>
      <c r="C879" t="s">
        <v>21</v>
      </c>
      <c r="D879" t="s">
        <v>11</v>
      </c>
    </row>
    <row r="880" spans="1:4" x14ac:dyDescent="0.2">
      <c r="A880">
        <v>151967</v>
      </c>
      <c r="B880" t="s">
        <v>12</v>
      </c>
      <c r="C880" t="s">
        <v>19</v>
      </c>
      <c r="D880" t="s">
        <v>18</v>
      </c>
    </row>
    <row r="881" spans="1:4" x14ac:dyDescent="0.2">
      <c r="A881">
        <v>170937</v>
      </c>
      <c r="B881" t="s">
        <v>15</v>
      </c>
      <c r="C881" t="s">
        <v>19</v>
      </c>
      <c r="D881" t="s">
        <v>11</v>
      </c>
    </row>
    <row r="882" spans="1:4" x14ac:dyDescent="0.2">
      <c r="A882">
        <v>176947</v>
      </c>
      <c r="B882" t="s">
        <v>23</v>
      </c>
      <c r="C882" t="s">
        <v>19</v>
      </c>
      <c r="D882" t="s">
        <v>18</v>
      </c>
    </row>
    <row r="883" spans="1:4" x14ac:dyDescent="0.2">
      <c r="A883">
        <v>181067</v>
      </c>
      <c r="B883" t="s">
        <v>12</v>
      </c>
      <c r="C883" t="s">
        <v>16</v>
      </c>
      <c r="D883" t="s">
        <v>11</v>
      </c>
    </row>
    <row r="884" spans="1:4" x14ac:dyDescent="0.2">
      <c r="A884">
        <v>192831</v>
      </c>
      <c r="B884" t="s">
        <v>15</v>
      </c>
      <c r="C884" t="s">
        <v>19</v>
      </c>
      <c r="D884" t="s">
        <v>18</v>
      </c>
    </row>
    <row r="885" spans="1:4" x14ac:dyDescent="0.2">
      <c r="A885">
        <v>119838</v>
      </c>
      <c r="B885" t="s">
        <v>12</v>
      </c>
      <c r="C885" t="s">
        <v>21</v>
      </c>
      <c r="D885" t="s">
        <v>18</v>
      </c>
    </row>
    <row r="886" spans="1:4" x14ac:dyDescent="0.2">
      <c r="A886">
        <v>151923</v>
      </c>
      <c r="B886" t="s">
        <v>12</v>
      </c>
      <c r="C886" t="s">
        <v>13</v>
      </c>
      <c r="D886" t="s">
        <v>18</v>
      </c>
    </row>
    <row r="887" spans="1:4" x14ac:dyDescent="0.2">
      <c r="A887">
        <v>186652</v>
      </c>
      <c r="B887" t="s">
        <v>12</v>
      </c>
      <c r="C887" t="s">
        <v>21</v>
      </c>
      <c r="D887" t="s">
        <v>18</v>
      </c>
    </row>
    <row r="888" spans="1:4" x14ac:dyDescent="0.2">
      <c r="A888">
        <v>169576</v>
      </c>
      <c r="B888" t="s">
        <v>12</v>
      </c>
      <c r="C888" t="s">
        <v>16</v>
      </c>
      <c r="D888" t="s">
        <v>18</v>
      </c>
    </row>
    <row r="889" spans="1:4" x14ac:dyDescent="0.2">
      <c r="A889">
        <v>180911</v>
      </c>
      <c r="B889" t="s">
        <v>15</v>
      </c>
      <c r="C889" t="s">
        <v>13</v>
      </c>
      <c r="D889" t="s">
        <v>11</v>
      </c>
    </row>
    <row r="890" spans="1:4" x14ac:dyDescent="0.2">
      <c r="A890">
        <v>133294</v>
      </c>
      <c r="B890" t="s">
        <v>12</v>
      </c>
      <c r="C890" t="s">
        <v>19</v>
      </c>
      <c r="D890" t="s">
        <v>18</v>
      </c>
    </row>
    <row r="891" spans="1:4" x14ac:dyDescent="0.2">
      <c r="A891">
        <v>135689</v>
      </c>
      <c r="B891" t="s">
        <v>12</v>
      </c>
      <c r="C891" t="s">
        <v>13</v>
      </c>
      <c r="D891" t="s">
        <v>18</v>
      </c>
    </row>
    <row r="892" spans="1:4" x14ac:dyDescent="0.2">
      <c r="A892">
        <v>190951</v>
      </c>
      <c r="B892" t="s">
        <v>23</v>
      </c>
      <c r="C892" t="s">
        <v>16</v>
      </c>
      <c r="D892" t="s">
        <v>11</v>
      </c>
    </row>
    <row r="893" spans="1:4" x14ac:dyDescent="0.2">
      <c r="A893">
        <v>163002</v>
      </c>
      <c r="B893" t="s">
        <v>23</v>
      </c>
      <c r="C893" t="s">
        <v>19</v>
      </c>
      <c r="D893" t="s">
        <v>18</v>
      </c>
    </row>
    <row r="894" spans="1:4" x14ac:dyDescent="0.2">
      <c r="A894">
        <v>190010</v>
      </c>
      <c r="B894" t="s">
        <v>12</v>
      </c>
      <c r="C894" t="s">
        <v>21</v>
      </c>
      <c r="D894" t="s">
        <v>18</v>
      </c>
    </row>
    <row r="895" spans="1:4" x14ac:dyDescent="0.2">
      <c r="A895">
        <v>177516</v>
      </c>
      <c r="B895" t="s">
        <v>15</v>
      </c>
      <c r="C895" t="s">
        <v>13</v>
      </c>
      <c r="D895" t="s">
        <v>11</v>
      </c>
    </row>
    <row r="896" spans="1:4" x14ac:dyDescent="0.2">
      <c r="A896">
        <v>113847</v>
      </c>
      <c r="B896" t="s">
        <v>23</v>
      </c>
      <c r="C896" t="s">
        <v>13</v>
      </c>
      <c r="D896" t="s">
        <v>11</v>
      </c>
    </row>
    <row r="897" spans="1:4" x14ac:dyDescent="0.2">
      <c r="A897">
        <v>114370</v>
      </c>
      <c r="B897" t="s">
        <v>12</v>
      </c>
      <c r="C897" t="s">
        <v>21</v>
      </c>
      <c r="D897" t="s">
        <v>18</v>
      </c>
    </row>
    <row r="898" spans="1:4" x14ac:dyDescent="0.2">
      <c r="A898">
        <v>154002</v>
      </c>
      <c r="B898" t="s">
        <v>23</v>
      </c>
      <c r="C898" t="s">
        <v>13</v>
      </c>
      <c r="D898" t="s">
        <v>18</v>
      </c>
    </row>
    <row r="899" spans="1:4" x14ac:dyDescent="0.2">
      <c r="A899">
        <v>125057</v>
      </c>
      <c r="B899" t="s">
        <v>12</v>
      </c>
      <c r="C899" t="s">
        <v>21</v>
      </c>
      <c r="D899" t="s">
        <v>18</v>
      </c>
    </row>
    <row r="900" spans="1:4" x14ac:dyDescent="0.2">
      <c r="A900">
        <v>159070</v>
      </c>
      <c r="B900" t="s">
        <v>23</v>
      </c>
      <c r="C900" t="s">
        <v>21</v>
      </c>
      <c r="D900" t="s">
        <v>11</v>
      </c>
    </row>
    <row r="901" spans="1:4" x14ac:dyDescent="0.2">
      <c r="A901">
        <v>167705</v>
      </c>
      <c r="B901" t="s">
        <v>12</v>
      </c>
      <c r="C901" t="s">
        <v>13</v>
      </c>
      <c r="D901" t="s">
        <v>18</v>
      </c>
    </row>
    <row r="902" spans="1:4" x14ac:dyDescent="0.2">
      <c r="A902">
        <v>177177</v>
      </c>
      <c r="B902" t="s">
        <v>23</v>
      </c>
      <c r="C902" t="s">
        <v>21</v>
      </c>
      <c r="D902" t="s">
        <v>18</v>
      </c>
    </row>
    <row r="903" spans="1:4" x14ac:dyDescent="0.2">
      <c r="A903">
        <v>192619</v>
      </c>
      <c r="B903" t="s">
        <v>23</v>
      </c>
      <c r="C903" t="s">
        <v>21</v>
      </c>
      <c r="D903" t="s">
        <v>18</v>
      </c>
    </row>
    <row r="904" spans="1:4" x14ac:dyDescent="0.2">
      <c r="A904">
        <v>121605</v>
      </c>
      <c r="B904" t="s">
        <v>15</v>
      </c>
      <c r="C904" t="s">
        <v>19</v>
      </c>
      <c r="D904" t="s">
        <v>11</v>
      </c>
    </row>
    <row r="905" spans="1:4" x14ac:dyDescent="0.2">
      <c r="A905">
        <v>149245</v>
      </c>
      <c r="B905" t="s">
        <v>23</v>
      </c>
      <c r="C905" t="s">
        <v>21</v>
      </c>
      <c r="D905" t="s">
        <v>11</v>
      </c>
    </row>
    <row r="906" spans="1:4" x14ac:dyDescent="0.2">
      <c r="A906">
        <v>194369</v>
      </c>
      <c r="B906" t="s">
        <v>23</v>
      </c>
      <c r="C906" t="s">
        <v>21</v>
      </c>
      <c r="D906" t="s">
        <v>11</v>
      </c>
    </row>
    <row r="907" spans="1:4" x14ac:dyDescent="0.2">
      <c r="A907">
        <v>135894</v>
      </c>
      <c r="B907" t="s">
        <v>15</v>
      </c>
      <c r="C907" t="s">
        <v>13</v>
      </c>
      <c r="D907" t="s">
        <v>18</v>
      </c>
    </row>
    <row r="908" spans="1:4" x14ac:dyDescent="0.2">
      <c r="A908">
        <v>127177</v>
      </c>
      <c r="B908" t="s">
        <v>12</v>
      </c>
      <c r="C908" t="s">
        <v>13</v>
      </c>
      <c r="D908" t="s">
        <v>18</v>
      </c>
    </row>
    <row r="909" spans="1:4" x14ac:dyDescent="0.2">
      <c r="A909">
        <v>144780</v>
      </c>
      <c r="B909" t="s">
        <v>23</v>
      </c>
      <c r="C909" t="s">
        <v>13</v>
      </c>
      <c r="D909" t="s">
        <v>18</v>
      </c>
    </row>
    <row r="910" spans="1:4" x14ac:dyDescent="0.2">
      <c r="A910">
        <v>189870</v>
      </c>
      <c r="B910" t="s">
        <v>15</v>
      </c>
      <c r="C910" t="s">
        <v>19</v>
      </c>
      <c r="D910" t="s">
        <v>18</v>
      </c>
    </row>
    <row r="911" spans="1:4" x14ac:dyDescent="0.2">
      <c r="A911">
        <v>179236</v>
      </c>
      <c r="B911" t="s">
        <v>12</v>
      </c>
      <c r="C911" t="s">
        <v>13</v>
      </c>
      <c r="D911" t="s">
        <v>18</v>
      </c>
    </row>
    <row r="912" spans="1:4" x14ac:dyDescent="0.2">
      <c r="A912">
        <v>134887</v>
      </c>
      <c r="B912" t="s">
        <v>15</v>
      </c>
      <c r="C912" t="s">
        <v>16</v>
      </c>
      <c r="D912" t="s">
        <v>11</v>
      </c>
    </row>
    <row r="913" spans="1:4" x14ac:dyDescent="0.2">
      <c r="A913">
        <v>190184</v>
      </c>
      <c r="B913" t="s">
        <v>15</v>
      </c>
      <c r="C913" t="s">
        <v>21</v>
      </c>
      <c r="D913" t="s">
        <v>11</v>
      </c>
    </row>
    <row r="914" spans="1:4" x14ac:dyDescent="0.2">
      <c r="A914">
        <v>115318</v>
      </c>
      <c r="B914" t="s">
        <v>23</v>
      </c>
      <c r="C914" t="s">
        <v>21</v>
      </c>
      <c r="D914" t="s">
        <v>11</v>
      </c>
    </row>
    <row r="915" spans="1:4" x14ac:dyDescent="0.2">
      <c r="A915">
        <v>161907</v>
      </c>
      <c r="B915" t="s">
        <v>12</v>
      </c>
      <c r="C915" t="s">
        <v>19</v>
      </c>
      <c r="D915" t="s">
        <v>11</v>
      </c>
    </row>
    <row r="916" spans="1:4" x14ac:dyDescent="0.2">
      <c r="A916">
        <v>155997</v>
      </c>
      <c r="B916" t="s">
        <v>15</v>
      </c>
      <c r="C916" t="s">
        <v>21</v>
      </c>
      <c r="D916" t="s">
        <v>18</v>
      </c>
    </row>
    <row r="917" spans="1:4" x14ac:dyDescent="0.2">
      <c r="A917">
        <v>166744</v>
      </c>
      <c r="B917" t="s">
        <v>12</v>
      </c>
      <c r="C917" t="s">
        <v>13</v>
      </c>
      <c r="D917" t="s">
        <v>11</v>
      </c>
    </row>
    <row r="918" spans="1:4" x14ac:dyDescent="0.2">
      <c r="A918">
        <v>129858</v>
      </c>
      <c r="B918" t="s">
        <v>23</v>
      </c>
      <c r="C918" t="s">
        <v>21</v>
      </c>
      <c r="D918" t="s">
        <v>18</v>
      </c>
    </row>
    <row r="919" spans="1:4" x14ac:dyDescent="0.2">
      <c r="A919">
        <v>158908</v>
      </c>
      <c r="B919" t="s">
        <v>23</v>
      </c>
      <c r="C919" t="s">
        <v>16</v>
      </c>
      <c r="D919" t="s">
        <v>18</v>
      </c>
    </row>
    <row r="920" spans="1:4" x14ac:dyDescent="0.2">
      <c r="A920">
        <v>192048</v>
      </c>
      <c r="B920" t="s">
        <v>23</v>
      </c>
      <c r="C920" t="s">
        <v>19</v>
      </c>
      <c r="D920" t="s">
        <v>11</v>
      </c>
    </row>
    <row r="921" spans="1:4" x14ac:dyDescent="0.2">
      <c r="A921">
        <v>136294</v>
      </c>
      <c r="B921" t="s">
        <v>15</v>
      </c>
      <c r="C921" t="s">
        <v>21</v>
      </c>
      <c r="D921" t="s">
        <v>11</v>
      </c>
    </row>
    <row r="922" spans="1:4" x14ac:dyDescent="0.2">
      <c r="A922">
        <v>193043</v>
      </c>
      <c r="B922" t="s">
        <v>15</v>
      </c>
      <c r="C922" t="s">
        <v>13</v>
      </c>
      <c r="D922" t="s">
        <v>11</v>
      </c>
    </row>
    <row r="923" spans="1:4" x14ac:dyDescent="0.2">
      <c r="A923">
        <v>192787</v>
      </c>
      <c r="B923" t="s">
        <v>12</v>
      </c>
      <c r="C923" t="s">
        <v>16</v>
      </c>
      <c r="D923" t="s">
        <v>18</v>
      </c>
    </row>
    <row r="924" spans="1:4" x14ac:dyDescent="0.2">
      <c r="A924">
        <v>119150</v>
      </c>
      <c r="B924" t="s">
        <v>23</v>
      </c>
      <c r="C924" t="s">
        <v>21</v>
      </c>
      <c r="D924" t="s">
        <v>11</v>
      </c>
    </row>
    <row r="925" spans="1:4" x14ac:dyDescent="0.2">
      <c r="A925">
        <v>115266</v>
      </c>
      <c r="B925" t="s">
        <v>15</v>
      </c>
      <c r="C925" t="s">
        <v>13</v>
      </c>
      <c r="D925" t="s">
        <v>11</v>
      </c>
    </row>
    <row r="926" spans="1:4" x14ac:dyDescent="0.2">
      <c r="A926">
        <v>121186</v>
      </c>
      <c r="B926" t="s">
        <v>12</v>
      </c>
      <c r="C926" t="s">
        <v>19</v>
      </c>
      <c r="D926" t="s">
        <v>11</v>
      </c>
    </row>
    <row r="927" spans="1:4" x14ac:dyDescent="0.2">
      <c r="A927">
        <v>144385</v>
      </c>
      <c r="B927" t="s">
        <v>23</v>
      </c>
      <c r="C927" t="s">
        <v>13</v>
      </c>
      <c r="D927" t="s">
        <v>11</v>
      </c>
    </row>
    <row r="928" spans="1:4" x14ac:dyDescent="0.2">
      <c r="A928">
        <v>161594</v>
      </c>
      <c r="B928" t="s">
        <v>15</v>
      </c>
      <c r="C928" t="s">
        <v>21</v>
      </c>
      <c r="D928" t="s">
        <v>18</v>
      </c>
    </row>
    <row r="929" spans="1:4" x14ac:dyDescent="0.2">
      <c r="A929">
        <v>114320</v>
      </c>
      <c r="B929" t="s">
        <v>15</v>
      </c>
      <c r="C929" t="s">
        <v>21</v>
      </c>
      <c r="D929" t="s">
        <v>18</v>
      </c>
    </row>
    <row r="930" spans="1:4" x14ac:dyDescent="0.2">
      <c r="A930">
        <v>167648</v>
      </c>
      <c r="B930" t="s">
        <v>23</v>
      </c>
      <c r="C930" t="s">
        <v>19</v>
      </c>
      <c r="D930" t="s">
        <v>11</v>
      </c>
    </row>
    <row r="931" spans="1:4" x14ac:dyDescent="0.2">
      <c r="A931">
        <v>198500</v>
      </c>
      <c r="B931" t="s">
        <v>12</v>
      </c>
      <c r="C931" t="s">
        <v>21</v>
      </c>
      <c r="D931" t="s">
        <v>18</v>
      </c>
    </row>
    <row r="932" spans="1:4" x14ac:dyDescent="0.2">
      <c r="A932">
        <v>120916</v>
      </c>
      <c r="B932" t="s">
        <v>15</v>
      </c>
      <c r="C932" t="s">
        <v>13</v>
      </c>
      <c r="D932" t="s">
        <v>11</v>
      </c>
    </row>
    <row r="933" spans="1:4" x14ac:dyDescent="0.2">
      <c r="A933">
        <v>180422</v>
      </c>
      <c r="B933" t="s">
        <v>12</v>
      </c>
      <c r="C933" t="s">
        <v>16</v>
      </c>
      <c r="D933" t="s">
        <v>18</v>
      </c>
    </row>
    <row r="934" spans="1:4" x14ac:dyDescent="0.2">
      <c r="A934">
        <v>136977</v>
      </c>
      <c r="B934" t="s">
        <v>15</v>
      </c>
      <c r="C934" t="s">
        <v>21</v>
      </c>
      <c r="D934" t="s">
        <v>18</v>
      </c>
    </row>
    <row r="935" spans="1:4" x14ac:dyDescent="0.2">
      <c r="A935">
        <v>145902</v>
      </c>
      <c r="B935" t="s">
        <v>23</v>
      </c>
      <c r="C935" t="s">
        <v>19</v>
      </c>
      <c r="D935" t="s">
        <v>18</v>
      </c>
    </row>
    <row r="936" spans="1:4" x14ac:dyDescent="0.2">
      <c r="A936">
        <v>135734</v>
      </c>
      <c r="B936" t="s">
        <v>23</v>
      </c>
      <c r="C936" t="s">
        <v>16</v>
      </c>
      <c r="D936" t="s">
        <v>18</v>
      </c>
    </row>
    <row r="937" spans="1:4" x14ac:dyDescent="0.2">
      <c r="A937">
        <v>153230</v>
      </c>
      <c r="B937" t="s">
        <v>15</v>
      </c>
      <c r="C937" t="s">
        <v>16</v>
      </c>
      <c r="D937" t="s">
        <v>11</v>
      </c>
    </row>
    <row r="938" spans="1:4" x14ac:dyDescent="0.2">
      <c r="A938">
        <v>153722</v>
      </c>
      <c r="B938" t="s">
        <v>12</v>
      </c>
      <c r="C938" t="s">
        <v>16</v>
      </c>
      <c r="D938" t="s">
        <v>11</v>
      </c>
    </row>
    <row r="939" spans="1:4" x14ac:dyDescent="0.2">
      <c r="A939">
        <v>147361</v>
      </c>
      <c r="B939" t="s">
        <v>15</v>
      </c>
      <c r="C939" t="s">
        <v>16</v>
      </c>
      <c r="D939" t="s">
        <v>11</v>
      </c>
    </row>
    <row r="940" spans="1:4" x14ac:dyDescent="0.2">
      <c r="A940">
        <v>158227</v>
      </c>
      <c r="B940" t="s">
        <v>23</v>
      </c>
      <c r="C940" t="s">
        <v>13</v>
      </c>
      <c r="D940" t="s">
        <v>11</v>
      </c>
    </row>
    <row r="941" spans="1:4" x14ac:dyDescent="0.2">
      <c r="A941">
        <v>197123</v>
      </c>
      <c r="B941" t="s">
        <v>23</v>
      </c>
      <c r="C941" t="s">
        <v>21</v>
      </c>
      <c r="D941" t="s">
        <v>18</v>
      </c>
    </row>
    <row r="942" spans="1:4" x14ac:dyDescent="0.2">
      <c r="A942">
        <v>140321</v>
      </c>
      <c r="B942" t="s">
        <v>23</v>
      </c>
      <c r="C942" t="s">
        <v>16</v>
      </c>
      <c r="D942" t="s">
        <v>11</v>
      </c>
    </row>
    <row r="943" spans="1:4" x14ac:dyDescent="0.2">
      <c r="A943">
        <v>177510</v>
      </c>
      <c r="B943" t="s">
        <v>23</v>
      </c>
      <c r="C943" t="s">
        <v>19</v>
      </c>
      <c r="D943" t="s">
        <v>18</v>
      </c>
    </row>
    <row r="944" spans="1:4" x14ac:dyDescent="0.2">
      <c r="A944">
        <v>135786</v>
      </c>
      <c r="B944" t="s">
        <v>12</v>
      </c>
      <c r="C944" t="s">
        <v>16</v>
      </c>
      <c r="D944" t="s">
        <v>18</v>
      </c>
    </row>
    <row r="945" spans="1:4" x14ac:dyDescent="0.2">
      <c r="A945">
        <v>184980</v>
      </c>
      <c r="B945" t="s">
        <v>12</v>
      </c>
      <c r="C945" t="s">
        <v>16</v>
      </c>
      <c r="D945" t="s">
        <v>18</v>
      </c>
    </row>
    <row r="946" spans="1:4" x14ac:dyDescent="0.2">
      <c r="A946">
        <v>152671</v>
      </c>
      <c r="B946" t="s">
        <v>23</v>
      </c>
      <c r="C946" t="s">
        <v>13</v>
      </c>
      <c r="D946" t="s">
        <v>18</v>
      </c>
    </row>
    <row r="947" spans="1:4" x14ac:dyDescent="0.2">
      <c r="A947">
        <v>155722</v>
      </c>
      <c r="B947" t="s">
        <v>23</v>
      </c>
      <c r="C947" t="s">
        <v>13</v>
      </c>
      <c r="D947" t="s">
        <v>18</v>
      </c>
    </row>
    <row r="948" spans="1:4" x14ac:dyDescent="0.2">
      <c r="A948">
        <v>171570</v>
      </c>
      <c r="B948" t="s">
        <v>23</v>
      </c>
      <c r="C948" t="s">
        <v>16</v>
      </c>
      <c r="D948" t="s">
        <v>18</v>
      </c>
    </row>
    <row r="949" spans="1:4" x14ac:dyDescent="0.2">
      <c r="A949">
        <v>181417</v>
      </c>
      <c r="B949" t="s">
        <v>12</v>
      </c>
      <c r="C949" t="s">
        <v>19</v>
      </c>
      <c r="D949" t="s">
        <v>18</v>
      </c>
    </row>
    <row r="950" spans="1:4" x14ac:dyDescent="0.2">
      <c r="A950">
        <v>157514</v>
      </c>
      <c r="B950" t="s">
        <v>12</v>
      </c>
      <c r="C950" t="s">
        <v>21</v>
      </c>
      <c r="D950" t="s">
        <v>11</v>
      </c>
    </row>
    <row r="951" spans="1:4" x14ac:dyDescent="0.2">
      <c r="A951">
        <v>170515</v>
      </c>
      <c r="B951" t="s">
        <v>15</v>
      </c>
      <c r="C951" t="s">
        <v>13</v>
      </c>
      <c r="D951" t="s">
        <v>11</v>
      </c>
    </row>
    <row r="952" spans="1:4" x14ac:dyDescent="0.2">
      <c r="A952">
        <v>179736</v>
      </c>
      <c r="B952" t="s">
        <v>23</v>
      </c>
      <c r="C952" t="s">
        <v>19</v>
      </c>
      <c r="D952" t="s">
        <v>11</v>
      </c>
    </row>
    <row r="953" spans="1:4" x14ac:dyDescent="0.2">
      <c r="A953">
        <v>137969</v>
      </c>
      <c r="B953" t="s">
        <v>23</v>
      </c>
      <c r="C953" t="s">
        <v>13</v>
      </c>
      <c r="D953" t="s">
        <v>11</v>
      </c>
    </row>
    <row r="954" spans="1:4" x14ac:dyDescent="0.2">
      <c r="A954">
        <v>146503</v>
      </c>
      <c r="B954" t="s">
        <v>23</v>
      </c>
      <c r="C954" t="s">
        <v>19</v>
      </c>
      <c r="D954" t="s">
        <v>18</v>
      </c>
    </row>
    <row r="955" spans="1:4" x14ac:dyDescent="0.2">
      <c r="A955">
        <v>115333</v>
      </c>
      <c r="B955" t="s">
        <v>23</v>
      </c>
      <c r="C955" t="s">
        <v>16</v>
      </c>
      <c r="D955" t="s">
        <v>11</v>
      </c>
    </row>
    <row r="956" spans="1:4" x14ac:dyDescent="0.2">
      <c r="A956">
        <v>162808</v>
      </c>
      <c r="B956" t="s">
        <v>15</v>
      </c>
      <c r="C956" t="s">
        <v>19</v>
      </c>
      <c r="D956" t="s">
        <v>18</v>
      </c>
    </row>
    <row r="957" spans="1:4" x14ac:dyDescent="0.2">
      <c r="A957">
        <v>114390</v>
      </c>
      <c r="B957" t="s">
        <v>15</v>
      </c>
      <c r="C957" t="s">
        <v>19</v>
      </c>
      <c r="D957" t="s">
        <v>11</v>
      </c>
    </row>
    <row r="958" spans="1:4" x14ac:dyDescent="0.2">
      <c r="A958">
        <v>154882</v>
      </c>
      <c r="B958" t="s">
        <v>15</v>
      </c>
      <c r="C958" t="s">
        <v>21</v>
      </c>
      <c r="D958" t="s">
        <v>11</v>
      </c>
    </row>
    <row r="959" spans="1:4" x14ac:dyDescent="0.2">
      <c r="A959">
        <v>148460</v>
      </c>
      <c r="B959" t="s">
        <v>12</v>
      </c>
      <c r="C959" t="s">
        <v>21</v>
      </c>
      <c r="D959" t="s">
        <v>11</v>
      </c>
    </row>
    <row r="960" spans="1:4" x14ac:dyDescent="0.2">
      <c r="A960">
        <v>188481</v>
      </c>
      <c r="B960" t="s">
        <v>23</v>
      </c>
      <c r="C960" t="s">
        <v>19</v>
      </c>
      <c r="D960" t="s">
        <v>18</v>
      </c>
    </row>
    <row r="961" spans="1:4" x14ac:dyDescent="0.2">
      <c r="A961">
        <v>197435</v>
      </c>
      <c r="B961" t="s">
        <v>12</v>
      </c>
      <c r="C961" t="s">
        <v>19</v>
      </c>
      <c r="D961" t="s">
        <v>11</v>
      </c>
    </row>
    <row r="962" spans="1:4" x14ac:dyDescent="0.2">
      <c r="A962">
        <v>157169</v>
      </c>
      <c r="B962" t="s">
        <v>15</v>
      </c>
      <c r="C962" t="s">
        <v>19</v>
      </c>
      <c r="D962" t="s">
        <v>11</v>
      </c>
    </row>
    <row r="963" spans="1:4" x14ac:dyDescent="0.2">
      <c r="A963">
        <v>184945</v>
      </c>
      <c r="B963" t="s">
        <v>15</v>
      </c>
      <c r="C963" t="s">
        <v>13</v>
      </c>
      <c r="D963" t="s">
        <v>18</v>
      </c>
    </row>
    <row r="964" spans="1:4" x14ac:dyDescent="0.2">
      <c r="A964">
        <v>140927</v>
      </c>
      <c r="B964" t="s">
        <v>15</v>
      </c>
      <c r="C964" t="s">
        <v>19</v>
      </c>
      <c r="D964" t="s">
        <v>11</v>
      </c>
    </row>
    <row r="965" spans="1:4" x14ac:dyDescent="0.2">
      <c r="A965">
        <v>174621</v>
      </c>
      <c r="B965" t="s">
        <v>12</v>
      </c>
      <c r="C965" t="s">
        <v>13</v>
      </c>
      <c r="D965" t="s">
        <v>11</v>
      </c>
    </row>
    <row r="966" spans="1:4" x14ac:dyDescent="0.2">
      <c r="A966">
        <v>137475</v>
      </c>
      <c r="B966" t="s">
        <v>15</v>
      </c>
      <c r="C966" t="s">
        <v>21</v>
      </c>
      <c r="D966" t="s">
        <v>11</v>
      </c>
    </row>
    <row r="967" spans="1:4" x14ac:dyDescent="0.2">
      <c r="A967">
        <v>184176</v>
      </c>
      <c r="B967" t="s">
        <v>12</v>
      </c>
      <c r="C967" t="s">
        <v>13</v>
      </c>
      <c r="D967" t="s">
        <v>18</v>
      </c>
    </row>
    <row r="968" spans="1:4" x14ac:dyDescent="0.2">
      <c r="A968">
        <v>149169</v>
      </c>
      <c r="B968" t="s">
        <v>12</v>
      </c>
      <c r="C968" t="s">
        <v>21</v>
      </c>
      <c r="D968" t="s">
        <v>18</v>
      </c>
    </row>
    <row r="969" spans="1:4" x14ac:dyDescent="0.2">
      <c r="A969">
        <v>126549</v>
      </c>
      <c r="B969" t="s">
        <v>15</v>
      </c>
      <c r="C969" t="s">
        <v>21</v>
      </c>
      <c r="D969" t="s">
        <v>18</v>
      </c>
    </row>
    <row r="970" spans="1:4" x14ac:dyDescent="0.2">
      <c r="A970">
        <v>138995</v>
      </c>
      <c r="B970" t="s">
        <v>23</v>
      </c>
      <c r="C970" t="s">
        <v>19</v>
      </c>
      <c r="D970" t="s">
        <v>11</v>
      </c>
    </row>
    <row r="971" spans="1:4" x14ac:dyDescent="0.2">
      <c r="A971">
        <v>110220</v>
      </c>
      <c r="B971" t="s">
        <v>15</v>
      </c>
      <c r="C971" t="s">
        <v>16</v>
      </c>
      <c r="D971" t="s">
        <v>18</v>
      </c>
    </row>
    <row r="972" spans="1:4" x14ac:dyDescent="0.2">
      <c r="A972">
        <v>133770</v>
      </c>
      <c r="B972" t="s">
        <v>23</v>
      </c>
      <c r="C972" t="s">
        <v>21</v>
      </c>
      <c r="D972" t="s">
        <v>18</v>
      </c>
    </row>
    <row r="973" spans="1:4" x14ac:dyDescent="0.2">
      <c r="A973">
        <v>165819</v>
      </c>
      <c r="B973" t="s">
        <v>12</v>
      </c>
      <c r="C973" t="s">
        <v>13</v>
      </c>
      <c r="D973" t="s">
        <v>18</v>
      </c>
    </row>
    <row r="974" spans="1:4" x14ac:dyDescent="0.2">
      <c r="A974">
        <v>191957</v>
      </c>
      <c r="B974" t="s">
        <v>12</v>
      </c>
      <c r="C974" t="s">
        <v>21</v>
      </c>
      <c r="D974" t="s">
        <v>18</v>
      </c>
    </row>
    <row r="975" spans="1:4" x14ac:dyDescent="0.2">
      <c r="A975">
        <v>178701</v>
      </c>
      <c r="B975" t="s">
        <v>15</v>
      </c>
      <c r="C975" t="s">
        <v>19</v>
      </c>
      <c r="D975" t="s">
        <v>11</v>
      </c>
    </row>
    <row r="976" spans="1:4" x14ac:dyDescent="0.2">
      <c r="A976">
        <v>181111</v>
      </c>
      <c r="B976" t="s">
        <v>23</v>
      </c>
      <c r="C976" t="s">
        <v>13</v>
      </c>
      <c r="D976" t="s">
        <v>11</v>
      </c>
    </row>
    <row r="977" spans="1:4" x14ac:dyDescent="0.2">
      <c r="A977">
        <v>183252</v>
      </c>
      <c r="B977" t="s">
        <v>12</v>
      </c>
      <c r="C977" t="s">
        <v>19</v>
      </c>
      <c r="D977" t="s">
        <v>18</v>
      </c>
    </row>
    <row r="978" spans="1:4" x14ac:dyDescent="0.2">
      <c r="A978">
        <v>182755</v>
      </c>
      <c r="B978" t="s">
        <v>23</v>
      </c>
      <c r="C978" t="s">
        <v>19</v>
      </c>
      <c r="D978" t="s">
        <v>11</v>
      </c>
    </row>
    <row r="979" spans="1:4" x14ac:dyDescent="0.2">
      <c r="A979">
        <v>143247</v>
      </c>
      <c r="B979" t="s">
        <v>12</v>
      </c>
      <c r="C979" t="s">
        <v>13</v>
      </c>
      <c r="D979" t="s">
        <v>11</v>
      </c>
    </row>
    <row r="980" spans="1:4" x14ac:dyDescent="0.2">
      <c r="A980">
        <v>118346</v>
      </c>
      <c r="B980" t="s">
        <v>23</v>
      </c>
      <c r="C980" t="s">
        <v>16</v>
      </c>
      <c r="D980" t="s">
        <v>11</v>
      </c>
    </row>
    <row r="981" spans="1:4" x14ac:dyDescent="0.2">
      <c r="A981">
        <v>182563</v>
      </c>
      <c r="B981" t="s">
        <v>15</v>
      </c>
      <c r="C981" t="s">
        <v>13</v>
      </c>
      <c r="D981" t="s">
        <v>11</v>
      </c>
    </row>
    <row r="982" spans="1:4" x14ac:dyDescent="0.2">
      <c r="A982">
        <v>120300</v>
      </c>
      <c r="B982" t="s">
        <v>15</v>
      </c>
      <c r="C982" t="s">
        <v>19</v>
      </c>
      <c r="D982" t="s">
        <v>18</v>
      </c>
    </row>
    <row r="983" spans="1:4" x14ac:dyDescent="0.2">
      <c r="A983">
        <v>184596</v>
      </c>
      <c r="B983" t="s">
        <v>15</v>
      </c>
      <c r="C983" t="s">
        <v>19</v>
      </c>
      <c r="D983" t="s">
        <v>18</v>
      </c>
    </row>
    <row r="984" spans="1:4" x14ac:dyDescent="0.2">
      <c r="A984">
        <v>165690</v>
      </c>
      <c r="B984" t="s">
        <v>15</v>
      </c>
      <c r="C984" t="s">
        <v>21</v>
      </c>
      <c r="D984" t="s">
        <v>11</v>
      </c>
    </row>
    <row r="985" spans="1:4" x14ac:dyDescent="0.2">
      <c r="A985">
        <v>148366</v>
      </c>
      <c r="B985" t="s">
        <v>12</v>
      </c>
      <c r="C985" t="s">
        <v>16</v>
      </c>
      <c r="D985" t="s">
        <v>11</v>
      </c>
    </row>
    <row r="986" spans="1:4" x14ac:dyDescent="0.2">
      <c r="A986">
        <v>154931</v>
      </c>
      <c r="B986" t="s">
        <v>12</v>
      </c>
      <c r="C986" t="s">
        <v>13</v>
      </c>
      <c r="D986" t="s">
        <v>18</v>
      </c>
    </row>
    <row r="987" spans="1:4" x14ac:dyDescent="0.2">
      <c r="A987">
        <v>129915</v>
      </c>
      <c r="B987" t="s">
        <v>23</v>
      </c>
      <c r="C987" t="s">
        <v>16</v>
      </c>
      <c r="D987" t="s">
        <v>11</v>
      </c>
    </row>
    <row r="988" spans="1:4" x14ac:dyDescent="0.2">
      <c r="A988">
        <v>129854</v>
      </c>
      <c r="B988" t="s">
        <v>15</v>
      </c>
      <c r="C988" t="s">
        <v>13</v>
      </c>
      <c r="D988" t="s">
        <v>11</v>
      </c>
    </row>
    <row r="989" spans="1:4" x14ac:dyDescent="0.2">
      <c r="A989">
        <v>196418</v>
      </c>
      <c r="B989" t="s">
        <v>12</v>
      </c>
      <c r="C989" t="s">
        <v>16</v>
      </c>
      <c r="D989" t="s">
        <v>18</v>
      </c>
    </row>
    <row r="990" spans="1:4" x14ac:dyDescent="0.2">
      <c r="A990">
        <v>147140</v>
      </c>
      <c r="B990" t="s">
        <v>15</v>
      </c>
      <c r="C990" t="s">
        <v>16</v>
      </c>
      <c r="D990" t="s">
        <v>11</v>
      </c>
    </row>
    <row r="991" spans="1:4" x14ac:dyDescent="0.2">
      <c r="A991">
        <v>176622</v>
      </c>
      <c r="B991" t="s">
        <v>15</v>
      </c>
      <c r="C991" t="s">
        <v>19</v>
      </c>
      <c r="D991" t="s">
        <v>11</v>
      </c>
    </row>
    <row r="992" spans="1:4" x14ac:dyDescent="0.2">
      <c r="A992">
        <v>180566</v>
      </c>
      <c r="B992" t="s">
        <v>23</v>
      </c>
      <c r="C992" t="s">
        <v>21</v>
      </c>
      <c r="D992" t="s">
        <v>18</v>
      </c>
    </row>
    <row r="993" spans="1:4" x14ac:dyDescent="0.2">
      <c r="A993">
        <v>124273</v>
      </c>
      <c r="B993" t="s">
        <v>23</v>
      </c>
      <c r="C993" t="s">
        <v>19</v>
      </c>
      <c r="D993" t="s">
        <v>18</v>
      </c>
    </row>
    <row r="994" spans="1:4" x14ac:dyDescent="0.2">
      <c r="A994">
        <v>159902</v>
      </c>
      <c r="B994" t="s">
        <v>12</v>
      </c>
      <c r="C994" t="s">
        <v>16</v>
      </c>
      <c r="D994" t="s">
        <v>11</v>
      </c>
    </row>
    <row r="995" spans="1:4" x14ac:dyDescent="0.2">
      <c r="A995">
        <v>163182</v>
      </c>
      <c r="B995" t="s">
        <v>15</v>
      </c>
      <c r="C995" t="s">
        <v>16</v>
      </c>
      <c r="D995" t="s">
        <v>11</v>
      </c>
    </row>
    <row r="996" spans="1:4" x14ac:dyDescent="0.2">
      <c r="A996">
        <v>121303</v>
      </c>
      <c r="B996" t="s">
        <v>23</v>
      </c>
      <c r="C996" t="s">
        <v>19</v>
      </c>
      <c r="D996" t="s">
        <v>18</v>
      </c>
    </row>
    <row r="997" spans="1:4" x14ac:dyDescent="0.2">
      <c r="A997">
        <v>162658</v>
      </c>
      <c r="B997" t="s">
        <v>12</v>
      </c>
      <c r="C997" t="s">
        <v>13</v>
      </c>
      <c r="D997" t="s">
        <v>11</v>
      </c>
    </row>
    <row r="998" spans="1:4" x14ac:dyDescent="0.2">
      <c r="A998">
        <v>146858</v>
      </c>
      <c r="B998" t="s">
        <v>12</v>
      </c>
      <c r="C998" t="s">
        <v>21</v>
      </c>
      <c r="D998" t="s">
        <v>11</v>
      </c>
    </row>
    <row r="999" spans="1:4" x14ac:dyDescent="0.2">
      <c r="A999">
        <v>174565</v>
      </c>
      <c r="B999" t="s">
        <v>23</v>
      </c>
      <c r="C999" t="s">
        <v>16</v>
      </c>
      <c r="D999" t="s">
        <v>18</v>
      </c>
    </row>
    <row r="1000" spans="1:4" x14ac:dyDescent="0.2">
      <c r="A1000">
        <v>160629</v>
      </c>
      <c r="B1000" t="s">
        <v>12</v>
      </c>
      <c r="C1000" t="s">
        <v>16</v>
      </c>
      <c r="D1000" t="s">
        <v>11</v>
      </c>
    </row>
    <row r="1001" spans="1:4" x14ac:dyDescent="0.2">
      <c r="A1001">
        <v>150654</v>
      </c>
      <c r="B1001" t="s">
        <v>12</v>
      </c>
      <c r="C1001" t="s">
        <v>19</v>
      </c>
      <c r="D1001" t="s">
        <v>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7"/>
  <sheetViews>
    <sheetView zoomScaleNormal="125" workbookViewId="0">
      <selection activeCell="G1" sqref="G1:N9"/>
    </sheetView>
  </sheetViews>
  <sheetFormatPr baseColWidth="10" defaultRowHeight="16" x14ac:dyDescent="0.2"/>
  <cols>
    <col min="1" max="1" width="14.6640625" bestFit="1" customWidth="1"/>
    <col min="2" max="5" width="24.1640625" bestFit="1" customWidth="1"/>
    <col min="6" max="6" width="12.6640625" bestFit="1" customWidth="1"/>
  </cols>
  <sheetData>
    <row r="2" spans="1:6" x14ac:dyDescent="0.2">
      <c r="A2" s="4" t="s">
        <v>46</v>
      </c>
      <c r="B2" s="4" t="s">
        <v>25</v>
      </c>
    </row>
    <row r="3" spans="1:6" x14ac:dyDescent="0.2">
      <c r="A3" s="4" t="s">
        <v>5</v>
      </c>
      <c r="B3" t="s">
        <v>21</v>
      </c>
      <c r="C3" t="s">
        <v>13</v>
      </c>
      <c r="D3" t="s">
        <v>16</v>
      </c>
      <c r="E3" t="s">
        <v>19</v>
      </c>
      <c r="F3" t="s">
        <v>47</v>
      </c>
    </row>
    <row r="4" spans="1:6" x14ac:dyDescent="0.2">
      <c r="A4" t="s">
        <v>23</v>
      </c>
      <c r="B4" s="1">
        <v>74387.53</v>
      </c>
      <c r="C4" s="1">
        <v>456081.44999999995</v>
      </c>
      <c r="D4" s="1">
        <v>602293.02999999991</v>
      </c>
      <c r="E4" s="1">
        <v>340415.87</v>
      </c>
      <c r="F4" s="1">
        <v>1473177.88</v>
      </c>
    </row>
    <row r="5" spans="1:6" x14ac:dyDescent="0.2">
      <c r="A5" t="s">
        <v>12</v>
      </c>
      <c r="B5" s="1">
        <v>369684.17000000004</v>
      </c>
      <c r="C5" s="1">
        <v>278106.83</v>
      </c>
      <c r="D5" s="1">
        <v>320775.60000000003</v>
      </c>
      <c r="E5" s="1">
        <v>91373.8</v>
      </c>
      <c r="F5" s="1">
        <v>1059940.4000000001</v>
      </c>
    </row>
    <row r="6" spans="1:6" x14ac:dyDescent="0.2">
      <c r="A6" t="s">
        <v>15</v>
      </c>
      <c r="B6" s="1">
        <v>235726.94999999998</v>
      </c>
      <c r="C6" s="1">
        <v>261444.32</v>
      </c>
      <c r="D6" s="1">
        <v>348055.11</v>
      </c>
      <c r="E6" s="1">
        <v>556238.29</v>
      </c>
      <c r="F6" s="1">
        <v>1401464.67</v>
      </c>
    </row>
    <row r="7" spans="1:6" x14ac:dyDescent="0.2">
      <c r="A7" t="s">
        <v>47</v>
      </c>
      <c r="B7" s="1">
        <v>679798.65</v>
      </c>
      <c r="C7" s="1">
        <v>995632.60000000009</v>
      </c>
      <c r="D7" s="1">
        <v>1271123.7399999998</v>
      </c>
      <c r="E7" s="1">
        <v>988027.96</v>
      </c>
      <c r="F7" s="1">
        <v>3934582.95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G10"/>
  <sheetViews>
    <sheetView showGridLines="0" topLeftCell="B5" zoomScale="88" workbookViewId="0">
      <selection activeCell="I7" sqref="I7"/>
    </sheetView>
  </sheetViews>
  <sheetFormatPr baseColWidth="10" defaultRowHeight="16" x14ac:dyDescent="0.2"/>
  <cols>
    <col min="2" max="2" width="3.33203125" customWidth="1"/>
    <col min="3" max="3" width="19.33203125" bestFit="1" customWidth="1"/>
    <col min="4" max="6" width="20.83203125" bestFit="1" customWidth="1"/>
    <col min="7" max="7" width="11.5" bestFit="1" customWidth="1"/>
    <col min="8" max="8" width="11.6640625" bestFit="1" customWidth="1"/>
    <col min="9" max="9" width="11.1640625" bestFit="1" customWidth="1"/>
    <col min="10" max="10" width="11.6640625" bestFit="1" customWidth="1"/>
    <col min="11" max="11" width="11.1640625" bestFit="1" customWidth="1"/>
    <col min="12" max="12" width="11.6640625" bestFit="1" customWidth="1"/>
    <col min="13" max="13" width="11.1640625" bestFit="1" customWidth="1"/>
    <col min="14" max="14" width="11.6640625" bestFit="1" customWidth="1"/>
    <col min="15" max="15" width="11.1640625" bestFit="1" customWidth="1"/>
    <col min="16" max="16" width="11.6640625" bestFit="1" customWidth="1"/>
    <col min="17" max="17" width="11.1640625" bestFit="1" customWidth="1"/>
    <col min="18" max="18" width="11.6640625" bestFit="1" customWidth="1"/>
    <col min="19" max="19" width="11.1640625" bestFit="1" customWidth="1"/>
    <col min="20" max="20" width="11.6640625" bestFit="1" customWidth="1"/>
    <col min="21" max="21" width="11.1640625" bestFit="1" customWidth="1"/>
    <col min="22" max="22" width="11.6640625" bestFit="1" customWidth="1"/>
    <col min="23" max="23" width="11.1640625" bestFit="1" customWidth="1"/>
    <col min="24" max="24" width="11.6640625" bestFit="1" customWidth="1"/>
    <col min="25" max="25" width="11.1640625" bestFit="1" customWidth="1"/>
    <col min="26" max="26" width="11.6640625" bestFit="1" customWidth="1"/>
    <col min="27" max="27" width="11.1640625" bestFit="1" customWidth="1"/>
    <col min="28" max="28" width="11.6640625" bestFit="1" customWidth="1"/>
    <col min="29" max="29" width="11.1640625" bestFit="1" customWidth="1"/>
    <col min="30" max="30" width="11.6640625" bestFit="1" customWidth="1"/>
    <col min="31" max="31" width="11.1640625" bestFit="1" customWidth="1"/>
    <col min="32" max="32" width="11.6640625" bestFit="1" customWidth="1"/>
    <col min="33" max="33" width="11.1640625" bestFit="1" customWidth="1"/>
    <col min="34" max="34" width="11.6640625" bestFit="1" customWidth="1"/>
    <col min="35" max="35" width="11.1640625" bestFit="1" customWidth="1"/>
    <col min="36" max="36" width="11.6640625" bestFit="1" customWidth="1"/>
    <col min="37" max="37" width="11.1640625" bestFit="1" customWidth="1"/>
    <col min="38" max="38" width="11.6640625" bestFit="1" customWidth="1"/>
    <col min="39" max="39" width="11.1640625" bestFit="1" customWidth="1"/>
    <col min="40" max="40" width="11.6640625" bestFit="1" customWidth="1"/>
    <col min="41" max="41" width="11.1640625" bestFit="1" customWidth="1"/>
    <col min="42" max="42" width="11.6640625" bestFit="1" customWidth="1"/>
    <col min="43" max="43" width="11.1640625" bestFit="1" customWidth="1"/>
    <col min="44" max="44" width="11.6640625" bestFit="1" customWidth="1"/>
    <col min="45" max="45" width="11.1640625" bestFit="1" customWidth="1"/>
    <col min="46" max="46" width="11.6640625" bestFit="1" customWidth="1"/>
    <col min="47" max="47" width="11.1640625" bestFit="1" customWidth="1"/>
    <col min="48" max="48" width="11.6640625" bestFit="1" customWidth="1"/>
    <col min="49" max="49" width="11.1640625" bestFit="1" customWidth="1"/>
    <col min="50" max="50" width="11.6640625" bestFit="1" customWidth="1"/>
    <col min="51" max="51" width="11.1640625" bestFit="1" customWidth="1"/>
    <col min="52" max="52" width="11.6640625" bestFit="1" customWidth="1"/>
    <col min="53" max="53" width="11.1640625" bestFit="1" customWidth="1"/>
    <col min="54" max="54" width="11.6640625" bestFit="1" customWidth="1"/>
    <col min="55" max="55" width="11.1640625" bestFit="1" customWidth="1"/>
    <col min="56" max="56" width="11.6640625" bestFit="1" customWidth="1"/>
    <col min="57" max="57" width="11.1640625" bestFit="1" customWidth="1"/>
    <col min="58" max="58" width="11.6640625" bestFit="1" customWidth="1"/>
    <col min="59" max="59" width="11.1640625" bestFit="1" customWidth="1"/>
    <col min="60" max="60" width="11.6640625" bestFit="1" customWidth="1"/>
    <col min="61" max="61" width="11.1640625" bestFit="1" customWidth="1"/>
    <col min="62" max="62" width="11.6640625" bestFit="1" customWidth="1"/>
    <col min="63" max="63" width="11.1640625" bestFit="1" customWidth="1"/>
    <col min="64" max="64" width="11.6640625" bestFit="1" customWidth="1"/>
    <col min="65" max="65" width="11.1640625" bestFit="1" customWidth="1"/>
    <col min="66" max="66" width="11.6640625" bestFit="1" customWidth="1"/>
    <col min="67" max="67" width="11.1640625" bestFit="1" customWidth="1"/>
    <col min="68" max="68" width="11.6640625" bestFit="1" customWidth="1"/>
    <col min="69" max="69" width="11.1640625" bestFit="1" customWidth="1"/>
    <col min="70" max="70" width="11.6640625" bestFit="1" customWidth="1"/>
    <col min="71" max="71" width="11.1640625" bestFit="1" customWidth="1"/>
    <col min="72" max="72" width="11.6640625" bestFit="1" customWidth="1"/>
    <col min="73" max="73" width="11.1640625" bestFit="1" customWidth="1"/>
    <col min="74" max="74" width="11.6640625" bestFit="1" customWidth="1"/>
    <col min="75" max="75" width="11.1640625" bestFit="1" customWidth="1"/>
    <col min="76" max="76" width="11.6640625" bestFit="1" customWidth="1"/>
    <col min="77" max="77" width="11.1640625" bestFit="1" customWidth="1"/>
    <col min="78" max="78" width="11.6640625" bestFit="1" customWidth="1"/>
    <col min="79" max="79" width="11.1640625" bestFit="1" customWidth="1"/>
    <col min="80" max="80" width="11.6640625" bestFit="1" customWidth="1"/>
    <col min="81" max="81" width="11.1640625" bestFit="1" customWidth="1"/>
    <col min="82" max="82" width="11.6640625" bestFit="1" customWidth="1"/>
    <col min="83" max="83" width="11.1640625" bestFit="1" customWidth="1"/>
    <col min="84" max="84" width="11.6640625" bestFit="1" customWidth="1"/>
    <col min="85" max="85" width="11.1640625" bestFit="1" customWidth="1"/>
    <col min="86" max="86" width="11.6640625" bestFit="1" customWidth="1"/>
    <col min="87" max="87" width="11.1640625" bestFit="1" customWidth="1"/>
    <col min="88" max="88" width="11.6640625" bestFit="1" customWidth="1"/>
    <col min="89" max="89" width="11.1640625" bestFit="1" customWidth="1"/>
    <col min="90" max="90" width="11.6640625" bestFit="1" customWidth="1"/>
    <col min="91" max="91" width="11.1640625" bestFit="1" customWidth="1"/>
    <col min="92" max="92" width="11.6640625" bestFit="1" customWidth="1"/>
    <col min="93" max="93" width="11.1640625" bestFit="1" customWidth="1"/>
    <col min="94" max="94" width="11.6640625" bestFit="1" customWidth="1"/>
    <col min="95" max="95" width="12.33203125" bestFit="1" customWidth="1"/>
    <col min="96" max="96" width="11.6640625" bestFit="1" customWidth="1"/>
    <col min="97" max="97" width="12.33203125" bestFit="1" customWidth="1"/>
    <col min="98" max="98" width="11.6640625" bestFit="1" customWidth="1"/>
    <col min="99" max="99" width="12.33203125" bestFit="1" customWidth="1"/>
    <col min="100" max="100" width="11.6640625" bestFit="1" customWidth="1"/>
    <col min="101" max="101" width="12.33203125" bestFit="1" customWidth="1"/>
    <col min="102" max="102" width="11.6640625" bestFit="1" customWidth="1"/>
    <col min="103" max="103" width="12.33203125" bestFit="1" customWidth="1"/>
    <col min="104" max="104" width="11.6640625" bestFit="1" customWidth="1"/>
    <col min="105" max="105" width="12.33203125" bestFit="1" customWidth="1"/>
    <col min="106" max="106" width="11.6640625" bestFit="1" customWidth="1"/>
    <col min="107" max="107" width="12.33203125" bestFit="1" customWidth="1"/>
    <col min="108" max="108" width="11.6640625" bestFit="1" customWidth="1"/>
    <col min="109" max="109" width="12.33203125" bestFit="1" customWidth="1"/>
    <col min="110" max="110" width="11.6640625" bestFit="1" customWidth="1"/>
    <col min="111" max="111" width="12.33203125" bestFit="1" customWidth="1"/>
    <col min="112" max="112" width="11.6640625" bestFit="1" customWidth="1"/>
    <col min="113" max="113" width="12.33203125" bestFit="1" customWidth="1"/>
    <col min="114" max="114" width="11.6640625" bestFit="1" customWidth="1"/>
    <col min="115" max="115" width="12.33203125" bestFit="1" customWidth="1"/>
    <col min="116" max="116" width="11.6640625" bestFit="1" customWidth="1"/>
    <col min="117" max="117" width="12.33203125" bestFit="1" customWidth="1"/>
    <col min="118" max="118" width="11.6640625" bestFit="1" customWidth="1"/>
    <col min="119" max="119" width="12.33203125" bestFit="1" customWidth="1"/>
    <col min="120" max="120" width="11.6640625" bestFit="1" customWidth="1"/>
    <col min="121" max="121" width="12.33203125" bestFit="1" customWidth="1"/>
    <col min="122" max="122" width="11.6640625" bestFit="1" customWidth="1"/>
    <col min="123" max="123" width="12.33203125" bestFit="1" customWidth="1"/>
    <col min="124" max="124" width="11.6640625" bestFit="1" customWidth="1"/>
    <col min="125" max="125" width="12.33203125" bestFit="1" customWidth="1"/>
    <col min="126" max="126" width="11.6640625" bestFit="1" customWidth="1"/>
    <col min="127" max="127" width="12.33203125" bestFit="1" customWidth="1"/>
    <col min="128" max="128" width="11.6640625" bestFit="1" customWidth="1"/>
    <col min="129" max="129" width="12.33203125" bestFit="1" customWidth="1"/>
    <col min="130" max="130" width="11.6640625" bestFit="1" customWidth="1"/>
    <col min="131" max="131" width="12.33203125" bestFit="1" customWidth="1"/>
    <col min="132" max="132" width="11.6640625" bestFit="1" customWidth="1"/>
    <col min="133" max="133" width="12.33203125" bestFit="1" customWidth="1"/>
    <col min="134" max="134" width="11.6640625" bestFit="1" customWidth="1"/>
    <col min="135" max="135" width="12.33203125" bestFit="1" customWidth="1"/>
    <col min="136" max="136" width="11.6640625" bestFit="1" customWidth="1"/>
    <col min="137" max="137" width="12.33203125" bestFit="1" customWidth="1"/>
    <col min="138" max="138" width="11.6640625" bestFit="1" customWidth="1"/>
    <col min="139" max="139" width="12.33203125" bestFit="1" customWidth="1"/>
    <col min="140" max="140" width="11.6640625" bestFit="1" customWidth="1"/>
    <col min="141" max="141" width="12.33203125" bestFit="1" customWidth="1"/>
    <col min="142" max="142" width="11.6640625" bestFit="1" customWidth="1"/>
    <col min="143" max="143" width="12.33203125" bestFit="1" customWidth="1"/>
    <col min="144" max="144" width="11.6640625" bestFit="1" customWidth="1"/>
    <col min="145" max="145" width="12.33203125" bestFit="1" customWidth="1"/>
    <col min="146" max="146" width="11.6640625" bestFit="1" customWidth="1"/>
    <col min="147" max="147" width="12.33203125" bestFit="1" customWidth="1"/>
    <col min="148" max="148" width="11.6640625" bestFit="1" customWidth="1"/>
    <col min="149" max="149" width="12.33203125" bestFit="1" customWidth="1"/>
    <col min="150" max="150" width="11.6640625" bestFit="1" customWidth="1"/>
    <col min="151" max="151" width="12.33203125" bestFit="1" customWidth="1"/>
    <col min="152" max="152" width="11.6640625" bestFit="1" customWidth="1"/>
    <col min="153" max="153" width="12.33203125" bestFit="1" customWidth="1"/>
    <col min="154" max="154" width="11.6640625" bestFit="1" customWidth="1"/>
    <col min="155" max="155" width="12.33203125" bestFit="1" customWidth="1"/>
    <col min="156" max="156" width="11.6640625" bestFit="1" customWidth="1"/>
    <col min="157" max="157" width="12.33203125" bestFit="1" customWidth="1"/>
    <col min="158" max="158" width="11.6640625" bestFit="1" customWidth="1"/>
    <col min="159" max="159" width="12.33203125" bestFit="1" customWidth="1"/>
    <col min="160" max="160" width="11.6640625" bestFit="1" customWidth="1"/>
    <col min="161" max="161" width="12.33203125" bestFit="1" customWidth="1"/>
    <col min="162" max="162" width="11.6640625" bestFit="1" customWidth="1"/>
    <col min="163" max="163" width="12.33203125" bestFit="1" customWidth="1"/>
    <col min="164" max="164" width="11.6640625" bestFit="1" customWidth="1"/>
    <col min="165" max="165" width="12.33203125" bestFit="1" customWidth="1"/>
    <col min="166" max="166" width="11.6640625" bestFit="1" customWidth="1"/>
    <col min="167" max="167" width="12.33203125" bestFit="1" customWidth="1"/>
    <col min="168" max="168" width="11.6640625" bestFit="1" customWidth="1"/>
    <col min="169" max="169" width="12.33203125" bestFit="1" customWidth="1"/>
    <col min="170" max="170" width="11.6640625" bestFit="1" customWidth="1"/>
    <col min="171" max="171" width="12.33203125" bestFit="1" customWidth="1"/>
    <col min="172" max="172" width="11.6640625" bestFit="1" customWidth="1"/>
    <col min="173" max="173" width="12.33203125" bestFit="1" customWidth="1"/>
    <col min="174" max="174" width="11.6640625" bestFit="1" customWidth="1"/>
    <col min="175" max="175" width="12.33203125" bestFit="1" customWidth="1"/>
    <col min="176" max="176" width="11.6640625" bestFit="1" customWidth="1"/>
    <col min="177" max="177" width="12.33203125" bestFit="1" customWidth="1"/>
    <col min="178" max="178" width="11.6640625" bestFit="1" customWidth="1"/>
    <col min="179" max="179" width="12.33203125" bestFit="1" customWidth="1"/>
    <col min="180" max="180" width="11.6640625" bestFit="1" customWidth="1"/>
    <col min="181" max="181" width="12.33203125" bestFit="1" customWidth="1"/>
    <col min="182" max="182" width="11.6640625" bestFit="1" customWidth="1"/>
    <col min="183" max="183" width="12.33203125" bestFit="1" customWidth="1"/>
    <col min="184" max="184" width="11.6640625" bestFit="1" customWidth="1"/>
    <col min="185" max="185" width="12.33203125" bestFit="1" customWidth="1"/>
    <col min="186" max="186" width="11.6640625" bestFit="1" customWidth="1"/>
    <col min="187" max="187" width="12.33203125" bestFit="1" customWidth="1"/>
    <col min="188" max="188" width="11.6640625" bestFit="1" customWidth="1"/>
    <col min="189" max="189" width="12.33203125" bestFit="1" customWidth="1"/>
    <col min="190" max="190" width="11.6640625" bestFit="1" customWidth="1"/>
    <col min="191" max="191" width="12.33203125" bestFit="1" customWidth="1"/>
    <col min="192" max="192" width="11.6640625" bestFit="1" customWidth="1"/>
    <col min="193" max="193" width="12.33203125" bestFit="1" customWidth="1"/>
    <col min="194" max="194" width="11.6640625" bestFit="1" customWidth="1"/>
    <col min="195" max="195" width="12.33203125" bestFit="1" customWidth="1"/>
    <col min="196" max="196" width="11.6640625" bestFit="1" customWidth="1"/>
    <col min="197" max="197" width="12.33203125" bestFit="1" customWidth="1"/>
    <col min="198" max="198" width="11.6640625" bestFit="1" customWidth="1"/>
    <col min="199" max="199" width="12.33203125" bestFit="1" customWidth="1"/>
    <col min="200" max="200" width="11.6640625" bestFit="1" customWidth="1"/>
    <col min="201" max="201" width="12.33203125" bestFit="1" customWidth="1"/>
    <col min="202" max="202" width="11.6640625" bestFit="1" customWidth="1"/>
    <col min="203" max="203" width="12.33203125" bestFit="1" customWidth="1"/>
    <col min="204" max="204" width="11.6640625" bestFit="1" customWidth="1"/>
    <col min="205" max="205" width="12.33203125" bestFit="1" customWidth="1"/>
    <col min="206" max="206" width="11.6640625" bestFit="1" customWidth="1"/>
    <col min="207" max="207" width="12.33203125" bestFit="1" customWidth="1"/>
    <col min="208" max="208" width="11.6640625" bestFit="1" customWidth="1"/>
    <col min="209" max="209" width="12.33203125" bestFit="1" customWidth="1"/>
    <col min="210" max="210" width="11.6640625" bestFit="1" customWidth="1"/>
    <col min="211" max="211" width="12.33203125" bestFit="1" customWidth="1"/>
    <col min="212" max="212" width="11.6640625" bestFit="1" customWidth="1"/>
    <col min="213" max="213" width="12.33203125" bestFit="1" customWidth="1"/>
    <col min="214" max="214" width="11.6640625" bestFit="1" customWidth="1"/>
    <col min="215" max="215" width="12.33203125" bestFit="1" customWidth="1"/>
    <col min="216" max="216" width="11.6640625" bestFit="1" customWidth="1"/>
    <col min="217" max="217" width="12.33203125" bestFit="1" customWidth="1"/>
    <col min="218" max="218" width="11.6640625" bestFit="1" customWidth="1"/>
    <col min="219" max="219" width="12.33203125" bestFit="1" customWidth="1"/>
    <col min="220" max="220" width="11.6640625" bestFit="1" customWidth="1"/>
    <col min="221" max="221" width="12.33203125" bestFit="1" customWidth="1"/>
    <col min="222" max="222" width="11.6640625" bestFit="1" customWidth="1"/>
    <col min="223" max="223" width="12.33203125" bestFit="1" customWidth="1"/>
    <col min="224" max="224" width="11.6640625" bestFit="1" customWidth="1"/>
    <col min="225" max="225" width="12.33203125" bestFit="1" customWidth="1"/>
    <col min="226" max="226" width="11.6640625" bestFit="1" customWidth="1"/>
    <col min="227" max="227" width="12.33203125" bestFit="1" customWidth="1"/>
    <col min="228" max="228" width="11.6640625" bestFit="1" customWidth="1"/>
    <col min="229" max="229" width="12.33203125" bestFit="1" customWidth="1"/>
    <col min="230" max="230" width="11.6640625" bestFit="1" customWidth="1"/>
    <col min="231" max="231" width="12.33203125" bestFit="1" customWidth="1"/>
    <col min="232" max="232" width="11.6640625" bestFit="1" customWidth="1"/>
    <col min="233" max="233" width="12.33203125" bestFit="1" customWidth="1"/>
    <col min="234" max="234" width="11.6640625" bestFit="1" customWidth="1"/>
    <col min="235" max="235" width="12.33203125" bestFit="1" customWidth="1"/>
    <col min="236" max="236" width="11.6640625" bestFit="1" customWidth="1"/>
    <col min="237" max="237" width="12.33203125" bestFit="1" customWidth="1"/>
    <col min="238" max="238" width="11.6640625" bestFit="1" customWidth="1"/>
    <col min="239" max="239" width="12.33203125" bestFit="1" customWidth="1"/>
    <col min="240" max="240" width="11.6640625" bestFit="1" customWidth="1"/>
    <col min="241" max="241" width="12.33203125" bestFit="1" customWidth="1"/>
    <col min="242" max="242" width="11.6640625" bestFit="1" customWidth="1"/>
    <col min="243" max="243" width="12.33203125" bestFit="1" customWidth="1"/>
    <col min="244" max="244" width="11.6640625" bestFit="1" customWidth="1"/>
    <col min="245" max="245" width="12.33203125" bestFit="1" customWidth="1"/>
    <col min="246" max="246" width="11.6640625" bestFit="1" customWidth="1"/>
    <col min="247" max="247" width="12.33203125" bestFit="1" customWidth="1"/>
    <col min="248" max="248" width="11.6640625" bestFit="1" customWidth="1"/>
    <col min="249" max="249" width="12.33203125" bestFit="1" customWidth="1"/>
    <col min="250" max="250" width="11.6640625" bestFit="1" customWidth="1"/>
    <col min="251" max="251" width="12.33203125" bestFit="1" customWidth="1"/>
    <col min="252" max="252" width="11.6640625" bestFit="1" customWidth="1"/>
    <col min="253" max="253" width="12.33203125" bestFit="1" customWidth="1"/>
    <col min="254" max="254" width="11.6640625" bestFit="1" customWidth="1"/>
    <col min="255" max="255" width="12.33203125" bestFit="1" customWidth="1"/>
    <col min="256" max="256" width="11.6640625" bestFit="1" customWidth="1"/>
    <col min="257" max="257" width="12.33203125" bestFit="1" customWidth="1"/>
    <col min="258" max="258" width="11.6640625" bestFit="1" customWidth="1"/>
    <col min="259" max="259" width="12.33203125" bestFit="1" customWidth="1"/>
    <col min="260" max="260" width="11.6640625" bestFit="1" customWidth="1"/>
    <col min="261" max="261" width="12.33203125" bestFit="1" customWidth="1"/>
    <col min="262" max="262" width="11.6640625" bestFit="1" customWidth="1"/>
    <col min="263" max="263" width="12.33203125" bestFit="1" customWidth="1"/>
    <col min="264" max="264" width="11.6640625" bestFit="1" customWidth="1"/>
    <col min="265" max="265" width="12.33203125" bestFit="1" customWidth="1"/>
    <col min="266" max="266" width="11.6640625" bestFit="1" customWidth="1"/>
    <col min="267" max="267" width="12.33203125" bestFit="1" customWidth="1"/>
    <col min="268" max="268" width="11.6640625" bestFit="1" customWidth="1"/>
    <col min="269" max="269" width="12.33203125" bestFit="1" customWidth="1"/>
    <col min="270" max="270" width="11.6640625" bestFit="1" customWidth="1"/>
    <col min="271" max="271" width="12.33203125" bestFit="1" customWidth="1"/>
    <col min="272" max="272" width="11.6640625" bestFit="1" customWidth="1"/>
    <col min="273" max="273" width="12.33203125" bestFit="1" customWidth="1"/>
    <col min="274" max="274" width="11.6640625" bestFit="1" customWidth="1"/>
    <col min="275" max="275" width="12.33203125" bestFit="1" customWidth="1"/>
    <col min="276" max="276" width="11.6640625" bestFit="1" customWidth="1"/>
    <col min="277" max="277" width="12.33203125" bestFit="1" customWidth="1"/>
    <col min="278" max="278" width="11.6640625" bestFit="1" customWidth="1"/>
    <col min="279" max="279" width="12.33203125" bestFit="1" customWidth="1"/>
    <col min="280" max="280" width="11.6640625" bestFit="1" customWidth="1"/>
    <col min="281" max="281" width="12.33203125" bestFit="1" customWidth="1"/>
    <col min="282" max="282" width="11.6640625" bestFit="1" customWidth="1"/>
    <col min="283" max="283" width="12.33203125" bestFit="1" customWidth="1"/>
    <col min="284" max="284" width="11.6640625" bestFit="1" customWidth="1"/>
    <col min="285" max="285" width="12.33203125" bestFit="1" customWidth="1"/>
    <col min="286" max="286" width="11.6640625" bestFit="1" customWidth="1"/>
    <col min="287" max="287" width="12.33203125" bestFit="1" customWidth="1"/>
    <col min="288" max="288" width="11.6640625" bestFit="1" customWidth="1"/>
    <col min="289" max="289" width="12.33203125" bestFit="1" customWidth="1"/>
    <col min="290" max="290" width="11.6640625" bestFit="1" customWidth="1"/>
    <col min="291" max="291" width="12.33203125" bestFit="1" customWidth="1"/>
    <col min="292" max="292" width="11.6640625" bestFit="1" customWidth="1"/>
    <col min="293" max="293" width="12.33203125" bestFit="1" customWidth="1"/>
    <col min="294" max="294" width="11.6640625" bestFit="1" customWidth="1"/>
    <col min="295" max="295" width="12.33203125" bestFit="1" customWidth="1"/>
    <col min="296" max="296" width="11.6640625" bestFit="1" customWidth="1"/>
    <col min="297" max="297" width="12.33203125" bestFit="1" customWidth="1"/>
    <col min="298" max="298" width="11.6640625" bestFit="1" customWidth="1"/>
    <col min="299" max="299" width="12.33203125" bestFit="1" customWidth="1"/>
    <col min="300" max="300" width="11.6640625" bestFit="1" customWidth="1"/>
    <col min="301" max="301" width="12.33203125" bestFit="1" customWidth="1"/>
    <col min="302" max="302" width="11.6640625" bestFit="1" customWidth="1"/>
    <col min="303" max="303" width="12.33203125" bestFit="1" customWidth="1"/>
    <col min="304" max="304" width="11.6640625" bestFit="1" customWidth="1"/>
    <col min="305" max="305" width="12.33203125" bestFit="1" customWidth="1"/>
    <col min="306" max="306" width="11.6640625" bestFit="1" customWidth="1"/>
    <col min="307" max="307" width="12.33203125" bestFit="1" customWidth="1"/>
    <col min="308" max="308" width="11.6640625" bestFit="1" customWidth="1"/>
    <col min="309" max="309" width="12.33203125" bestFit="1" customWidth="1"/>
    <col min="310" max="310" width="11.6640625" bestFit="1" customWidth="1"/>
    <col min="311" max="311" width="12.33203125" bestFit="1" customWidth="1"/>
    <col min="312" max="312" width="11.6640625" bestFit="1" customWidth="1"/>
    <col min="313" max="313" width="12.33203125" bestFit="1" customWidth="1"/>
    <col min="314" max="314" width="11.6640625" bestFit="1" customWidth="1"/>
    <col min="315" max="315" width="12.33203125" bestFit="1" customWidth="1"/>
    <col min="316" max="316" width="11.6640625" bestFit="1" customWidth="1"/>
    <col min="317" max="317" width="12.33203125" bestFit="1" customWidth="1"/>
    <col min="318" max="318" width="11.6640625" bestFit="1" customWidth="1"/>
    <col min="319" max="319" width="12.33203125" bestFit="1" customWidth="1"/>
    <col min="320" max="320" width="11.6640625" bestFit="1" customWidth="1"/>
    <col min="321" max="321" width="12.33203125" bestFit="1" customWidth="1"/>
    <col min="322" max="322" width="11.6640625" bestFit="1" customWidth="1"/>
    <col min="323" max="323" width="12.33203125" bestFit="1" customWidth="1"/>
    <col min="324" max="324" width="11.6640625" bestFit="1" customWidth="1"/>
    <col min="325" max="325" width="12.33203125" bestFit="1" customWidth="1"/>
    <col min="326" max="326" width="11.6640625" bestFit="1" customWidth="1"/>
    <col min="327" max="327" width="12.33203125" bestFit="1" customWidth="1"/>
    <col min="328" max="328" width="11.6640625" bestFit="1" customWidth="1"/>
    <col min="329" max="329" width="12.33203125" bestFit="1" customWidth="1"/>
    <col min="330" max="330" width="11.6640625" bestFit="1" customWidth="1"/>
    <col min="331" max="331" width="12.33203125" bestFit="1" customWidth="1"/>
    <col min="332" max="332" width="11.6640625" bestFit="1" customWidth="1"/>
    <col min="333" max="333" width="12.33203125" bestFit="1" customWidth="1"/>
    <col min="334" max="334" width="11.6640625" bestFit="1" customWidth="1"/>
    <col min="335" max="335" width="12.33203125" bestFit="1" customWidth="1"/>
    <col min="336" max="336" width="11.6640625" bestFit="1" customWidth="1"/>
    <col min="337" max="337" width="12.33203125" bestFit="1" customWidth="1"/>
    <col min="338" max="338" width="11.6640625" bestFit="1" customWidth="1"/>
    <col min="339" max="339" width="12.33203125" bestFit="1" customWidth="1"/>
    <col min="340" max="340" width="11.6640625" bestFit="1" customWidth="1"/>
    <col min="341" max="341" width="12.33203125" bestFit="1" customWidth="1"/>
    <col min="342" max="342" width="11.6640625" bestFit="1" customWidth="1"/>
    <col min="343" max="343" width="12.33203125" bestFit="1" customWidth="1"/>
    <col min="344" max="344" width="11.6640625" bestFit="1" customWidth="1"/>
    <col min="345" max="345" width="12.33203125" bestFit="1" customWidth="1"/>
    <col min="346" max="346" width="11.6640625" bestFit="1" customWidth="1"/>
    <col min="347" max="347" width="12.33203125" bestFit="1" customWidth="1"/>
    <col min="348" max="348" width="11.6640625" bestFit="1" customWidth="1"/>
    <col min="349" max="349" width="12.33203125" bestFit="1" customWidth="1"/>
    <col min="350" max="350" width="11.6640625" bestFit="1" customWidth="1"/>
    <col min="351" max="351" width="12.33203125" bestFit="1" customWidth="1"/>
    <col min="352" max="352" width="11.6640625" bestFit="1" customWidth="1"/>
    <col min="353" max="353" width="12.33203125" bestFit="1" customWidth="1"/>
    <col min="354" max="354" width="11.6640625" bestFit="1" customWidth="1"/>
    <col min="355" max="355" width="12.33203125" bestFit="1" customWidth="1"/>
    <col min="356" max="356" width="11.6640625" bestFit="1" customWidth="1"/>
    <col min="357" max="357" width="12.33203125" bestFit="1" customWidth="1"/>
    <col min="358" max="358" width="11.6640625" bestFit="1" customWidth="1"/>
    <col min="359" max="359" width="12.33203125" bestFit="1" customWidth="1"/>
    <col min="360" max="360" width="11.6640625" bestFit="1" customWidth="1"/>
    <col min="361" max="361" width="12.33203125" bestFit="1" customWidth="1"/>
    <col min="362" max="362" width="11.6640625" bestFit="1" customWidth="1"/>
    <col min="363" max="363" width="12.33203125" bestFit="1" customWidth="1"/>
    <col min="364" max="364" width="11.6640625" bestFit="1" customWidth="1"/>
    <col min="365" max="365" width="12.33203125" bestFit="1" customWidth="1"/>
    <col min="366" max="366" width="11.6640625" bestFit="1" customWidth="1"/>
    <col min="367" max="367" width="12.33203125" bestFit="1" customWidth="1"/>
    <col min="368" max="368" width="11.6640625" bestFit="1" customWidth="1"/>
    <col min="369" max="369" width="12.33203125" bestFit="1" customWidth="1"/>
    <col min="370" max="370" width="11.6640625" bestFit="1" customWidth="1"/>
    <col min="371" max="371" width="12.33203125" bestFit="1" customWidth="1"/>
    <col min="372" max="372" width="11.6640625" bestFit="1" customWidth="1"/>
    <col min="373" max="373" width="12.33203125" bestFit="1" customWidth="1"/>
    <col min="374" max="374" width="11.6640625" bestFit="1" customWidth="1"/>
    <col min="375" max="375" width="12.33203125" bestFit="1" customWidth="1"/>
    <col min="376" max="376" width="11.6640625" bestFit="1" customWidth="1"/>
    <col min="377" max="377" width="12.33203125" bestFit="1" customWidth="1"/>
    <col min="378" max="378" width="11.6640625" bestFit="1" customWidth="1"/>
    <col min="379" max="379" width="12.33203125" bestFit="1" customWidth="1"/>
    <col min="380" max="380" width="11.6640625" bestFit="1" customWidth="1"/>
    <col min="381" max="381" width="12.33203125" bestFit="1" customWidth="1"/>
    <col min="382" max="382" width="11.6640625" bestFit="1" customWidth="1"/>
    <col min="383" max="383" width="12.33203125" bestFit="1" customWidth="1"/>
    <col min="384" max="384" width="11.6640625" bestFit="1" customWidth="1"/>
    <col min="385" max="385" width="12.33203125" bestFit="1" customWidth="1"/>
    <col min="386" max="386" width="11.6640625" bestFit="1" customWidth="1"/>
    <col min="387" max="387" width="12.33203125" bestFit="1" customWidth="1"/>
    <col min="388" max="388" width="11.6640625" bestFit="1" customWidth="1"/>
    <col min="389" max="389" width="12.33203125" bestFit="1" customWidth="1"/>
    <col min="390" max="390" width="11.6640625" bestFit="1" customWidth="1"/>
    <col min="391" max="391" width="12.33203125" bestFit="1" customWidth="1"/>
    <col min="392" max="392" width="11.6640625" bestFit="1" customWidth="1"/>
    <col min="393" max="393" width="12.33203125" bestFit="1" customWidth="1"/>
    <col min="394" max="394" width="11.6640625" bestFit="1" customWidth="1"/>
    <col min="395" max="395" width="12.33203125" bestFit="1" customWidth="1"/>
    <col min="396" max="396" width="11.6640625" bestFit="1" customWidth="1"/>
    <col min="397" max="397" width="12.33203125" bestFit="1" customWidth="1"/>
    <col min="398" max="398" width="11.6640625" bestFit="1" customWidth="1"/>
    <col min="399" max="399" width="12.33203125" bestFit="1" customWidth="1"/>
    <col min="400" max="400" width="11.6640625" bestFit="1" customWidth="1"/>
    <col min="401" max="401" width="12.33203125" bestFit="1" customWidth="1"/>
    <col min="402" max="402" width="11.6640625" bestFit="1" customWidth="1"/>
    <col min="403" max="403" width="12.33203125" bestFit="1" customWidth="1"/>
    <col min="404" max="404" width="11.6640625" bestFit="1" customWidth="1"/>
    <col min="405" max="405" width="12.33203125" bestFit="1" customWidth="1"/>
    <col min="406" max="406" width="11.6640625" bestFit="1" customWidth="1"/>
    <col min="407" max="407" width="12.33203125" bestFit="1" customWidth="1"/>
    <col min="408" max="408" width="11.6640625" bestFit="1" customWidth="1"/>
    <col min="409" max="409" width="12.33203125" bestFit="1" customWidth="1"/>
    <col min="410" max="410" width="11.6640625" bestFit="1" customWidth="1"/>
    <col min="411" max="411" width="12.33203125" bestFit="1" customWidth="1"/>
    <col min="412" max="412" width="11.6640625" bestFit="1" customWidth="1"/>
    <col min="413" max="413" width="12.33203125" bestFit="1" customWidth="1"/>
    <col min="414" max="414" width="11.6640625" bestFit="1" customWidth="1"/>
    <col min="415" max="415" width="12.33203125" bestFit="1" customWidth="1"/>
    <col min="416" max="416" width="11.6640625" bestFit="1" customWidth="1"/>
    <col min="417" max="417" width="12.33203125" bestFit="1" customWidth="1"/>
    <col min="418" max="418" width="11.6640625" bestFit="1" customWidth="1"/>
    <col min="419" max="419" width="12.33203125" bestFit="1" customWidth="1"/>
    <col min="420" max="420" width="11.6640625" bestFit="1" customWidth="1"/>
    <col min="421" max="421" width="12.33203125" bestFit="1" customWidth="1"/>
    <col min="422" max="422" width="11.6640625" bestFit="1" customWidth="1"/>
    <col min="423" max="423" width="12.33203125" bestFit="1" customWidth="1"/>
    <col min="424" max="424" width="11.6640625" bestFit="1" customWidth="1"/>
    <col min="425" max="425" width="12.33203125" bestFit="1" customWidth="1"/>
    <col min="426" max="426" width="11.6640625" bestFit="1" customWidth="1"/>
    <col min="427" max="427" width="12.33203125" bestFit="1" customWidth="1"/>
    <col min="428" max="428" width="11.6640625" bestFit="1" customWidth="1"/>
    <col min="429" max="429" width="12.33203125" bestFit="1" customWidth="1"/>
    <col min="430" max="430" width="11.6640625" bestFit="1" customWidth="1"/>
    <col min="431" max="431" width="12.33203125" bestFit="1" customWidth="1"/>
    <col min="432" max="432" width="11.6640625" bestFit="1" customWidth="1"/>
    <col min="433" max="433" width="12.33203125" bestFit="1" customWidth="1"/>
    <col min="434" max="434" width="11.6640625" bestFit="1" customWidth="1"/>
    <col min="435" max="435" width="12.33203125" bestFit="1" customWidth="1"/>
    <col min="436" max="436" width="11.6640625" bestFit="1" customWidth="1"/>
    <col min="437" max="437" width="12.33203125" bestFit="1" customWidth="1"/>
    <col min="438" max="438" width="11.6640625" bestFit="1" customWidth="1"/>
    <col min="439" max="439" width="12.33203125" bestFit="1" customWidth="1"/>
    <col min="440" max="440" width="11.6640625" bestFit="1" customWidth="1"/>
    <col min="441" max="441" width="12.33203125" bestFit="1" customWidth="1"/>
    <col min="442" max="442" width="11.6640625" bestFit="1" customWidth="1"/>
    <col min="443" max="443" width="12.33203125" bestFit="1" customWidth="1"/>
    <col min="444" max="444" width="11.6640625" bestFit="1" customWidth="1"/>
    <col min="445" max="445" width="12.33203125" bestFit="1" customWidth="1"/>
    <col min="446" max="446" width="11.6640625" bestFit="1" customWidth="1"/>
    <col min="447" max="447" width="12.33203125" bestFit="1" customWidth="1"/>
    <col min="448" max="448" width="11.6640625" bestFit="1" customWidth="1"/>
    <col min="449" max="449" width="12.33203125" bestFit="1" customWidth="1"/>
    <col min="450" max="450" width="11.6640625" bestFit="1" customWidth="1"/>
    <col min="451" max="451" width="12.33203125" bestFit="1" customWidth="1"/>
    <col min="452" max="452" width="11.6640625" bestFit="1" customWidth="1"/>
    <col min="453" max="453" width="12.33203125" bestFit="1" customWidth="1"/>
    <col min="454" max="454" width="11.6640625" bestFit="1" customWidth="1"/>
    <col min="455" max="455" width="12.33203125" bestFit="1" customWidth="1"/>
    <col min="456" max="456" width="11.6640625" bestFit="1" customWidth="1"/>
    <col min="457" max="457" width="12.33203125" bestFit="1" customWidth="1"/>
    <col min="458" max="458" width="11.6640625" bestFit="1" customWidth="1"/>
    <col min="459" max="459" width="12.33203125" bestFit="1" customWidth="1"/>
    <col min="460" max="460" width="11.6640625" bestFit="1" customWidth="1"/>
    <col min="461" max="461" width="12.33203125" bestFit="1" customWidth="1"/>
    <col min="462" max="462" width="11.6640625" bestFit="1" customWidth="1"/>
    <col min="463" max="463" width="12.33203125" bestFit="1" customWidth="1"/>
    <col min="464" max="464" width="11.6640625" bestFit="1" customWidth="1"/>
    <col min="465" max="465" width="12.33203125" bestFit="1" customWidth="1"/>
    <col min="466" max="466" width="11.6640625" bestFit="1" customWidth="1"/>
    <col min="467" max="467" width="12.33203125" bestFit="1" customWidth="1"/>
    <col min="468" max="468" width="11.6640625" bestFit="1" customWidth="1"/>
    <col min="469" max="469" width="12.33203125" bestFit="1" customWidth="1"/>
    <col min="470" max="470" width="11.6640625" bestFit="1" customWidth="1"/>
    <col min="471" max="471" width="12.33203125" bestFit="1" customWidth="1"/>
    <col min="472" max="472" width="11.6640625" bestFit="1" customWidth="1"/>
    <col min="473" max="473" width="12.33203125" bestFit="1" customWidth="1"/>
    <col min="474" max="474" width="11.6640625" bestFit="1" customWidth="1"/>
    <col min="475" max="475" width="12.33203125" bestFit="1" customWidth="1"/>
    <col min="476" max="476" width="11.6640625" bestFit="1" customWidth="1"/>
    <col min="477" max="477" width="12.33203125" bestFit="1" customWidth="1"/>
    <col min="478" max="478" width="11.6640625" bestFit="1" customWidth="1"/>
    <col min="479" max="479" width="12.33203125" bestFit="1" customWidth="1"/>
    <col min="480" max="480" width="11.6640625" bestFit="1" customWidth="1"/>
    <col min="481" max="481" width="12.33203125" bestFit="1" customWidth="1"/>
    <col min="482" max="482" width="11.6640625" bestFit="1" customWidth="1"/>
    <col min="483" max="483" width="12.33203125" bestFit="1" customWidth="1"/>
    <col min="484" max="484" width="11.6640625" bestFit="1" customWidth="1"/>
    <col min="485" max="485" width="12.33203125" bestFit="1" customWidth="1"/>
    <col min="486" max="486" width="11.6640625" bestFit="1" customWidth="1"/>
    <col min="487" max="487" width="12.33203125" bestFit="1" customWidth="1"/>
    <col min="488" max="488" width="13.83203125" bestFit="1" customWidth="1"/>
    <col min="489" max="489" width="11.6640625" bestFit="1" customWidth="1"/>
    <col min="490" max="491" width="12.33203125" bestFit="1" customWidth="1"/>
    <col min="492" max="492" width="11.6640625" bestFit="1" customWidth="1"/>
    <col min="493" max="494" width="12.33203125" bestFit="1" customWidth="1"/>
    <col min="495" max="495" width="11.6640625" bestFit="1" customWidth="1"/>
    <col min="496" max="497" width="12.33203125" bestFit="1" customWidth="1"/>
    <col min="498" max="498" width="11.6640625" bestFit="1" customWidth="1"/>
    <col min="499" max="500" width="12.33203125" bestFit="1" customWidth="1"/>
    <col min="501" max="501" width="11.6640625" bestFit="1" customWidth="1"/>
    <col min="502" max="503" width="12.33203125" bestFit="1" customWidth="1"/>
    <col min="504" max="504" width="11.6640625" bestFit="1" customWidth="1"/>
    <col min="505" max="506" width="12.33203125" bestFit="1" customWidth="1"/>
    <col min="507" max="507" width="11.6640625" bestFit="1" customWidth="1"/>
    <col min="508" max="509" width="12.33203125" bestFit="1" customWidth="1"/>
    <col min="510" max="510" width="11.6640625" bestFit="1" customWidth="1"/>
    <col min="511" max="512" width="12.33203125" bestFit="1" customWidth="1"/>
    <col min="513" max="513" width="11.6640625" bestFit="1" customWidth="1"/>
    <col min="514" max="515" width="12.33203125" bestFit="1" customWidth="1"/>
    <col min="516" max="516" width="11.6640625" bestFit="1" customWidth="1"/>
    <col min="517" max="518" width="12.33203125" bestFit="1" customWidth="1"/>
    <col min="519" max="519" width="11.6640625" bestFit="1" customWidth="1"/>
    <col min="520" max="521" width="12.33203125" bestFit="1" customWidth="1"/>
    <col min="522" max="522" width="11.6640625" bestFit="1" customWidth="1"/>
    <col min="523" max="524" width="12.33203125" bestFit="1" customWidth="1"/>
    <col min="525" max="525" width="11.6640625" bestFit="1" customWidth="1"/>
    <col min="526" max="527" width="12.33203125" bestFit="1" customWidth="1"/>
    <col min="528" max="528" width="11.6640625" bestFit="1" customWidth="1"/>
    <col min="529" max="530" width="12.33203125" bestFit="1" customWidth="1"/>
    <col min="531" max="531" width="11.6640625" bestFit="1" customWidth="1"/>
    <col min="532" max="533" width="12.33203125" bestFit="1" customWidth="1"/>
    <col min="534" max="534" width="11.6640625" bestFit="1" customWidth="1"/>
    <col min="535" max="536" width="12.33203125" bestFit="1" customWidth="1"/>
    <col min="537" max="537" width="11.6640625" bestFit="1" customWidth="1"/>
    <col min="538" max="539" width="12.33203125" bestFit="1" customWidth="1"/>
    <col min="540" max="540" width="11.6640625" bestFit="1" customWidth="1"/>
    <col min="541" max="542" width="12.33203125" bestFit="1" customWidth="1"/>
    <col min="543" max="543" width="11.6640625" bestFit="1" customWidth="1"/>
    <col min="544" max="545" width="12.33203125" bestFit="1" customWidth="1"/>
    <col min="546" max="546" width="11.6640625" bestFit="1" customWidth="1"/>
    <col min="547" max="548" width="12.33203125" bestFit="1" customWidth="1"/>
    <col min="549" max="549" width="11.6640625" bestFit="1" customWidth="1"/>
    <col min="550" max="551" width="12.33203125" bestFit="1" customWidth="1"/>
    <col min="552" max="552" width="11.6640625" bestFit="1" customWidth="1"/>
    <col min="553" max="554" width="12.33203125" bestFit="1" customWidth="1"/>
    <col min="555" max="555" width="11.6640625" bestFit="1" customWidth="1"/>
    <col min="556" max="557" width="12.33203125" bestFit="1" customWidth="1"/>
    <col min="558" max="558" width="11.6640625" bestFit="1" customWidth="1"/>
    <col min="559" max="560" width="12.33203125" bestFit="1" customWidth="1"/>
    <col min="561" max="561" width="11.6640625" bestFit="1" customWidth="1"/>
    <col min="562" max="563" width="12.33203125" bestFit="1" customWidth="1"/>
    <col min="564" max="564" width="11.6640625" bestFit="1" customWidth="1"/>
    <col min="565" max="566" width="12.33203125" bestFit="1" customWidth="1"/>
    <col min="567" max="567" width="11.6640625" bestFit="1" customWidth="1"/>
    <col min="568" max="569" width="12.33203125" bestFit="1" customWidth="1"/>
    <col min="570" max="570" width="11.6640625" bestFit="1" customWidth="1"/>
    <col min="571" max="572" width="12.33203125" bestFit="1" customWidth="1"/>
    <col min="573" max="573" width="11.6640625" bestFit="1" customWidth="1"/>
    <col min="574" max="575" width="12.33203125" bestFit="1" customWidth="1"/>
    <col min="576" max="576" width="11.6640625" bestFit="1" customWidth="1"/>
    <col min="577" max="578" width="12.33203125" bestFit="1" customWidth="1"/>
    <col min="579" max="579" width="11.6640625" bestFit="1" customWidth="1"/>
    <col min="580" max="581" width="12.33203125" bestFit="1" customWidth="1"/>
    <col min="582" max="582" width="11.6640625" bestFit="1" customWidth="1"/>
    <col min="583" max="584" width="12.33203125" bestFit="1" customWidth="1"/>
    <col min="585" max="585" width="11.6640625" bestFit="1" customWidth="1"/>
    <col min="586" max="587" width="12.33203125" bestFit="1" customWidth="1"/>
    <col min="588" max="588" width="11.6640625" bestFit="1" customWidth="1"/>
    <col min="589" max="590" width="12.33203125" bestFit="1" customWidth="1"/>
    <col min="591" max="591" width="11.6640625" bestFit="1" customWidth="1"/>
    <col min="592" max="593" width="12.33203125" bestFit="1" customWidth="1"/>
    <col min="594" max="594" width="11.6640625" bestFit="1" customWidth="1"/>
    <col min="595" max="596" width="12.33203125" bestFit="1" customWidth="1"/>
    <col min="597" max="597" width="11.6640625" bestFit="1" customWidth="1"/>
    <col min="598" max="599" width="12.33203125" bestFit="1" customWidth="1"/>
    <col min="600" max="600" width="11.6640625" bestFit="1" customWidth="1"/>
    <col min="601" max="602" width="12.33203125" bestFit="1" customWidth="1"/>
    <col min="603" max="603" width="11.6640625" bestFit="1" customWidth="1"/>
    <col min="604" max="605" width="12.33203125" bestFit="1" customWidth="1"/>
    <col min="606" max="606" width="11.6640625" bestFit="1" customWidth="1"/>
    <col min="607" max="608" width="12.33203125" bestFit="1" customWidth="1"/>
    <col min="609" max="609" width="11.6640625" bestFit="1" customWidth="1"/>
    <col min="610" max="611" width="12.33203125" bestFit="1" customWidth="1"/>
    <col min="612" max="612" width="11.6640625" bestFit="1" customWidth="1"/>
    <col min="613" max="614" width="12.33203125" bestFit="1" customWidth="1"/>
    <col min="615" max="615" width="11.6640625" bestFit="1" customWidth="1"/>
    <col min="616" max="617" width="12.33203125" bestFit="1" customWidth="1"/>
    <col min="618" max="618" width="11.6640625" bestFit="1" customWidth="1"/>
    <col min="619" max="620" width="12.33203125" bestFit="1" customWidth="1"/>
    <col min="621" max="621" width="11.6640625" bestFit="1" customWidth="1"/>
    <col min="622" max="623" width="12.33203125" bestFit="1" customWidth="1"/>
    <col min="624" max="624" width="11.6640625" bestFit="1" customWidth="1"/>
    <col min="625" max="625" width="12.33203125" bestFit="1" customWidth="1"/>
    <col min="626" max="626" width="11.6640625" bestFit="1" customWidth="1"/>
    <col min="627" max="628" width="12.33203125" bestFit="1" customWidth="1"/>
    <col min="629" max="629" width="11.6640625" bestFit="1" customWidth="1"/>
    <col min="630" max="631" width="12.33203125" bestFit="1" customWidth="1"/>
    <col min="632" max="632" width="11.6640625" bestFit="1" customWidth="1"/>
    <col min="633" max="634" width="12.33203125" bestFit="1" customWidth="1"/>
    <col min="635" max="635" width="11.6640625" bestFit="1" customWidth="1"/>
    <col min="636" max="637" width="12.33203125" bestFit="1" customWidth="1"/>
    <col min="638" max="638" width="11.6640625" bestFit="1" customWidth="1"/>
    <col min="639" max="640" width="12.33203125" bestFit="1" customWidth="1"/>
    <col min="641" max="641" width="11.6640625" bestFit="1" customWidth="1"/>
    <col min="642" max="643" width="12.33203125" bestFit="1" customWidth="1"/>
    <col min="644" max="644" width="11.6640625" bestFit="1" customWidth="1"/>
    <col min="645" max="646" width="12.33203125" bestFit="1" customWidth="1"/>
    <col min="647" max="647" width="11.6640625" bestFit="1" customWidth="1"/>
    <col min="648" max="649" width="12.33203125" bestFit="1" customWidth="1"/>
    <col min="650" max="650" width="11.6640625" bestFit="1" customWidth="1"/>
    <col min="651" max="652" width="12.33203125" bestFit="1" customWidth="1"/>
    <col min="653" max="653" width="11.6640625" bestFit="1" customWidth="1"/>
    <col min="654" max="655" width="12.33203125" bestFit="1" customWidth="1"/>
    <col min="656" max="656" width="11.6640625" bestFit="1" customWidth="1"/>
    <col min="657" max="658" width="12.33203125" bestFit="1" customWidth="1"/>
    <col min="659" max="659" width="11.6640625" bestFit="1" customWidth="1"/>
    <col min="660" max="661" width="12.33203125" bestFit="1" customWidth="1"/>
    <col min="662" max="662" width="11.6640625" bestFit="1" customWidth="1"/>
    <col min="663" max="664" width="12.33203125" bestFit="1" customWidth="1"/>
    <col min="665" max="665" width="11.6640625" bestFit="1" customWidth="1"/>
    <col min="666" max="667" width="12.33203125" bestFit="1" customWidth="1"/>
    <col min="668" max="668" width="11.6640625" bestFit="1" customWidth="1"/>
    <col min="669" max="670" width="12.33203125" bestFit="1" customWidth="1"/>
    <col min="671" max="671" width="11.6640625" bestFit="1" customWidth="1"/>
    <col min="672" max="673" width="12.33203125" bestFit="1" customWidth="1"/>
    <col min="674" max="674" width="11.6640625" bestFit="1" customWidth="1"/>
    <col min="675" max="676" width="12.33203125" bestFit="1" customWidth="1"/>
    <col min="677" max="677" width="11.6640625" bestFit="1" customWidth="1"/>
    <col min="678" max="679" width="12.33203125" bestFit="1" customWidth="1"/>
    <col min="680" max="680" width="11.6640625" bestFit="1" customWidth="1"/>
    <col min="681" max="682" width="12.33203125" bestFit="1" customWidth="1"/>
    <col min="683" max="683" width="11.6640625" bestFit="1" customWidth="1"/>
    <col min="684" max="685" width="12.33203125" bestFit="1" customWidth="1"/>
    <col min="686" max="686" width="11.6640625" bestFit="1" customWidth="1"/>
    <col min="687" max="688" width="12.33203125" bestFit="1" customWidth="1"/>
    <col min="689" max="689" width="11.6640625" bestFit="1" customWidth="1"/>
    <col min="690" max="691" width="12.33203125" bestFit="1" customWidth="1"/>
    <col min="692" max="692" width="11.6640625" bestFit="1" customWidth="1"/>
    <col min="693" max="694" width="12.33203125" bestFit="1" customWidth="1"/>
    <col min="695" max="695" width="11.6640625" bestFit="1" customWidth="1"/>
    <col min="696" max="697" width="12.33203125" bestFit="1" customWidth="1"/>
    <col min="698" max="698" width="11.6640625" bestFit="1" customWidth="1"/>
    <col min="699" max="700" width="12.33203125" bestFit="1" customWidth="1"/>
    <col min="701" max="701" width="11.6640625" bestFit="1" customWidth="1"/>
    <col min="702" max="703" width="12.33203125" bestFit="1" customWidth="1"/>
    <col min="704" max="704" width="11.6640625" bestFit="1" customWidth="1"/>
    <col min="705" max="706" width="12.33203125" bestFit="1" customWidth="1"/>
    <col min="707" max="707" width="11.6640625" bestFit="1" customWidth="1"/>
    <col min="708" max="709" width="12.33203125" bestFit="1" customWidth="1"/>
    <col min="710" max="710" width="11.6640625" bestFit="1" customWidth="1"/>
    <col min="711" max="712" width="12.33203125" bestFit="1" customWidth="1"/>
    <col min="713" max="713" width="11.6640625" bestFit="1" customWidth="1"/>
    <col min="714" max="715" width="12.33203125" bestFit="1" customWidth="1"/>
    <col min="716" max="716" width="11.6640625" bestFit="1" customWidth="1"/>
    <col min="717" max="718" width="12.33203125" bestFit="1" customWidth="1"/>
    <col min="719" max="719" width="11.6640625" bestFit="1" customWidth="1"/>
    <col min="720" max="721" width="12.33203125" bestFit="1" customWidth="1"/>
    <col min="722" max="722" width="11.6640625" bestFit="1" customWidth="1"/>
    <col min="723" max="724" width="12.33203125" bestFit="1" customWidth="1"/>
    <col min="725" max="725" width="11.6640625" bestFit="1" customWidth="1"/>
    <col min="726" max="727" width="12.33203125" bestFit="1" customWidth="1"/>
    <col min="728" max="728" width="11.6640625" bestFit="1" customWidth="1"/>
    <col min="729" max="730" width="12.33203125" bestFit="1" customWidth="1"/>
    <col min="731" max="731" width="11.6640625" bestFit="1" customWidth="1"/>
    <col min="732" max="733" width="12.33203125" bestFit="1" customWidth="1"/>
    <col min="734" max="734" width="11.6640625" bestFit="1" customWidth="1"/>
    <col min="735" max="736" width="12.33203125" bestFit="1" customWidth="1"/>
    <col min="737" max="737" width="11.6640625" bestFit="1" customWidth="1"/>
    <col min="738" max="739" width="12.33203125" bestFit="1" customWidth="1"/>
    <col min="740" max="740" width="11.6640625" bestFit="1" customWidth="1"/>
    <col min="741" max="742" width="12.33203125" bestFit="1" customWidth="1"/>
    <col min="743" max="743" width="11.6640625" bestFit="1" customWidth="1"/>
    <col min="744" max="745" width="12.33203125" bestFit="1" customWidth="1"/>
    <col min="746" max="746" width="11.6640625" bestFit="1" customWidth="1"/>
    <col min="747" max="748" width="12.33203125" bestFit="1" customWidth="1"/>
    <col min="749" max="749" width="11.6640625" bestFit="1" customWidth="1"/>
    <col min="750" max="751" width="12.33203125" bestFit="1" customWidth="1"/>
    <col min="752" max="752" width="11.6640625" bestFit="1" customWidth="1"/>
    <col min="753" max="754" width="12.33203125" bestFit="1" customWidth="1"/>
    <col min="755" max="755" width="13.83203125" bestFit="1" customWidth="1"/>
    <col min="756" max="901" width="12.1640625" bestFit="1" customWidth="1"/>
  </cols>
  <sheetData>
    <row r="2" spans="2:7" x14ac:dyDescent="0.2">
      <c r="B2" s="5" t="s">
        <v>48</v>
      </c>
    </row>
    <row r="5" spans="2:7" x14ac:dyDescent="0.2">
      <c r="C5" s="4" t="s">
        <v>49</v>
      </c>
      <c r="D5" s="4" t="s">
        <v>45</v>
      </c>
    </row>
    <row r="6" spans="2:7" x14ac:dyDescent="0.2">
      <c r="C6" s="4" t="s">
        <v>7</v>
      </c>
      <c r="D6" t="s">
        <v>50</v>
      </c>
      <c r="E6" t="s">
        <v>52</v>
      </c>
      <c r="F6" t="s">
        <v>51</v>
      </c>
      <c r="G6" t="s">
        <v>47</v>
      </c>
    </row>
    <row r="7" spans="2:7" x14ac:dyDescent="0.2">
      <c r="C7" t="s">
        <v>14</v>
      </c>
      <c r="D7" s="1">
        <v>48766.494285714289</v>
      </c>
      <c r="E7" s="1">
        <v>49196.887333333339</v>
      </c>
      <c r="F7" s="1">
        <v>59206.418888888889</v>
      </c>
      <c r="G7" s="1">
        <v>52005.694838709671</v>
      </c>
    </row>
    <row r="8" spans="2:7" x14ac:dyDescent="0.2">
      <c r="C8" t="s">
        <v>20</v>
      </c>
      <c r="D8" s="1">
        <v>66114.392857142855</v>
      </c>
      <c r="E8" s="1">
        <v>46296.591764705881</v>
      </c>
      <c r="F8" s="1">
        <v>30871.356</v>
      </c>
      <c r="G8" s="1">
        <v>48420.675517241383</v>
      </c>
    </row>
    <row r="9" spans="2:7" x14ac:dyDescent="0.2">
      <c r="C9" t="s">
        <v>24</v>
      </c>
      <c r="D9" s="1">
        <v>53769.29</v>
      </c>
      <c r="E9" s="1">
        <v>44078.780000000006</v>
      </c>
      <c r="F9" s="1">
        <v>50516.994999999995</v>
      </c>
      <c r="G9" s="1">
        <v>48326.674736842106</v>
      </c>
    </row>
    <row r="10" spans="2:7" x14ac:dyDescent="0.2">
      <c r="C10" t="s">
        <v>47</v>
      </c>
      <c r="D10" s="1">
        <v>56216.725714285712</v>
      </c>
      <c r="E10" s="1">
        <v>46804.361190476186</v>
      </c>
      <c r="F10" s="1">
        <v>49265.533749999995</v>
      </c>
      <c r="G10" s="1">
        <v>49804.847468354434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7BD02-9900-EC4F-A642-8455B0F3A439}">
  <dimension ref="B2:G9"/>
  <sheetViews>
    <sheetView showGridLines="0" topLeftCell="D2" workbookViewId="0">
      <selection activeCell="H44" sqref="H44"/>
    </sheetView>
  </sheetViews>
  <sheetFormatPr baseColWidth="10" defaultRowHeight="16" x14ac:dyDescent="0.2"/>
  <cols>
    <col min="2" max="2" width="3.33203125" customWidth="1"/>
    <col min="3" max="3" width="18" bestFit="1" customWidth="1"/>
    <col min="4" max="6" width="17.6640625" bestFit="1" customWidth="1"/>
    <col min="7" max="7" width="10.83203125" bestFit="1" customWidth="1"/>
    <col min="8" max="10" width="10.1640625" bestFit="1" customWidth="1"/>
    <col min="11" max="11" width="12.33203125" bestFit="1" customWidth="1"/>
    <col min="12" max="14" width="14.6640625" bestFit="1" customWidth="1"/>
    <col min="15" max="15" width="17.33203125" bestFit="1" customWidth="1"/>
  </cols>
  <sheetData>
    <row r="2" spans="2:7" x14ac:dyDescent="0.2">
      <c r="B2" s="5" t="s">
        <v>53</v>
      </c>
    </row>
    <row r="4" spans="2:7" x14ac:dyDescent="0.2">
      <c r="C4" s="4" t="s">
        <v>49</v>
      </c>
      <c r="D4" s="4" t="s">
        <v>7</v>
      </c>
    </row>
    <row r="5" spans="2:7" x14ac:dyDescent="0.2">
      <c r="C5" s="4" t="s">
        <v>1</v>
      </c>
      <c r="D5" t="s">
        <v>14</v>
      </c>
      <c r="E5" t="s">
        <v>24</v>
      </c>
      <c r="F5" t="s">
        <v>20</v>
      </c>
      <c r="G5" t="s">
        <v>47</v>
      </c>
    </row>
    <row r="6" spans="2:7" x14ac:dyDescent="0.2">
      <c r="C6" t="s">
        <v>10</v>
      </c>
      <c r="D6" s="1">
        <v>50108.321964285708</v>
      </c>
      <c r="E6" s="1">
        <v>49641.037747747767</v>
      </c>
      <c r="F6" s="1">
        <v>48006.573706896525</v>
      </c>
      <c r="G6" s="1">
        <v>49236.135103244815</v>
      </c>
    </row>
    <row r="7" spans="2:7" x14ac:dyDescent="0.2">
      <c r="C7" t="s">
        <v>17</v>
      </c>
      <c r="D7" s="1">
        <v>49490.864838709655</v>
      </c>
      <c r="E7" s="1">
        <v>55108.106836734682</v>
      </c>
      <c r="F7" s="1">
        <v>49965.768151260498</v>
      </c>
      <c r="G7" s="1">
        <v>51270.932903225788</v>
      </c>
    </row>
    <row r="8" spans="2:7" x14ac:dyDescent="0.2">
      <c r="C8" t="s">
        <v>22</v>
      </c>
      <c r="D8" s="1">
        <v>54477.484056603782</v>
      </c>
      <c r="E8" s="1">
        <v>47300.043157894695</v>
      </c>
      <c r="F8" s="1">
        <v>46662.741800000003</v>
      </c>
      <c r="G8" s="1">
        <v>49478.413781250027</v>
      </c>
    </row>
    <row r="9" spans="2:7" x14ac:dyDescent="0.2">
      <c r="C9" t="s">
        <v>47</v>
      </c>
      <c r="D9" s="1">
        <v>51238.633362573084</v>
      </c>
      <c r="E9" s="1">
        <v>50473.543591331334</v>
      </c>
      <c r="F9" s="1">
        <v>48301.382507462644</v>
      </c>
      <c r="G9" s="1">
        <v>50007.530330000001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C8C6-74D0-CC4D-BBC3-4863A7153D06}">
  <dimension ref="A1"/>
  <sheetViews>
    <sheetView tabSelected="1" zoomScale="83" workbookViewId="0">
      <selection activeCell="T69" sqref="T69"/>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Statistics</vt:lpstr>
      <vt:lpstr>Product Positioning</vt:lpstr>
      <vt:lpstr>Additional Product Info.</vt:lpstr>
      <vt:lpstr>Customer Information</vt:lpstr>
      <vt:lpstr>Pivot 1</vt:lpstr>
      <vt:lpstr>Pivot 2</vt:lpstr>
      <vt:lpstr>Pivot 3</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Jose Angel Torres</cp:lastModifiedBy>
  <dcterms:created xsi:type="dcterms:W3CDTF">2024-08-08T22:20:37Z</dcterms:created>
  <dcterms:modified xsi:type="dcterms:W3CDTF">2024-08-13T21:36:09Z</dcterms:modified>
</cp:coreProperties>
</file>